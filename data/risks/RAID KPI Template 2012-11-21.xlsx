
<file path=[Content_Types].xml><?xml version="1.0" encoding="utf-8"?>
<Types xmlns="http://schemas.openxmlformats.org/package/2006/content-types">
  <Override PartName="/xl/tables/table4.xml" ContentType="application/vnd.openxmlformats-officedocument.spreadsheetml.table+xml"/>
  <Override PartName="/xl/charts/chart6.xml" ContentType="application/vnd.openxmlformats-officedocument.drawingml.chart+xml"/>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pivotCache/pivotCacheDefinition4.xml" ContentType="application/vnd.openxmlformats-officedocument.spreadsheetml.pivotCacheDefinition+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pivotCache/pivotCacheDefinition1.xml" ContentType="application/vnd.openxmlformats-officedocument.spreadsheetml.pivotCacheDefinition+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customXml/itemProps4.xml" ContentType="application/vnd.openxmlformats-officedocument.customXmlProperties+xml"/>
  <Override PartName="/docProps/core.xml" ContentType="application/vnd.openxmlformats-package.core-properties+xml"/>
  <Default Extension="bin" ContentType="application/vnd.openxmlformats-officedocument.spreadsheetml.printerSettings"/>
  <Override PartName="/xl/tables/table3.xml" ContentType="application/vnd.openxmlformats-officedocument.spreadsheetml.table+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hidePivotFieldList="1" defaultThemeVersion="124226"/>
  <bookViews>
    <workbookView xWindow="45" yWindow="4905" windowWidth="21570" windowHeight="5115" tabRatio="843"/>
  </bookViews>
  <sheets>
    <sheet name="Risks" sheetId="1" r:id="rId1"/>
    <sheet name="Issues" sheetId="2" r:id="rId2"/>
    <sheet name="Assumptions" sheetId="3" r:id="rId3"/>
    <sheet name="Decisions" sheetId="4" r:id="rId4"/>
    <sheet name="RAID Summary" sheetId="5" r:id="rId5"/>
    <sheet name="Cross-Org" sheetId="7" r:id="rId6"/>
    <sheet name="Risk Pivot" sheetId="8" r:id="rId7"/>
    <sheet name="Issue Pivot" sheetId="9" r:id="rId8"/>
    <sheet name="Assumption Pivot" sheetId="10" r:id="rId9"/>
    <sheet name="Decision Pivot" sheetId="11" r:id="rId10"/>
  </sheets>
  <definedNames>
    <definedName name="_xlnm._FilterDatabase" localSheetId="2" hidden="1">Assumptions!$A$1:$M$1</definedName>
    <definedName name="_xlnm._FilterDatabase" localSheetId="3" hidden="1">Decisions!$A$1:$L$1</definedName>
    <definedName name="_xlnm._FilterDatabase" localSheetId="1" hidden="1">Issues!$A$1:$L$1</definedName>
    <definedName name="_xlnm._FilterDatabase" localSheetId="0" hidden="1">Risks!$A$1:$L$1</definedName>
  </definedNames>
  <calcPr calcId="125725"/>
  <pivotCaches>
    <pivotCache cacheId="0" r:id="rId11"/>
    <pivotCache cacheId="1" r:id="rId12"/>
    <pivotCache cacheId="2" r:id="rId13"/>
    <pivotCache cacheId="3" r:id="rId14"/>
  </pivotCaches>
  <smartTagPr show="none"/>
</workbook>
</file>

<file path=xl/calcChain.xml><?xml version="1.0" encoding="utf-8"?>
<calcChain xmlns="http://schemas.openxmlformats.org/spreadsheetml/2006/main">
  <c r="N9" i="5"/>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M9"/>
  <c r="L9"/>
  <c r="BS13"/>
  <c r="E5" l="1"/>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D5"/>
  <c r="C5"/>
  <c r="AW13"/>
  <c r="AT10" l="1"/>
  <c r="AU7" i="7" l="1"/>
  <c r="AU6"/>
  <c r="AU5"/>
  <c r="AU4"/>
  <c r="AU2"/>
  <c r="BS12" i="5"/>
  <c r="BS11"/>
  <c r="BS10"/>
  <c r="BS15"/>
  <c r="BS14"/>
  <c r="BS8"/>
  <c r="BS4"/>
  <c r="BS7"/>
  <c r="BS2"/>
  <c r="BS3"/>
  <c r="BS6"/>
  <c r="BS9" l="1"/>
  <c r="BS5"/>
</calcChain>
</file>

<file path=xl/comments1.xml><?xml version="1.0" encoding="utf-8"?>
<comments xmlns="http://schemas.openxmlformats.org/spreadsheetml/2006/main">
  <authors>
    <author>Laura Murphy</author>
  </authors>
  <commentList>
    <comment ref="B5" authorId="0">
      <text>
        <r>
          <rPr>
            <b/>
            <sz val="8"/>
            <color indexed="81"/>
            <rFont val="Tahoma"/>
            <charset val="1"/>
          </rPr>
          <t>Laura Murphy:</t>
        </r>
        <r>
          <rPr>
            <sz val="8"/>
            <color indexed="81"/>
            <rFont val="Tahoma"/>
            <charset val="1"/>
          </rPr>
          <t xml:space="preserve">
Open-Critical</t>
        </r>
      </text>
    </comment>
    <comment ref="B9" authorId="0">
      <text>
        <r>
          <rPr>
            <b/>
            <sz val="8"/>
            <color indexed="81"/>
            <rFont val="Tahoma"/>
            <charset val="1"/>
          </rPr>
          <t>Laura Murphy:</t>
        </r>
        <r>
          <rPr>
            <sz val="8"/>
            <color indexed="81"/>
            <rFont val="Tahoma"/>
            <charset val="1"/>
          </rPr>
          <t xml:space="preserve">
Open-Critical</t>
        </r>
      </text>
    </comment>
  </commentList>
</comments>
</file>

<file path=xl/sharedStrings.xml><?xml version="1.0" encoding="utf-8"?>
<sst xmlns="http://schemas.openxmlformats.org/spreadsheetml/2006/main" count="3056" uniqueCount="996">
  <si>
    <t>ID</t>
  </si>
  <si>
    <t>Workstream</t>
  </si>
  <si>
    <t>Assigned To</t>
  </si>
  <si>
    <t>Profile</t>
  </si>
  <si>
    <t>Priority</t>
  </si>
  <si>
    <t>Title</t>
  </si>
  <si>
    <t>Countdown</t>
  </si>
  <si>
    <t>Days Open</t>
  </si>
  <si>
    <t>Update Log</t>
  </si>
  <si>
    <t>PMO Check</t>
  </si>
  <si>
    <t>Assigned to</t>
  </si>
  <si>
    <t>Impact</t>
  </si>
  <si>
    <t>Required_Resolution</t>
  </si>
  <si>
    <t>Validated by</t>
  </si>
  <si>
    <t>Validation_Due</t>
  </si>
  <si>
    <t>Decision Forum</t>
  </si>
  <si>
    <t>Required_By</t>
  </si>
  <si>
    <t>IAM</t>
  </si>
  <si>
    <t>Ted Balfour</t>
  </si>
  <si>
    <t>Lync</t>
  </si>
  <si>
    <t>Outlook/Exchange</t>
  </si>
  <si>
    <t>Rewa Bouji</t>
  </si>
  <si>
    <t>No policies or procedures have been provided by M&amp;C for Group Management</t>
  </si>
  <si>
    <t>current</t>
  </si>
  <si>
    <t>Wk 31-Oct</t>
  </si>
  <si>
    <t>Decisions</t>
  </si>
  <si>
    <t>Critical Assumptions</t>
  </si>
  <si>
    <t>Critical Risks</t>
  </si>
  <si>
    <t>Assumptions (Total)</t>
  </si>
  <si>
    <t>Issues (Total)</t>
  </si>
  <si>
    <t>Risks (Total)</t>
  </si>
  <si>
    <t>Status</t>
  </si>
  <si>
    <t>1) Not yet validated</t>
  </si>
  <si>
    <t>1) Pending</t>
  </si>
  <si>
    <t>Grand Total</t>
  </si>
  <si>
    <t>(Multiple Items)</t>
  </si>
  <si>
    <t>Overdue Risks</t>
  </si>
  <si>
    <t>Overdue Issues</t>
  </si>
  <si>
    <t>Assumptions</t>
  </si>
  <si>
    <t>URL</t>
  </si>
  <si>
    <t>Martin Kremmer</t>
  </si>
  <si>
    <t>Trigger_Date</t>
  </si>
  <si>
    <t>Transition</t>
  </si>
  <si>
    <t>Shaun Bradley</t>
  </si>
  <si>
    <t>Business Deployment</t>
  </si>
  <si>
    <t>(All)</t>
  </si>
  <si>
    <t>Delays in confirming deployment velocity</t>
  </si>
  <si>
    <t>AD Remediation - Complete the attribute cleansing</t>
  </si>
  <si>
    <t>Inter-operability of Lync and existing softphones</t>
  </si>
  <si>
    <t>M&amp;C Program</t>
  </si>
  <si>
    <t>David Bingham</t>
  </si>
  <si>
    <t>Geoff Thompson</t>
  </si>
  <si>
    <t>Test schedule does not allow for effective Integration Testing between O/E &amp; Lync</t>
  </si>
  <si>
    <t>Lack of a consolidated deployment strategy for Lync &amp; OE</t>
  </si>
  <si>
    <t>Craig Burnside</t>
  </si>
  <si>
    <t>Delivery compromised through poor resource management</t>
  </si>
  <si>
    <t>MSP Vendor Business case could be eroded if further on prem countries cannot be supported offshore</t>
  </si>
  <si>
    <t>There is a risk that program delivery milestones will be impacted by resource availability constraints over the Christmas period</t>
  </si>
  <si>
    <t>Nick Coburn</t>
  </si>
  <si>
    <t>Complex deployment of Outlook and SharePoint</t>
  </si>
  <si>
    <t>Cross programme release management</t>
  </si>
  <si>
    <t>The current I&amp;O Change Management process does not support the planed rollout velocity for Lync and Outlook.</t>
  </si>
  <si>
    <t>Steven Jelf</t>
  </si>
  <si>
    <t>Current plans (L0,L1&amp;L3) are outdated without the extent of slippages being known.</t>
  </si>
  <si>
    <t>Lack of a confirmed DCC schedule is impacting planning for On-prem build and deployment</t>
  </si>
  <si>
    <t>No identified country based business approval defined for MIA</t>
  </si>
  <si>
    <t>Punit Shah</t>
  </si>
  <si>
    <t>Risk hardware ordered for on prem countries prior to country buy-in and design being proved will be incorrect and further duplicate spend needed for implementation</t>
  </si>
  <si>
    <t>Business Change</t>
  </si>
  <si>
    <t>Blaine Pardoe</t>
  </si>
  <si>
    <t>4) Executive Decision Group</t>
  </si>
  <si>
    <t>http://sp.ey.net/msibm/Lists/Program%20Risks%20%20TEST/DispForm.aspx?ID=&amp;RootFolder=*</t>
  </si>
  <si>
    <t>3) Program Mgt Team</t>
  </si>
  <si>
    <t>Ian.McGeachie</t>
  </si>
  <si>
    <t>Application Remediation</t>
  </si>
  <si>
    <t>26-Nov-12</t>
  </si>
  <si>
    <t>11-Oct-12</t>
  </si>
  <si>
    <t xml:space="preserve">ID SYNC - AD Attribute population &amp; Standardazation.  </t>
  </si>
  <si>
    <t xml:space="preserve">
15 Oct: Data Standardazation kicking off 18 Oct and continuing for 6 weeks. Will review and close at the end of the deployment period. 9-May: Linked to R141 - until apps are remediated, can't do attribute population and standardization.
28-Mar: Ted sent to Laura for addition to the log. LM emd Ted for details.​</t>
  </si>
  <si>
    <t>5) Steering Committee</t>
  </si>
  <si>
    <t>LNDR</t>
  </si>
  <si>
    <t>Christian Driver</t>
  </si>
  <si>
    <t>Onshore Notes developers are not secured for the duration of the plan.</t>
  </si>
  <si>
    <t>30-Nov-12</t>
  </si>
  <si>
    <t xml:space="preserve">
CD, 19-Jul-12: Risk created (downgraded from issue).​</t>
  </si>
  <si>
    <t>Later than planned deployment of EYAA may reduce number of deactivations in FY13</t>
  </si>
  <si>
    <t>07-Dec-12</t>
  </si>
  <si>
    <t xml:space="preserve">
CD, 18-Oct-12: Initial risk triggers not realised. Good progress on mitigating actions. Next review date moved back in line with next critical milestone/risk trigger.
CD, 20-Sep-12: Risk created.​</t>
  </si>
  <si>
    <t>Neil Sahdev</t>
  </si>
  <si>
    <t>Parallel phases and programs may cause resource issues</t>
  </si>
  <si>
    <t>Stephen McCartney</t>
  </si>
  <si>
    <t>Offices' bandwidths may not support all Lync functionality</t>
  </si>
  <si>
    <t>01-Jan-13</t>
  </si>
  <si>
    <t>Mechanisms for creating, storing and reusing components and other assets do not exist</t>
  </si>
  <si>
    <t>01-May-13</t>
  </si>
  <si>
    <t xml:space="preserve">
11-Sep: Per David, Trigger Date is May 2013; next monthly exec meeting to review after is 6-October
10-Sept (David): This is covered at the Exec meeting monthly. Therefore can I suggest we keep it at M&amp;C level and based on the Exec meeting update it accordingly - it will remain a risk until Sharepoint 1 is live at least ! LM&gt; David for trigger date, next review.
10-Sept (Brett): Not to do with Enterprise Plan; Certainly it impacts our ability to execute an enterprise plan of interdependent programs using/building SharePoint but they key issue is that while we need to be able to share SharePoint components etc between programs there is currently nothing in place to actually allow/facilitate this beyond individual developers and delivery programs more broadly talking to each other, establishing what is being worked on and available etc. The issue therefore results in a situation where business cases are being approved for independent programs to proceed (SDET, GAAIT etc) on the basis that they will share components etc and where our leadership believes this is actually achievable at scale. It is not and would be entirely ad hoc causing either high overhead to achieve or causing it simply not to happen.
4-Sept (LM): LM &gt; Ian for guidance; convo may be needed amongst Chris, David and Brett to align. Per Brett, "This does not address the issue. The things Brian has linked to have always been there. The issue here is that in a practical way there is no real ability for programs to share code/components in the way that is expected by our leadership when they approve parallel efforts such as M&amp;C with GAAIT Replacement, SDET, Oceania Records Management etc. We don't have the internal disciplines or processes and the reality is that code is not shared or managed and is, on the ground, reinvented etc." Ian agreed, 6-Sept, LM &gt; Brett/David to gauge interest in such a call.
29-Aug (LM): E-mailed Brett with details to confirm whether resolution is satisfied by the processes described in the documentation linked below.
23-Aug (LM): Susan Pietretti discussed with Brian Blinco who confirmed that there is a process (documented) around reusable assets/components. He offered to discuss with someone from M&amp;C if needed. Laura &gt; David and Ian with this update; if satisfactory for the need specified in this risk, close. Links here: 
http://connections.ey.net/wikis/home?lang=en#/wiki/Strategy%20%26%20Architecture%20Library/page/Standards%20%26%20Roadmaps%20-%20Platform%20Usage%20and%20Enablement
 http://quickr.ey.net/LotusQuickr/saea/PageLibrary852576A20065DF81.nsf/h_Toc/9816CEAF5A1BDD19852576A200661FB3/?OpenDocument&amp;ts=1319201730153#%7Btype=1&amp;unid=94C3A972E50260FDC12576DC007C5176%7D
http://quickr.ey.net/LotusQuickr/saea/PageLibrary852576A20065DF81.nsf/h_Toc/9816CEAF5A1BDD19852576A200661FB3/?OpenDocument&amp;ts=1319201730153#%7Btype=0&amp;unid=97E8331E4EF2649D852578B5006CC452%7D
22-Aug (LM): Followed-up with Chris; Susan Pietretti will be in touch to discuss.
13-Aug (LM): Discussed with Ian and David and David suggested this would be more appropriately owned by Chris d'Arcy as it is really a risk broader than just M&amp;C. Laura emailed Chris for his input/agreement and update.
18-July: Per Alan, reassigned to David Bingham. LM &gt; David to alert him of reassignment.
23-May: Rewrote Risk extensively following Wall discussion and follow-up between Nick Coburn, Andy Ioannou and Brett van Gelder
16-May: This needs to be escalated to Alan &gt; IT Services leadership. Brett, Nick, and Andy MacRae to talk off-line and take to Alan by next week.
27-Apr: Team determined this is really a risk, not an issue. 23-Apr Brett: This is something that falls mostly in Brian Blinco's Application Architecture function with some involvement from EA Standards Office (Andy Macrae). There is almost certainly need for commitment by IT Services CLT and possible implications from a Methodologies perspective. ​</t>
  </si>
  <si>
    <t>07-Nov-12</t>
  </si>
  <si>
    <t xml:space="preserve">
17-Oct: Geoff - move this out till after 7/11 when we have a program wide test planning workshop which will look at this and other integration issues. 
16 Oct (SB): updated re Test appriach - Simon Barkley
12 Sep CB: reassigned to Geoff
​09 Aug CB: under review by Brian Ford, revising review date to end Sept.
 </t>
  </si>
  <si>
    <t>Gavin Bell</t>
  </si>
  <si>
    <t>Business Case - M&amp;C Support Organization resources</t>
  </si>
  <si>
    <t>Business Case  - Existing Domino Storage &amp; Hosting Costs</t>
  </si>
  <si>
    <t>Business Case - Migration/transformation of Lotus Notes applications</t>
  </si>
  <si>
    <t xml:space="preserve">
02/10/12 - Have held call with James Hartley to understand work of JD&amp;A, further discussions may be required to ensure that there is not double counting of potential benefits in this area.​</t>
  </si>
  <si>
    <t>Business Case - alignment with current scope and timelines</t>
  </si>
  <si>
    <t>It is not known how programs which are targeting FY13 release to users will be prioritised in deployment windows or how I&amp;O are required to prioritise deployments given limited resources</t>
  </si>
  <si>
    <t>Rachel Phillips</t>
  </si>
  <si>
    <t>There is a risk that end user experience will be impacted if Exchange deploys prior to, or at the same time as, Lync</t>
  </si>
  <si>
    <t>There is a risk that we cannot determine the total duration of Outlook migrations or the impact on the FY13 budget and effort required from program and I&amp;O resource, nor ability to confirm that we can complete the migrations to O365 in the required 34 wks</t>
  </si>
  <si>
    <t>31-Oct-12</t>
  </si>
  <si>
    <t>Alexa Briggs</t>
  </si>
  <si>
    <t>Unconfirmed how 3-way lookup will work across O365, on-prem and LN.</t>
  </si>
  <si>
    <t>28-Dec-12</t>
  </si>
  <si>
    <t xml:space="preserve">
8-Oct - SOW in place, confidence will not be increased until we start testing in December (earliest)
17-Sept - hardware now available and SOW approaching agreement. Risk will be closed once SOW is signed and microsoft is on the hook to deliver a working solution into test
08/08 (PN) - Migration &amp; coex signed off and agreed. Coex VMs ordered and implementation proceeding. Migration &amp; Coex SOW WIP to put Migration on the hook for making 3 way work. Nxt review when have hardware, SOW etc.
22/06 (PN) - Migration &amp; Coexistence document still to be signed off expected final review 28/06
07/06 (PN) - Migration &amp; Coexistence document revisd and under review which will detail the design for the three way coexistence - need to resolve and prove the design before Service Ready for Exchange 13 Nov.
16/05 (RB): Migration &amp; Coexistence document under review, aim is to complete in 3 review cycles rather than 5. With DA for review completion w/e 25/05
​01/05: - Migration &amp; Coexistence document expected 03_May, will include 3 way design from LN to Exch On_prem &amp; Cloud
15/03/12: RB: CR026 with CCB for approval. Risk downgraded to minor but not to be closed until design is delivered.
12/03/12: RB: CR has been raised by TF Exchange to Microsoft to produce the design for 3-way coexistence. This has not been done before by Microsoft
27/02/12: RB: Update received from PN: "The change request to introduce the work to define the 3-way coexistence into the exchange On-Prem SOW,  is still being drafted by Microsoft. We expect it to be delivered to us this week. We do know BinaryTree have a established POC of the threeway in their lab."
22-Feb: Paul and TF in conversations with Msft. Awaiting response from Msft.
21/02/12: RB: Added as output from Assumptions log. Assumption cannot be revalidated (Legacy A72)</t>
  </si>
  <si>
    <t>Charles Sclater</t>
  </si>
  <si>
    <t>Dependency on JD&amp;A for application readiness in preparation for rollout/deployment to Pilot countries</t>
  </si>
  <si>
    <t>Commitment for O365 and On-premises services to be consistent gives rise to cost impact for upgrading on-premises infrastructure and undertaking further on-premises migrations when O365 moves to Exchange 2013. This is not budgeted for in FY13.</t>
  </si>
  <si>
    <t>16-Nov-12</t>
  </si>
  <si>
    <t>Risk the build of On-Prem countries in scope of DCC will slip (china and austraila)</t>
  </si>
  <si>
    <t xml:space="preserve">
16/10/12: RB: RB,  A Briggs &amp; D Bingham met with Gareth Thomas in the DCC program 15/10. DCC are working on responding to our request for confirmation of the DCC schedule per our requirements, and also on the cost of each on-prem site build so that we can raise a CR for the costs (logged under R258). The estimate Gareth gave was that they would have a response in the next 2-3 weeks, but we did not have any firm date for delivery.
8-Oct - no response from DCC issue escalated to Rewa being managed in weekly calls with DCC and escalations</t>
  </si>
  <si>
    <t>Outlook/Exchange Delivery will proceed without the 8 "TBC" countries being included in scope</t>
  </si>
  <si>
    <t>Approval/Budget for all Cross Org Application Remediation</t>
  </si>
  <si>
    <t>SharePoint</t>
  </si>
  <si>
    <t>Dave Fraser</t>
  </si>
  <si>
    <t>SP15 Key Delivery Dates</t>
  </si>
  <si>
    <t>15-Feb-13</t>
  </si>
  <si>
    <t>Risk that will not deliver extranet capability in SP in time per business need</t>
  </si>
  <si>
    <t xml:space="preserve">
Nick Coburn 31/07
Still an open risk - working through with program and I/O but overall deployment and release strategy both within MC and across all programs is not clear.
NC 18/09 - Still open and decisions remain re GCL5, and deployment and of Lync and OE.</t>
  </si>
  <si>
    <t xml:space="preserve">
​Nick Coburn 31/07 - Engaged with Business Deployment team to ensure that I/O input is included in the deployment approach and schedule.
Nick Coburn 18/09 - Still open and being worked with delivery team, deployment and I/O. Neext meeting w/c 17/09.
 </t>
  </si>
  <si>
    <t>I/O may not sign off deployment plan without IT Services as early adopters</t>
  </si>
  <si>
    <t>3) High</t>
  </si>
  <si>
    <t>http://sp.ey.net/msibm/Lists/RAID%20%20Issues%20TEST/DispForm.aspx?ID=&amp;RootFolder=*</t>
  </si>
  <si>
    <t>2) Medium</t>
  </si>
  <si>
    <t>No decom/archive capability within I&amp;O</t>
  </si>
  <si>
    <t>1) Low</t>
  </si>
  <si>
    <t>Limited traction being made on reducing the outstanding dependencies.</t>
  </si>
  <si>
    <t>Laura Murphy</t>
  </si>
  <si>
    <t>Exceeded item threshold limit for M&amp;C Program library in SP</t>
  </si>
  <si>
    <t>Countries which will have email hosting on-premise are unclear</t>
  </si>
  <si>
    <t>31-Dec-12</t>
  </si>
  <si>
    <t>13-Jul-12</t>
  </si>
  <si>
    <t>0) Under review</t>
  </si>
  <si>
    <t>Outlook Installations currently existing on user machines</t>
  </si>
  <si>
    <t>Policies and processes for re-imbursement of countries purchasing assets for M&amp;C are not in place and are leading to delays in the ordering of hardware, risking O365 and On-prem timelines</t>
  </si>
  <si>
    <t>Unclear roles and responsibilities between engineering and architecture and lack of an overall technical "lead" for all technology areas impacting O/E</t>
  </si>
  <si>
    <t>Need for new governance responsible for communications (maintenance, outages)</t>
  </si>
  <si>
    <t xml:space="preserve">
02-Oct - N.Coburn - This is a central part of the service design and TOM for Collaboration. Need to determine who should be involved in discussing this given O365 will be with MS.
10-Sep - NC picked up and is investigating the requirement
06-Sep (LS): Emailed Nick to let him know item is overdue
27-Jun:Reassigned to Nick Coburn
19-Jun: With Service Design Team. Working with Transition Team to understand business needs.
01-Jun:  Updated issue criticality to "Low" from medium based on current state of Sharepoint workstream.  Also set the review date to 31 July and Reqired resulution to 31 August based on Service Design planning dates.
04/04: To be addressed through TOM model.
29-Feb:  To be discussed at the M&amp;C Transition Planning mtg in Secaucus.  31-Jan: Added to list of decisions needed by the newTarget Operate Model
25-Jan: Mike has meeting tomorrow with Binu and Mark around infrastructure
17-Jan: In process of integrating with operating model plan.
11-Jan: no owner of Tier 4 long term activities. Mike has put in charge to run this down for Alan overall. Focused on application side of SP. Review when Mike on call next week.
04-Jan: Michelle said this is still open due to external influences. The team said it should be assigned to Mike Laci instead of Guy. Mike not on these calls so maintained Guy's name, as well. Review next week.
19/12/11 - Guy took an action on the dec and assumptions review call to e-mail Chris d'Arcy, copying Alan and John. (LM emd reminder)
12/12 - Opened at the infrastructure meeting​
Migration note: Updated Profile to Program Mgt Team to maintain at Program level.</t>
  </si>
  <si>
    <t>Realignment of IT Transition group and Transition Managers</t>
  </si>
  <si>
    <t>A&amp;DM</t>
  </si>
  <si>
    <t>Alan Guthrie</t>
  </si>
  <si>
    <t>3) Validated</t>
  </si>
  <si>
    <t>A&amp;DM Program budget assumes the use of India-based resources</t>
  </si>
  <si>
    <t>09-Apr-12</t>
  </si>
  <si>
    <t xml:space="preserve">
10-Aug: Christian confirmed still relevant.
2-Jul: LM &gt; Christian.
22-Jun: LM &gt; Christian
9-Apr: Alan provided  updated syntax for this assumption and validated. Read previously: "The ADM program budget assumes the use of Hexaware as the offshore delivery team for the Portfolio teams." This assumption is partially correct. We may also look to use IT Services India and or Microsoft Global Delivery. ​</t>
  </si>
  <si>
    <t>http://sp.ey.net/msibm/Lists/RAID%20%20Assumptions%20TEST/DispForm.aspx?ID=&amp;RootFolder=*</t>
  </si>
  <si>
    <t>Industry standard ratios for Lotus Notes Migrations</t>
  </si>
  <si>
    <t xml:space="preserve">
10-Aug: Christian confirmed this is still relevant.
2-Jul: LM &gt; Christian.
22-Jun: LM &gt; Christian.
9-Apr: Validated by Alan. ​</t>
  </si>
  <si>
    <t>Sophie Boiron</t>
  </si>
  <si>
    <t>The change network is ready on time.</t>
  </si>
  <si>
    <t>10-Apr-12</t>
  </si>
  <si>
    <t>Learning materials will only be provided in English</t>
  </si>
  <si>
    <t>Senior Leadership will support implementation/behavioural changes</t>
  </si>
  <si>
    <t xml:space="preserve">
Needs to be checked regularly and there is probabiliy that this could become a risk​</t>
  </si>
  <si>
    <t>Note included by Sophie that needs to be checked regularly</t>
  </si>
  <si>
    <t>No end user learning in budget other than base learning resource</t>
  </si>
  <si>
    <t>02-May-12</t>
  </si>
  <si>
    <t>2) Active Risk/Issue</t>
  </si>
  <si>
    <t>Development resource available from IT SD teams to support D&amp;ME toolset development</t>
  </si>
  <si>
    <t>tbd</t>
  </si>
  <si>
    <t>01-Nov-12</t>
  </si>
  <si>
    <t xml:space="preserve">
CD, 27 Jun 12: Updated to reflect latest status. Workstream and assigned to updated to reflect new D&amp;ME workstream.​
CD, 19 Jul 12: Assumption trigger was realised. Risk raised to reflect latest position.</t>
  </si>
  <si>
    <t>I&amp;O will support rollout of D&amp;ME toolset and decom inactive/migrated applications​</t>
  </si>
  <si>
    <t xml:space="preserve">
CD, 27 Jun 12: Updated to reflect latest status. Updated workstream and owner to reflect new D&amp;ME workstream.​
CD, 19 Jul 12: This assumption is still valid. However assumption updated to reflect that I&amp;O currently cannot support this work until November 2012 and therefore a new issue has been raised to cover this.</t>
  </si>
  <si>
    <t>DCC Program will perform the archiving of the agreed applications</t>
  </si>
  <si>
    <t>09-Jun-12</t>
  </si>
  <si>
    <t xml:space="preserve">
CD, 27 Jun 12: Updated to reflect latest status. Workstream and ownership updated to reflect new D&amp;ME workstream.​
CD, 19 Jul 12: Updated to reflect this has now been validated and moved to a decision.</t>
  </si>
  <si>
    <t>For Lync go-live, business started transition to GCL5</t>
  </si>
  <si>
    <t>GCL5 Program</t>
  </si>
  <si>
    <t>16-Jul-12</t>
  </si>
  <si>
    <t xml:space="preserve">
SM: 20-Jul-12 We have confirmed that at least some users will be transitioning across to GCL5, so there will be some testing that we need to do on that platform.  Therefore this assumption is validated.
13-Jun: SM - I have re-contacted the GCL5 team to confirm their deployment plan, but have had no response.  I will keep chasing.
28-May: SM - I have contacted the GCL5 team and this is looking likely, however, they requested that I get back to them in a few weeks when their plans will be firmer.  Will update this again then.
30-Apr: From LR101, Stephen requested this be managed as an assumption. Provided syntax and: I am 90% sure this will be the case, but I have contacted the GCL5 team to confirm their roll out plans. LM replied for due date, NRD, and who will validate.​</t>
  </si>
  <si>
    <t>Paul Neave</t>
  </si>
  <si>
    <t xml:space="preserve">Assumption that the required permanent network links to MS data centre's for O365 / SharePoint  can be configured and delivered by the GNP Program in line with the revised delivery dates </t>
  </si>
  <si>
    <t>Steve Yeomans, Paul Neave</t>
  </si>
  <si>
    <t>01-Jul-12</t>
  </si>
  <si>
    <t xml:space="preserve">
2-Jul Migration Note: Note: This item was previously assigned to Brendan Millard.
10-Apr Paul: If Steve is committing to the dates agreed in the workshop then we can consider this validated. Note this is referring to the Permanent VPN  which has date of 16/10/12 due to the procurement lead time.
4-Apr: Steve - I believe this has been validated but if the M&amp;C team want to re-validate this then that's Ok with me. LM emd Al for confirmation.
4-Apr Steve sent updated wording (in desc column). Wording formerly read: The networks requirements for M&amp;C program can be delivered to meet the time scales for M&amp;C program. Network requirements will be delivered as part of the GWAN program, which is yet to be kicked off.
27-Mar: Laura em'd Steve for wording.
22-Mar Brett: This is an assumption and it does have serious impact but things have moved on and GWAN program is kicked off now. I think more critically we should assess whether delivery of dependency items for network should be managed as part of a GWAN program (which has a different charter and scope) or simply delivered by the network team. Either way this should be stated more specifically or be closed.
16-Mar: Steve confirmed he will send updated wording for this assumption.
6-Mar: This needs to be challenged with Brendan Millard; Laura em'd him the item for his awareness. John Murray's work will due to finish in June; would like to review mid-June with due beg-July.​</t>
  </si>
  <si>
    <t>James Harrup-Brook</t>
  </si>
  <si>
    <t>The vendor will start work on a LOI  and start work before the MSA has been signed</t>
  </si>
  <si>
    <t>? unknown</t>
  </si>
  <si>
    <t>28-Mar-12</t>
  </si>
  <si>
    <t xml:space="preserve">
Both vendors have said they will start work on a n initial SOW 28-Mar-2012​</t>
  </si>
  <si>
    <t>LM em'd James to update.</t>
  </si>
  <si>
    <t>No data conversion is required to turn on Lync</t>
  </si>
  <si>
    <t>Adrian Mickleson</t>
  </si>
  <si>
    <t>04-Jan-12</t>
  </si>
  <si>
    <t xml:space="preserve">
04-Jan: Adrian confirmed this has been validated, for all countries including Japan.
Revalidated following O365 decision:  James Harrup-Brook, 28/02/12​</t>
  </si>
  <si>
    <t>Users will be able to operate Lync and Sametime simultaneously,</t>
  </si>
  <si>
    <t>04-Jan RAID call attendees</t>
  </si>
  <si>
    <t xml:space="preserve">
04-Jan: Al and Adrian confirmed that this has been validated.
04-Oct-11: Added by RB
Revalidated following O365 decision:  James Harrup-Brook, 28/02/12​</t>
  </si>
  <si>
    <t>John Lawler</t>
  </si>
  <si>
    <t>Sufficient capacity in global data centers</t>
  </si>
  <si>
    <t>Adrian, Al, Mark, others</t>
  </si>
  <si>
    <t>06-Mar-12</t>
  </si>
  <si>
    <t xml:space="preserve">
​6-Mar: It has been confirmed that Frankfurt will be the only data center (decision D210); assumption valid - there is sufficient capacity.</t>
  </si>
  <si>
    <t xml:space="preserve">The scope of this effort will include all knowledge of the firm </t>
  </si>
  <si>
    <t>Alan Guthrie, Guy Morgan, team on 19-Dec. review call</t>
  </si>
  <si>
    <t>19-Dec-11</t>
  </si>
  <si>
    <t xml:space="preserve">
Revalidated following O365 decision:  Alan, 4-Apr-2012 (sent e-mail confirming this is still valid)​
3-Apr: Laura emd Alan last week, Brett 3-Apr for revalidation.
Validated by Alan on review call 19-Dec; agreed by team. Norm looking for sizing of this; will talk to Michelle about it.
</t>
  </si>
  <si>
    <t>Both Lync and Outlook will have a Business Pilot Phase</t>
  </si>
  <si>
    <t>20-Apr-12</t>
  </si>
  <si>
    <t xml:space="preserve">
30/04: RB: Draft Business Deployment strategy confirms Pilot.
24/03/12: (RB) Assumption cannot yet be validated as Deployment Strategy not yet published; further, pressure to bring forward the deployment timeline is giving rise to discussions about potentially reducing the Pilot scope and duration significantly. assumption to be revisited once baselined plan and deployment strategy published
15/03/12: RB: Pilot for Lync and Outlook agreed in principle, however volumes and duration still subject to agreement with Business Deployment and Operations (who will need to be ready to support Pilot volumes). Deployment/migration schedule and volumes to be discussed in meeting on 21/03/12
14/02/12: RB: Awaiting deployment strategy from Martin Kremmer
18/01/12: RB - To be confirmed with Martin Kremmer following development of business deployment plan
04-Oct-11: Added by RB​</t>
  </si>
  <si>
    <t>http://sp.ey.net/msibm/Lists/RAID%20%20Assumptions%20TEST/DispForm.aspx?ID=6&amp;RootFolder=*</t>
  </si>
  <si>
    <t>Yvonne McGrory</t>
  </si>
  <si>
    <t>The email conversion process can convert 15K boxes per week.</t>
  </si>
  <si>
    <t xml:space="preserve">
21/02/12: RB: Network bandwith challenges may impact number of users able to be migrated. See LR91 (SPID34)
04-Jan: reworded from 5K boxes per night to 15K per week; then Adrian and Al confirmed it can be marked valid.​</t>
  </si>
  <si>
    <t>Window for migration is 15 hours per weekend</t>
  </si>
  <si>
    <t xml:space="preserve">
21/02/12: RB: Output to R97
05-Jan: Al and Adrian confirmed this is valid.
04-Oct-11: Added by RB
​</t>
  </si>
  <si>
    <t>http://sp.ey.net/msibm/Lists/RAID%20%20Assumptions%20TEST/DispForm.aspx?ID=17&amp;RootFolder=*</t>
  </si>
  <si>
    <t>Email conversions only on Weekdays and the plan follows the sun</t>
  </si>
  <si>
    <t>O365 team, Transition management</t>
  </si>
  <si>
    <t>28-Feb-12</t>
  </si>
  <si>
    <t xml:space="preserve">
21/02/12: RB: Output to R97
14/02/12: RB: Needs to be confirmed with MSFT what the maximum number of migrations can be per window for O365, and to confirm with Transition Management what the maximum number of migrations can be for On-prem
18/01/12 - RB Needs to be confirmed with TF and Transition Management to determine what network impact will be if weekday vs weekend​</t>
  </si>
  <si>
    <t>Migrating from Lotus Notes to Microsoft Outlook</t>
  </si>
  <si>
    <t>O365 team</t>
  </si>
  <si>
    <t>21-Dec-12</t>
  </si>
  <si>
    <t xml:space="preserve">
09/10/12_YM: To be validated as part of testing within CVS. To be re-visited post-CVS.  ​</t>
  </si>
  <si>
    <t>GOOD are upgrading their product to support EWS by Q2 2012</t>
  </si>
  <si>
    <t>Nicholas Wood</t>
  </si>
  <si>
    <t>30-Aug-12</t>
  </si>
  <si>
    <t xml:space="preserve">
5-Sept (LM): Per Rewa on fortnightly RAID call, this has been validated. Laura marked as such and sent to Rewa to complete the details.
01-Aug - advance code recieved - working with GOOD &amp; MS on next version expected later this month. See Issue 32
25-Jul (LM): Update expected next wk.
07/06 - Still woriking to this assumption, expecting GOOD to have EWS on general relaese by end of July
3-Apr: This was in decisions log as D208, but Paul clarified that this is an assumption, not a decision. Marked that obsolete and opened here to be validated. Followed up for who will validate and due date.​</t>
  </si>
  <si>
    <t>5-Sept: LM &gt; Rewa for Validated By info and other details.</t>
  </si>
  <si>
    <t>Supported languages in Outlook</t>
  </si>
  <si>
    <t>Matt Cross</t>
  </si>
  <si>
    <t>19-Jul-12</t>
  </si>
  <si>
    <t xml:space="preserve">
5 Sept (MC) - all languages that LN supports are available as language packs in Office 2010 (as well as many others). So no gap between what LN currently offers and what Outlook will provide.
24 Aug: Assumption is MS supports all languages EY conducts business in.  Matt Cross to carry out a gap analysis
22-Aug (LM): Charlie and Craig unsure about this assumption, as this info should be picked up out of requirements and make it into a design document. Charlie will dig as to why this was opened and update or withdraw if necessary.​</t>
  </si>
  <si>
    <t xml:space="preserve">Countries where a DR site exists will have a DR solution for messaging, and countries which do not currently have a DR site will not have one implemented by the DCC or M&amp;C Programs. </t>
  </si>
  <si>
    <t>Siggi Hauer, Alan Guthrie</t>
  </si>
  <si>
    <t>19-Apr-12</t>
  </si>
  <si>
    <t xml:space="preserve">
19/04/12: RB: Logged as output from decision D93. Ongoing assumption, no target validation date​</t>
  </si>
  <si>
    <t>Blackberry and iPhone users will be re-provisioned as part of the move to Exchange</t>
  </si>
  <si>
    <t xml:space="preserve">
04-Jan: Al and Adrian confirmed that this has been validated.
Revalidated following O365 decision:  Paul Neave, 27/02/12​</t>
  </si>
  <si>
    <t xml:space="preserve">CRM integration with Outlook is not expected to be delivered in Phase 1. </t>
  </si>
  <si>
    <t>Jeremy Brown</t>
  </si>
  <si>
    <t>27-Jan-12</t>
  </si>
  <si>
    <t xml:space="preserve">
06/02/12: RB - confirmed via email from Martin Kremmer that CRM not in scope for Day 1
18/01/12: RB - Martin Kremmer seeking clarification from Bob Reiner by Jan 27th
28-Oct-11: Added by RB. N Wood confirmed that CRM integration is not built into current design/planning.​</t>
  </si>
  <si>
    <t>Outlook packages can be deployed before hand and left inactive and be activated on desktops at the time of Migration</t>
  </si>
  <si>
    <t xml:space="preserve">
21/02/12: RB: Awaiting response from Paul Neave on revalidation
04-Jan: Adrian confirmed that this is valid.
Revalidated following O365 decision:  Paul Neave, 221/02/12​</t>
  </si>
  <si>
    <t>Brett van Gelder</t>
  </si>
  <si>
    <t>No SharePoint integration with Imanami GroupID</t>
  </si>
  <si>
    <t>Oleksiy Volkov</t>
  </si>
  <si>
    <t>20-Jul-12</t>
  </si>
  <si>
    <t xml:space="preserve">
18-July (LM): Brett confirmed this is validated (Oleksiy on holiday). (CC'd Oleksiy for his awareness)
2 July : Updated by BvG to be accurate.
29 Jun : Assigned to Brett van Gelder to confirm this was agreed.
28 Jun: NC Meeting setup with the Collaboration Architect Norm Lambert who wrote a white paper on this topic, to confirm this was agreed with Brett Van Gelder.
12-Jun (LM) Per Michelle, updated Assigned to to Nicola Cooper.
3-Apr - Logged ​</t>
  </si>
  <si>
    <t>Michelle Edmonds</t>
  </si>
  <si>
    <t>This SP POC effort does not include document management</t>
  </si>
  <si>
    <t xml:space="preserve">
Revalidated following O365 decision:  Michelle, 28-Mar-2012, December 20120 meeting with MS
​04-Jan: Michelle said this hs been validated; was from a meeting in December 2010. All docs have been updated accordingly.
</t>
  </si>
  <si>
    <t>SP POC effort does not need to document collaboration requirements</t>
  </si>
  <si>
    <t xml:space="preserve">
Revalidated following O365 decision:  Michelle, 28-Mar-2012, December 20120 meeting with MS​
04-Jan: Michelle said this hs been validated; was from a meeting in December 2010. All docs have been updated accordingly.
</t>
  </si>
  <si>
    <t xml:space="preserve">The functionality of this SP POC effort will be dependent upon 2010 </t>
  </si>
  <si>
    <t xml:space="preserve">
​04-Jan: Michelle said this hs been validated; was from a meeting in December 2010. All docs have been updated accordingly.
Revalidated following O365 decision:  Michelle, 28-Mar-2012, December 20120 meeting with MS</t>
  </si>
  <si>
    <t>Decisions from the Design Authority will be received in 1 week</t>
  </si>
  <si>
    <t xml:space="preserve">
​1/4/2012 - Michelle stated on call that this is true. Has been validated.
Revalidated following O365 decision: Michelle, 28-Mar-2012, replanned</t>
  </si>
  <si>
    <t xml:space="preserve"> Code must be able to be used by other SP solutions, where applicable</t>
  </si>
  <si>
    <t xml:space="preserve">
​04-Jan: Michelle confirmed that this is true. List as validated/close.
Revalidated following O365 decision: Michelle, 29-Mar-2012, revalidated</t>
  </si>
  <si>
    <t xml:space="preserve">Phase 1 Delivery - the project team is responsible for developing development, architecture and design standards for the SP platform </t>
  </si>
  <si>
    <t xml:space="preserve">
04-Jan: Michelle said this is true and has been validated. Plans have been updated accordingly.
07-Oct-2011: BvG: Development of standards etc. under the direction of Enterprise Architecture
Revalidated following O365 decision:  Michelle, 29-Mar-2012, revalidated.​</t>
  </si>
  <si>
    <t xml:space="preserve">The team will use OOB, then 3rd party and then customizations to meet the business need </t>
  </si>
  <si>
    <t xml:space="preserve">
​04-Jan: Michelle said this is true and had been validated. Plans have been updated accordingly.
Revalidated following O365 decision:  Michelle, 29-Mar-2012, revalidated.</t>
  </si>
  <si>
    <t>Work completed by the Embedded Knowledge team should be used to expedite the processes</t>
  </si>
  <si>
    <t>Data in files shares across EY will not be moved into SharePoint (Fusion) in an automated fashion</t>
  </si>
  <si>
    <t>30-Mar-12</t>
  </si>
  <si>
    <t xml:space="preserve">
30-Mar: Michelle sent validation confirmation. Validated by Michelle.</t>
  </si>
  <si>
    <t>Approximate sizes of the Content management solutions and engagement data</t>
  </si>
  <si>
    <t xml:space="preserve">
30-Mar: Michelle sent validation confirmation. Validated by Michelle.​</t>
  </si>
  <si>
    <t>No development changes will be made to the Taxonomy manager or the Auto classifier product</t>
  </si>
  <si>
    <t>20-Mar-12</t>
  </si>
  <si>
    <t xml:space="preserve">
​In the current replan 20-Mar-12</t>
  </si>
  <si>
    <t>Autoclassifier and taxonomy manager products can be installed at different times</t>
  </si>
  <si>
    <t xml:space="preserve">
In the current replan 20-Mar-12​</t>
  </si>
  <si>
    <t>Both the term store and the existing Taxi system will be kept up to date by the business</t>
  </si>
  <si>
    <t xml:space="preserve">One view of EY externally that is consistent </t>
  </si>
  <si>
    <t xml:space="preserve">Ovitas only receives taxonomy; does not update. </t>
  </si>
  <si>
    <t>The candidate workloads for implmenting on BPOS for SharePoint</t>
  </si>
  <si>
    <t>TF Meeting</t>
  </si>
  <si>
    <t>18-Jan-12</t>
  </si>
  <si>
    <t xml:space="preserve">
04-Jan: Assigned Adrian, per call, with review date 18-Jan. This will have to be changed completely due to impact from change - BPOS.​</t>
  </si>
  <si>
    <t>The ELM process of linking TFS to HP QC will meet the BA/PM needs</t>
  </si>
  <si>
    <t xml:space="preserve">
​20 March 0 this process is working as needed</t>
  </si>
  <si>
    <t xml:space="preserve"> Only 3rd party products over $50K will be required to go to formal RFP</t>
  </si>
  <si>
    <t xml:space="preserve">
Assumption has been validated 20-Mar-2012​</t>
  </si>
  <si>
    <t>CMS Vision &amp; Scope document is meant to obtain a common understanding of the vision of a global content management solution</t>
  </si>
  <si>
    <t xml:space="preserve">
vision and Scope contains that level 20-Mar2012​</t>
  </si>
  <si>
    <t>Existing ARC data will not be moved into SP</t>
  </si>
  <si>
    <t xml:space="preserve">
​30-Mar: Michelle sent validation confirmation. Validated by Michelle.</t>
  </si>
  <si>
    <t xml:space="preserve">Existing SP sites that were built on 2007 will not be converted into SharePoint </t>
  </si>
  <si>
    <t>Anything in front end needs to be available in CMS / preview environment</t>
  </si>
  <si>
    <t xml:space="preserve">CMS does not need to be released this calendar year. </t>
  </si>
  <si>
    <t>Infrastructure can be provided in the time on the plan</t>
  </si>
  <si>
    <t>Must deliver in calendar year 12</t>
  </si>
  <si>
    <t>Scope provided in the detailed drafts will be the scope desired by BPO</t>
  </si>
  <si>
    <t>SP Cloud infrastructure will be delivererd in 30 or less weeks</t>
  </si>
  <si>
    <t>Release 1 UX will be OOB SharePoint with only minor branding</t>
  </si>
  <si>
    <t>People Profiles, My Sites and Communities will be hosted in the cloud</t>
  </si>
  <si>
    <t>No performance testing of cloud workloads</t>
  </si>
  <si>
    <t>Delivery of the project will be done in smaller releases of functinoality</t>
  </si>
  <si>
    <t>SP Governance decisions will be defined and agreed to before needed by the SP workstreams</t>
  </si>
  <si>
    <t>Gregory Van Valkenburgh</t>
  </si>
  <si>
    <t>Social data is not replicated between O365 &amp; on-Prem</t>
  </si>
  <si>
    <t>Microsoft</t>
  </si>
  <si>
    <t>04-Apr-12</t>
  </si>
  <si>
    <t xml:space="preserve">
4-Apr: Indication from Norm L and Microsoft is that social data replication is not supported in the current version of the cloud service​</t>
  </si>
  <si>
    <t>Existing Communities platforms (e.g., Connections) cannot be retired until all relevant communities on that platform are migrated to SharePoint</t>
  </si>
  <si>
    <t xml:space="preserve">
4-Apr: Work to decomission old communities platforms cannot be executed until the platform's communities are no longer used​</t>
  </si>
  <si>
    <t>MS Developers will be used to help guide with EY Technopark  offshore resources assisting with development</t>
  </si>
  <si>
    <t>Alma Cardenez, Howard Jones, Norm Beard and Michelle Edmonds</t>
  </si>
  <si>
    <t>03-Apr-12</t>
  </si>
  <si>
    <t xml:space="preserve">
3-Apr - Logged ​</t>
  </si>
  <si>
    <t>Hexaware onshore / offshore model will be used for testing</t>
  </si>
  <si>
    <t>Alma Cardenez, Howard Jones. Norm Beard and Michelle Edmonds</t>
  </si>
  <si>
    <t>Only configuration work would be done in Release 1 with the development effort focused mainly on packaging those configurations for deployment</t>
  </si>
  <si>
    <t xml:space="preserve">BA Leads from EY and MS would be used across the Blueprint and SharePoint </t>
  </si>
  <si>
    <t xml:space="preserve">
​3-Apr - Logged</t>
  </si>
  <si>
    <t>Cost of Concept Searching would be approximately $1.2M</t>
  </si>
  <si>
    <t>Conversation with the vendor on cost</t>
  </si>
  <si>
    <t>Average MS contractor rate for planning would be $300 / per hour</t>
  </si>
  <si>
    <t>Howard Jones</t>
  </si>
  <si>
    <t>The machine translation tool is owned by the CMS workstream and is needed for Release 1</t>
  </si>
  <si>
    <t>Cheryl Faust</t>
  </si>
  <si>
    <t>The HTML editor is owned by the CMS workstream and is needed for Release 1</t>
  </si>
  <si>
    <t>The requirements for searching content within the CMS will be devleoped by the CMS team and ijmplemented by the Search team</t>
  </si>
  <si>
    <t>No customizations to the OOB tranlsation tool software offering are in scope for release 1</t>
  </si>
  <si>
    <t>All core CMS capabilities are required for Release 1</t>
  </si>
  <si>
    <t>CMS Release 1 delivery wil not have content available</t>
  </si>
  <si>
    <t>The quick hits developed by frog wil not be used by the CMS.</t>
  </si>
  <si>
    <t xml:space="preserve">The following known unknowns have not be included in the ROMS. </t>
  </si>
  <si>
    <t>The CMS solution will replace the ey.com web content management solution</t>
  </si>
  <si>
    <t>Mass content updates are in the scope of CMS release 1</t>
  </si>
  <si>
    <t>CMS translation tool POC will follow behind the blueprint work</t>
  </si>
  <si>
    <t>HLD / DA will accept the plan to synchronize the metadata with only 40 hours of additional work needed</t>
  </si>
  <si>
    <t>Norm Lambert</t>
  </si>
  <si>
    <t>As content is migrated to SP, it wil be searchable</t>
  </si>
  <si>
    <t>Ed Dale</t>
  </si>
  <si>
    <t>The Concept searching Taxonomy manager product will be hosted on premise</t>
  </si>
  <si>
    <t xml:space="preserve">
​3-Apr - Logged - Need to confirm with BPO</t>
  </si>
  <si>
    <t>Michael Cliffel</t>
  </si>
  <si>
    <t>Relevance tuning will be done after dpeloyment as content is added</t>
  </si>
  <si>
    <t>OOTB SharePoint decommissioning, without archival will be enabaled for release 1</t>
  </si>
  <si>
    <t>Ken Hammond</t>
  </si>
  <si>
    <t>One community template will be developed for release 1</t>
  </si>
  <si>
    <t>Release 1 will include a community landing page</t>
  </si>
  <si>
    <t>Profiles will be data sourced from English sources</t>
  </si>
  <si>
    <t>Sandra Dillon</t>
  </si>
  <si>
    <t>Connections Profiles will continue to remain in place until all the current communities are completed migrated to SP</t>
  </si>
  <si>
    <t>Initiate storage quota for MySite will be set at 250MB</t>
  </si>
  <si>
    <t>IT involvement in the data migration of exisitng CV applications is out of scope for release 1</t>
  </si>
  <si>
    <t>No customizations to the OOB edit profile page</t>
  </si>
  <si>
    <t>business requirement teams will be smaller and more nimble than the earlier model</t>
  </si>
  <si>
    <t>Release 1 -- Integration between the cloud SP and Imanami group management solution</t>
  </si>
  <si>
    <t xml:space="preserve">
Assumption for Release 1 - per Michelle 30-Mar. (Below records from Issue 71A)
30-Mar Michelle: It is my understanding that Release 1 did not estimate the work to have the integration between the cloud SP and Imanami group management solution.   Per discussion with the BPO, the process will be for all sites to be open and only be restricted as an exception.   I agree, Brett, that longer term, especially with the blueprint work, these requirements will start to emerge and we will need to consider this work as a part of that longer term work.
30-Mar Brett: I think we need to take care here about long term consequences of short term decisions (like those focused on Release 1). Communities are not the only use of member management though they are the ones that will need it in Release 1. Down the line any SharePoint site will need member management and that would be either by site owner (using SP groups and/or Imanami - with or without easy integration, AD groups via Imanami or automated - using GFIS etc). Please make sure that short term decisions are documented as short term decisions and are not carried forward into other workstreams or future releases in appropriately.
29-Mar Greg: Bottom line question is: do we need integration between SharePoint and Imanami (e.g., for Release 1) -- we need management guidance/direction on this.
In the recent replanning/rescoping on SharePoint, we have NOT included Imanami integration in the proposed Release 1 scope.  Assuming this "NOT" direction is confirmed by necessary management/ stakeholders, the item can be closed, and the decision to NOT include this integration logged."that UX impact for SP was too significant and the approach was not to use the tool integrated in SP Communities."Potential downside to NOT having this integration could have meant SharePoint member management has to be performed in two different tools (some parts in self service Imanami, some in SharePoint).  If the disposition of I71B means SharePoint is primarily not using AD Groups, that is somewhat consistent with the "NOT" direction.​</t>
  </si>
  <si>
    <t>The goal of the POC is to validate that Workflow processes and metadata come together as expected for a sub-set of content</t>
  </si>
  <si>
    <t>NewsGator selection is not included in the current plan for Release 1</t>
  </si>
  <si>
    <t>Ken Hammond / Sandra Dillon</t>
  </si>
  <si>
    <t xml:space="preserve">
23-Mar Indication from Ken Hammond to plan for no-Newsgator scenario​</t>
  </si>
  <si>
    <t>Nicola Cooper</t>
  </si>
  <si>
    <t>Holiday impact on availability</t>
  </si>
  <si>
    <t>(Michelle Edmonds - past validation)</t>
  </si>
  <si>
    <t xml:space="preserve">
17-Oct: Per Andy on fortnightly RAID call, Nicola is working to ensure have the approp. cover for this period; not yet validated.
6 Sept (NC) : We have ensured all Collaboration resource have entered their Christmas Vacation in the SharePoint Calendar the next task is to assess the planned work during this period against the forecast absence. This will take place during the week 10-15th September.
3-Jul: Per Nicola, migrate across. This will need to validated again for the current year. LM set due date 11/1/2012 and next review to 9/1/2012.
in the past 20-Mar-2012</t>
  </si>
  <si>
    <t>GAAIT replacement work has not yet been added to the plan</t>
  </si>
  <si>
    <t xml:space="preserve">
3-Jul: Per Nicola, still valid, migrate to new log.
2-Jul: LM &gt; Michelle, Nicola - status update?
Working to determine which GAAIT work to add 20-Mar-2012​</t>
  </si>
  <si>
    <t>4) Validated</t>
  </si>
  <si>
    <t>Generic Knowledge renamed to User Experience</t>
  </si>
  <si>
    <t>Functional Stakeholder Group</t>
  </si>
  <si>
    <t>28-Sep-11</t>
  </si>
  <si>
    <t xml:space="preserve">
13-Feb: This is not affected by O365 decision; consider revalidated.​
Decision makers: Participants in September 2011 FSG meeting in Washington DC</t>
  </si>
  <si>
    <t>http://sp.ey.net/msibm/Lists/RAID%20%20Decisions%20TEST/DispForm.aspx?ID=63&amp;RootFolder=*</t>
  </si>
  <si>
    <t>Business engagement via the ITSD teams for Mail-Integrated Applications</t>
  </si>
  <si>
    <t>IT Sponsor</t>
  </si>
  <si>
    <t xml:space="preserve">
​IM 3 Aug: Forumed changed to IT Sponsor after EDG review</t>
  </si>
  <si>
    <t>http://sp.ey.net/msibm/Lists/RAID%20%20Decisions%20TEST/DispForm.aspx?ID=&amp;RootFolder=*</t>
  </si>
  <si>
    <t>On-premises countries will be migrated to Outlook Exchange in a 3 month window between August and October 2013</t>
  </si>
  <si>
    <t>Business Sponsor</t>
  </si>
  <si>
    <t>31-Aug-12</t>
  </si>
  <si>
    <t>A&amp;DM to build EYAA</t>
  </si>
  <si>
    <t>Program Mgt Team</t>
  </si>
  <si>
    <t>09-May-12</t>
  </si>
  <si>
    <t xml:space="preserve">
30-May (LM): Neil said on fortnightly call that this has been validated; took action to mark accordingly.
9-May: Neil trying to determine who can declare final confirmation on this decision. Ian suggested DA; Neil will follow-up. ​
CD, 27 Jun 12: Migrated ownership from Neil to Christian and changed workstream to D&amp;ME.
CD, 19 Jul 12: Updated to reflect this decision was actually made.</t>
  </si>
  <si>
    <t>A&amp;DM renamed Decommission and Migration Enablement, to reflect revised scope for FY13.</t>
  </si>
  <si>
    <t>CLT</t>
  </si>
  <si>
    <t>01-Jun-12</t>
  </si>
  <si>
    <t xml:space="preserve">
21-June: LM added per Christian Driver.​ Decision Makers = CLT</t>
  </si>
  <si>
    <t>Voicemail retention period for auto deletion set to 30, 45 or 60days</t>
  </si>
  <si>
    <t>Executive Decision Group</t>
  </si>
  <si>
    <t>25-Jul-12</t>
  </si>
  <si>
    <t xml:space="preserve">
1st Aug -Decision now made by EDG- see above.
30Jul - recommendation was:
After significant debate Q&amp;RM have agreed that Voicemail Forwarding should be enabled (knowning the fact that once forwarded, voicemails can no longer be deleted automatically after a certain time period). The agreement is that by default non forwarded voicemails will be deleted (regardless of if they have been listened to or not) after a period of 30 days. 
In addition, it is agreed that assuming a sucessful series of further functional tests are conducted on the Speech to text translation feature, this should be enabled also, however it should be noted that Q&amp;RM had an action to ensure tha the US GCO were informed of potential quality issues surrounding this functionality. 
18-July (LM): Per Steve, this is not yet on the critical path for Outlook/Exchange. Steve will provide further update (Updated required by per 11-July update, EDG meeting 25-July, no material impact at this point.)
11th July - This decision needs to go to the Executive Decision Group. Iain Matheson aware, and documentation / slide available. Next EDG will be 25th July
19-June Q&amp;RM update: Single frame sent to S Chakerian for further debate and guidance as to if this should be raised to the Executive Decision Group . Info to be provided by Tuesday 26th June.
13th June - Further discussions held on this topic with Ent Architecture and Inf Eng. Awaiting confirmation from Nick Wood on if there is ability to restrict listening to a voicemail that is over a certain time period.  Single frame being produced for Q&amp;RM (15th June) to then review and decide if this should be taken up to the Exec Decision Group.
21-May: Wait until June to review again; this decision from Q&amp;RM still about a month out.
14-May​: Reviewed on Lync call; target updated to 12-June rather than 2-June since decision is still about a month out.
09 May - This is still ongoing. Escalation received about America's concerns. Working this through currently with the DA and SMEs
26-Apr Al: Steve should have answer next Wed, 2-May. (prior date - 12 Nov 2012)
16th April
SJ to chase Susan Chakerian for formal response on if Lync functionality described sohuld be diabled for the Americas.
4th April -
After detailed investigations, there is no practical technical solution to cater for automatically deleting forwarded / converted voicemails.  Therefore an outstanding decision remains for the Americas - Disable forwarding and "Speech to text" functionality completely or accept the risk - Awaiting feedback - SC to advise on revised timings.
6th March - Accepted that no technical solution exists. Outstanding decision required by Americas area as to if voicemail forrwarding and speech translation to text should be disabled. All other areas have accepted the risk.
22nd Feb - It is confirmed that no technical solution exists out of the box or via RMS 3rd party tools to meet the business requirement.
Further request made to confirm if a product does exist on the market to cater for our "auto delete" requirements. Q&amp;RM have been asked to make a decision assuming no further tools are available to meet the requirement. Further info expected 9th March.
(SJ) to set up a further meeting with IIT Services engineering architects to review what exact configurations can be made, reporting back to SC on this., The aim will then be to confirm a configuration for the enabling of legal disclaimers for external related chats.
1-Feb: Nick, Juan and Klara working on a deck around this. Need Nick to tell us whether Msft can meet the need or what 3rd party tools are available. Adrian will chase this as a first step and come back to Steve.
9-Feb James H.-Unable to clarify the scope with vendor (if cloud is chosen) until decision is made.
10-Feb SJ - Either the technology will support the requirements, or not.
Awaiting technical validation, prior to cycling back to Q&amp;RM.
(Don’t believe this will be a business decision at this point).   </t>
  </si>
  <si>
    <t>Dialling emergency service numbers with Lync</t>
  </si>
  <si>
    <t>Messaging Design Authority</t>
  </si>
  <si>
    <t>08-Jul-12</t>
  </si>
  <si>
    <t>http://sp.ey.net/msibm/Lists/RAID%20%20Decisions%20TEST/DispForm.aspx?ID=55&amp;RootFolder=*</t>
  </si>
  <si>
    <t>Lync device spend in FY13</t>
  </si>
  <si>
    <t>I&amp;O</t>
  </si>
  <si>
    <t>30-May-12</t>
  </si>
  <si>
    <t xml:space="preserve">
IM 3 Aug: Changed to I&amp;O after EDG review​</t>
  </si>
  <si>
    <t>Provisional agreement on Lync phases</t>
  </si>
  <si>
    <t>28-Mar-11</t>
  </si>
  <si>
    <t xml:space="preserve">
No decision forum included in legacy data. ​</t>
  </si>
  <si>
    <t>Need new link to document.</t>
  </si>
  <si>
    <t>Martin Versteeg NL010015178</t>
  </si>
  <si>
    <t>Deployment of latest Msft Updates for Lync and Outlook Dormant Client Packages</t>
  </si>
  <si>
    <t xml:space="preserve">
Migration note: Decision makers legacy data: Brett, Exchange and Lync PMs​
Project: Lync &amp; Exchange
From A83B. 3-Apr this item came up on daily calls as overdue for validation; Brett sent the following comment: A83B should be recorded as a decision and the Exchange and Lync PMs should be aware of that responsibility. I don't see any need for this to persist as an Assumption as it means it is not being acted on. Laura sent email to Ted and Daren with this update info.</t>
  </si>
  <si>
    <t>http://sp.ey.net/msibm/Lists/RAID%20%20Decisions%20TEST/DispForm.aspx?ID=65&amp;RootFolder=*</t>
  </si>
  <si>
    <t xml:space="preserve">Sametime groups will not be moved as part of the Lync go live. </t>
  </si>
  <si>
    <t>04-Oct-11</t>
  </si>
  <si>
    <t xml:space="preserve">
Migration note: Legacy decision makers: Participants in September 2011 FSG meeting in Wash. DC​
4-Apr: Al &gt; James, James: This is valid, we will not be migrating buddy list into Lync.
3-Apr-2012: Rewa believes this is valid, but needs to be confirmed by Al as relates to Lync and may change per the new vendor. Laura followed up with Al.
Also, Rewa provided an update - there will NOT be an xml/widget to transfer existing buddy lists. Laura removed this line from the Decision desc. "There will be an xml applet/widget that users can choose to run once Lync is activated that will migrate their Sametime groups across to Lync"
04-Oct-11: Added by R Bouji</t>
  </si>
  <si>
    <t>http://sp.ey.net/msibm/Lists/RAID%20%20Decisions%20TEST/DispForm.aspx?ID=66&amp;RootFolder=*</t>
  </si>
  <si>
    <t>Sametime client will be hidden from use once Lync activated</t>
  </si>
  <si>
    <t xml:space="preserve">
4-Apr Al &gt; James: James - This is valid - the ST client will be hidden from use
3-Apr-2012: Rewa believes this is valid, but needs to be confirmed by Al as relates to Lync and may change per the new vendor. Laura followed up with Al. ​</t>
  </si>
  <si>
    <t>http://sp.ey.net/msibm/Lists/RAID%20%20Decisions%20TEST/DispForm.aspx?ID=68&amp;RootFolder=*</t>
  </si>
  <si>
    <t>Lync Performance Testing</t>
  </si>
  <si>
    <t>Wording of Legal Disclaimers (Lync)</t>
  </si>
  <si>
    <t>Quality &amp; Risk Mgt Group</t>
  </si>
  <si>
    <t>Enabling / disabling viewing of calendar information (Presence) within Lync</t>
  </si>
  <si>
    <t>01-Feb-12</t>
  </si>
  <si>
    <t xml:space="preserve">Enabling the saving of Lync Chat Transcripts   </t>
  </si>
  <si>
    <t>01-Mar-12</t>
  </si>
  <si>
    <t>Who should pay for in-office SBAs</t>
  </si>
  <si>
    <t>Confirmation required around who will pay for SBAs, which are required to enable Lync to be used for inbound / outbound dialling</t>
  </si>
  <si>
    <t xml:space="preserve">
25-Jul (LM): This goes to the EDG today. Update pending.​</t>
  </si>
  <si>
    <t>Disablement of Lync softphone functionality for users already with existing softphone clients</t>
  </si>
  <si>
    <t>Domain Controllers for use by Lync</t>
  </si>
  <si>
    <t>Enterprise and Information Architecture</t>
  </si>
  <si>
    <t>17-Oct-12</t>
  </si>
  <si>
    <t>Ian Bourne</t>
  </si>
  <si>
    <t>Single/Central RAID Logs for entire Program</t>
  </si>
  <si>
    <t>14-May-12</t>
  </si>
  <si>
    <t xml:space="preserve">
9-May: Updated due date from 4-May due to back-up of migration. New process to be established and communicated by 14-May.
20-Apr Laura: Process changing; Moving to one log (SP list format) for entirety of program. Pilot to start 20-Apr, go live scheduled for w/e 4-May. Updated due date as plan to have all process documentation aligned with new process in place at that point.
14-Mar: changing - planning to move doc to different format. Other changes may occur out of 30 day plan.
27-Feb-2012: Ian and Laura confirming process for workstream RAID management.
21-Apr-2010 decision had been: We will have one RAID for the entire Program / each workstream may need a supplemental RAID​</t>
  </si>
  <si>
    <t>http://sp.ey.net/msibm/Lists/RAID%20%20Decisions%20TEST/DispForm.aspx?ID=16&amp;RootFolder=*</t>
  </si>
  <si>
    <t>​Do not populate Manager Attributes in AD at this time</t>
  </si>
  <si>
    <t>CBS</t>
  </si>
  <si>
    <t>21-May-12</t>
  </si>
  <si>
    <t xml:space="preserve">
[Update from Q&amp;RM log: 19-June:Recomendation from Q&amp;RM is that this field is not displayed]
18-May: Reconfirmed decision to NOT populate one last time with Sandra Dillonn, Greg Nemeth, Jayee Nadkarni, Joan Kerrigan
11-May: Met again with representatives from People team and confirmed decision to NOT populate -- Sandra Dillon, Greg Nemeth, Jayee Nadkarni, Joan E. Kerrigan, Tony Crossley.  Confirmed that they do not want this data populated in the short term.  If and when it were populated with counselor data, the team felt it important that the term "Counselor" should be used in the UI instead of "Manager".  (This would require customization(s) that would need to be analyzed -- e.g., for feasibilty)
9-May: Ted will follow-up with Ant and Daren.
4-May: Nick W. provided 3 areas for Outlook -- Organization tab on the contacts card, Outlook Properties, Ability to create team calendars based on this information
1-May: Initial Lync &amp; Outlook analysis on the implication of NOT populating the Manager field in AD is that the organization information will not show on the contact card.  Nick W. targeting review/analysis this week (e.g., on any potential further implications)
23-Apr: Impacts to SharePoint environment if the AD Manager field is not populated include: 1. Org chart will not have any data (&amp; org chart features in Outlook and Lync will be similarly affected), 2. Auto population of colleagues is driven off of the Manager field and therefore won't work, 3. Privacy settings in the Profile have items like My Team, My Manager, etc. These options will still be present but will have no effect without the Manager field populated. 4. Audience targeting can be based on a "Reports Under" value (based upon Manager field), 5. SharePoint Designer workflows can out of the box make use of the Manager field, 6.  If the MySite cleanup job in Office 365 is enabled in the future, it uses the Manager field for the re-assignment of the MySite to the Manager by default (this is currently disabled in Office 365).  Microsoft's advice is that this does not "break" anything.  It seems clear if we do not want the Manager data exposed within the application(s), it should also not be used for other purposes, and therefore Manager field should not be populated in AD.   GJV 23-Apr
13-Apr: People Team needs to communicate impacts to BPO. Architects for Lync and Outlook also need to confirm.
3 - April: Pending Decision Logged, pending Brett van G and ID Sync Project confirmation​</t>
  </si>
  <si>
    <t>Each workstream will have its own project plan.</t>
  </si>
  <si>
    <t>21-Apr-11</t>
  </si>
  <si>
    <t xml:space="preserve">
21-May: Legacy lacked Owner; Steve Jelf agreed assignment. Legacy decision makers: Adrian Mickleson, Michelle Edmonds
10-Apr: Michelle provided impact and rationale
Confirmed as revalidated by Ian Bourne, 27-Feb.​</t>
  </si>
  <si>
    <t>http://sp.ey.net/msibm/Lists/RAID%20%20Decisions%20TEST/DispForm.aspx?ID=69&amp;RootFolder=*</t>
  </si>
  <si>
    <t>There will be one Charter document for the entire program</t>
  </si>
  <si>
    <t xml:space="preserve">
21-May: Legacy -- No Owner/assigned to. Steve Jelf agreed assignment. Legacy decision makers: Adrian Mickleson, Michelle Edmonds
26-Apr: Brett questioned this - business case is not a charter. Per Ian, updated the statement to specify one charter as opposed to business case.
3-April Ian: Still valid, once we have the PMP's we will create a program charter.
12-Mar Ian: In progress.
27-Feb: investigation required prior to revalidation (Ian B. took action)​</t>
  </si>
  <si>
    <t>http://sp.ey.net/msibm/Lists/RAID%20%20Decisions%20TEST/DispForm.aspx?ID=70&amp;RootFolder=*</t>
  </si>
  <si>
    <t>FSG face-to-face meeting schedule</t>
  </si>
  <si>
    <t xml:space="preserve">
21-May Migration Note: No legacy Owner; added Alan as Assigned to. Legacy decision makers: Participants in Sept 2011 FSG meeting in Wash DC
27-Feb-2012: Laura and Ian adjusted item from, "Next face to face meeting for functional stakeholders: 15-16 Nov LONDON. Jan (US TBD)"
27-Feb: revalidated.​</t>
  </si>
  <si>
    <t>http://sp.ey.net/msibm/Lists/RAID%20%20Decisions%20TEST/DispForm.aspx?ID=71&amp;RootFolder=*</t>
  </si>
  <si>
    <t>Regular FSG meeting schedule</t>
  </si>
  <si>
    <t xml:space="preserve">
21-May Migration Note: Legacy decision makers: Participants in Sept 2011 FSG meeting in Wash DC; No legacy assigned to.
27-Feb-2012: confirmed as revalidated by Ian Bourne.​
</t>
  </si>
  <si>
    <t>http://sp.ey.net/msibm/Lists/RAID%20%20Decisions%20TEST/DispForm.aspx?ID=72&amp;RootFolder=*</t>
  </si>
  <si>
    <t>Irfan Rashid</t>
  </si>
  <si>
    <t>Change Control Process</t>
  </si>
  <si>
    <t>27-Feb-12</t>
  </si>
  <si>
    <t xml:space="preserve">
21-May Migration note: Legacy decision maker = Ian Bourne​
11-Apr: Steve added rationale.
27-Feb: This item was opened as a result of D14 being marked obsolete (described an outdated change control process).
27-Feb: revalidated.</t>
  </si>
  <si>
    <t>http://sp.ey.net/msibm/Lists/RAID%20%20Decisions%20TEST/DispForm.aspx?ID=73&amp;RootFolder=*</t>
  </si>
  <si>
    <t>Cost of transition managers</t>
  </si>
  <si>
    <t xml:space="preserve">
Migration note: Legacy decision maker = Attendees of Get to Green Daily Standup Calls
From LI144, discussed on daily stand-up call, and determined this is a decision rather than an issue. The team on that call agreed that the cost of transition managers will be in individual workstream budgets. ​</t>
  </si>
  <si>
    <t>http://sp.ey.net/msibm/Lists/RAID%20%20Decisions%20TEST/DispForm.aspx?ID=88&amp;RootFolder=*</t>
  </si>
  <si>
    <t>Each workstream  will have its own charge code</t>
  </si>
  <si>
    <t>21-Apr-10</t>
  </si>
  <si>
    <t xml:space="preserve">
Migration note: Legacy decision makers = Michelle Edmonds/Adrian Mickleson​
21-May: LM &gt; Ian - inquiry
10-Apr: Michelle provided impact and rationale.
27-Feb-2012: Ian Bourne confirmed; added PMO to the list as it too has its own charge code. Revalidated.</t>
  </si>
  <si>
    <t>http://sp.ey.net/msibm/Lists/RAID%20%20Decisions%20TEST/DispForm.aspx?ID=189&amp;RootFolder=*</t>
  </si>
  <si>
    <t>Each workstream, in conjunction with the PMO, will validate hours and expenses</t>
  </si>
  <si>
    <t>07-Mar-12</t>
  </si>
  <si>
    <t xml:space="preserve">
Migration note: Legacy decision maker = Ian Bourne​
12-Mar Ian: This process is in place; consider revalidated.
27-Feb: Opened this decision as a result of D13 being marked obsolete.</t>
  </si>
  <si>
    <t>http://sp.ey.net/msibm/Lists/RAID%20%20Decisions%20TEST/DispForm.aspx?ID=190&amp;RootFolder=*</t>
  </si>
  <si>
    <t>Email Deprovisioning</t>
  </si>
  <si>
    <t>22-Jun-12</t>
  </si>
  <si>
    <t xml:space="preserve">
16 Aug - Rohit Varshney is working on a to-be model for mailbox deprovisioning only, following discussing with Klara Neginsky.
11th July - Confirmed that there are 3 different streams here. 
(1) Generic process of email deprovisioning which the -  recomendation is 30 days  
(2) The Litigation / Legal hold process (D207) , which is being moved forward by Paul Neave / Brett Van Gelder Q&amp;RM and Microsoft as a separate entry.
(3) The final piece of this relates to a concern Klara had surrounding the deprovision of "Hostile" leavers - where staff are asked to leave the firm immediately. Agreement made with Rewa Bouji that this process will be wrapped into Messaging BA work being driven by Punit Shah under reference D208. Hence this one is now being closed.
20th June - Klara expressed concerns in terms of a further process needing to be thought through further.  - There are 3 scenario's to cater for - generic process for deprovisioning of email - standard leaver - recomendation is 30 days. The second scenario is surrouding a "legal" hold process - which Paul Neave, Brett Van Gelder and Susan Chakerian are reviewing with Microsoft and the 3rd process surrounds "hostile" leavers - where staff are asked to leave immediately - what should occur with the data. - Agreement made with Rewa Bouji that this process will be reviewed by the Exchange / Outlook BA Lead - Punit Shah. 
13th June - Further info required from Klara on concerns. Meeting setup for Weds 20th June to explore this further with Klara / Susan Q&amp;RM.
30-May (LM) - Steve provided update on fortnightly call that Q&amp;RM has given guidance, but Klara has concerns. 09th May - SJ to re-chase Q&amp;RM - No answer expected for 2 / 3 weeks. due to vacation of S. Chakerian. Steve and Klara to catch-up off-line. Due date revisedfrom 23-Mar to end of May.
26-Apr Al: Rewa/Steve to update.
16th April - SJ to chase Q&amp;RM for formal response.
4th APril =-30 day period generally accepted. Just awaiting formal confirmation
8th March- General acceptance provided on this (30 day period) . It is thought that this setting could be changed based on a justified / approved Change Request -awaiting on confirmation from Nick Wood. (email sent 8th March)
c20th Feb - Discussed with SC 21st Feb. Email being sent to members of the LEC to confirm a standard 30 day policy is likely to exist across all countries. Awaiting feedback from SC on this. 
10-Feb:  SJ - Q&amp;RM direction required (escalated again 9th Feb).
Paul Neave should confirm how critical a decision is, however it is believed that this needs to be fed into the “scope lock” phase- due to finalise early March.
PIN – the opposite is also true -  there are countries who also expect to retain mailboxes for leavers
10-Feb: Steve to go back to Susan (Q&amp;RM): Our default position is 30 days, but we can move it to 5 if we need to. Our recommendation is not to leave it any longer than 30 days because of the cost implications.​
 </t>
  </si>
  <si>
    <t>On-Prem and O365 migration strategy</t>
  </si>
  <si>
    <t>Steering Committee</t>
  </si>
  <si>
    <t>17-Aug-12</t>
  </si>
  <si>
    <t xml:space="preserve">
5-Sept (LM): Action to Rewa to review and update off-line.
22-Aug (LM): Action to Craig on fortnightly call to update; confirm with Rewa whether anything additional is needed here. If not, update the decision and Validate.
10 Aug CB: confirmed with RB that options to defer have been assessed and presented to DB.  Direction is to proceed with on-premise delivery plan and not defer although no immediate spend will occur on 10 of the 12 in-country on-premise deliveries as separate issue relates to confirm where resp and budget lies for these as does not appear to be in DCC program scope since DCC scope is for GDCs.  Messaging finance review with AG and team planned for Tues 14th Aug so expect further clarity from that meeting
09 Aug CB: CB had requested impact assessment of draft CR to defer all on-premise delivery (driven by need to manage budget forecast down).  This was expected from O/E team by 27th Jul.  CB to review with RB 10th Aug as no update provided on or since 27th Jul (CB also on leave 28th Jul to 7th Aug)
8-Aug (LM): Craig took action on program raid call to update offline.
25-Jul (LM): Fornightly call action: Martin and Craig to discuss off-line and provide an update.
27-Jun (LM): Rewa will discuss with Craig off-line.
13-Jun (LM): Per Craig, we will progress next steps with Tim Eddy who agreed to take the aciton to help resolve. This is still overdue, but set required date to end-June because  won't go red again until that point.
28/05: RB: Still awaiting CO. Position of the program is that this is to be challenged. Assigned to changed to C Burnside.
20/05: RB: MSFT are now raising a Change Order for the number of weeks that the migration is expected to exceed the 9 month migration window. This is at a cost of $5,000 for every week over the 9 month 36 week period) contractually agreed. Decision to be escalated to EDG to determine whether On-prem activity should be delayed to enable all resources to focus on O365 and avert increasing financial penalties
20/04: RB presented suggestion to A Guthrie that on-prem activity be put on hold to allow efforts to focus on O365. However suggested by B van Gelder that delay to on-prem could mean extended time required to ramp on-prem up again
28/03/12: RB: Being addressed by R97
</t>
  </si>
  <si>
    <t>Treatment of countries where only a portion of the population needs to remain in-country</t>
  </si>
  <si>
    <t>07-May-12</t>
  </si>
  <si>
    <t xml:space="preserve">
IM 3 Aug: Forum changed to IT Sponsor after EDG review
06/06: RB: Confirmed by C Burnside to proceed on basis that Australia, UK and Germany to remain On-Prem. Decision marked validated.
24/05: RB: Update provided to AG, SH &amp; JC re responses from UK &amp; Australia. Recommendation that both countries remain entirely on-prem. SH and AG agreed but JC to follow up with AU &amp; UK by w/e 01/06. If no response, assume they move to the back of the queue. Response pending re Germany from SH.
14/05: RB: still awaiting update from Directors of Risk. Pearl Cash on leave til end March. No update on Australia available.
07/05: RB followed up with Caryn Newell. View is that no UK Service line users can move to the cloud. Request to be taken to UK&amp;I Directors of Risk this week. CN confirmed that she is not responsible for Ireland or Australia, contrary to guidance from A Grljevic. RB to pursue response on Australia from Pearl Cash.
25/04: Confirmation received that UK&amp;I UK service line users cannot migrate to the cloud (Enterprise Risk/QRM team)
19/04/12: RB: Assigned to Rewa Bouji
16-Mar: Moved due date from end of Feb to 2-Apr per Al to accurately reflect the target.19/04/12: RB: Assigned to Rewa Bouji
16-Mar: Moved due date from end of Feb to 2-Apr per Al to accurately reflect the target.
5-Mar: Alan and Guy to provide input on the approach based on the options provided
Al to request feedback from Pearl Cash to understand the frequency from change.
20-Feb JC - Siggi will discuss UK with Robin Tye.
Brett developed an approach but this needs to be fine tuned - if we are talking about only a small number of users who need to stay On-Prem then the rest should move:Pending decision from Pearl Cash ​
 </t>
  </si>
  <si>
    <t>DCC contractual scope to include buildout of Exchange Hardware</t>
  </si>
  <si>
    <t>31-Jul-12</t>
  </si>
  <si>
    <t xml:space="preserve">
25-Jul (LM): Fornightly call update that this is validated, per Craig Burnside and John Lawler. Expectation and agreement with John Lawler that DCC will buildout Exchange HW to operating system layer.​ This is now in the remit of DCC, not M&amp;C.
07/06 (PN) understand from Tony tracey that the current DCC contract with HCL does not address the build out of M&amp;C hardware. Though it is their intention taht it should be included they willnot be rasing any CRs to include it until FY13.
30-May (LM): Rewa will discuss with John Lawler and Paul for update. 9-May: Paul to follow-up and update today.​</t>
  </si>
  <si>
    <t>Migration of Static Mail Distribution Groups</t>
  </si>
  <si>
    <t>IT Strategy</t>
  </si>
  <si>
    <t xml:space="preserve">
IM 3 Aug: Forum changed to IT Strategy after EDG review.
06/06/12: RB: R Phillips confirmed to J Brown that no migration of static groups is being presented to L&amp;O Governance group; no challenge recevied from Jeremy. Assume decision validated.
30-May (LM): Rewa is waiting for Jeremy and Bob's final agreement. By this Friday, if does not hear otherwise, will assume approval. Rewa took action to update.
10-May IM: migrated onto SP with Bob as Decision maker therefore translated to EDG.
7-May: Rewa chasing decision confirmation from JB.
18/04/12: RB: Chased JB for update on whether proposals are approved or not.
12/03/12: RB: Decision re-opened based on lack of business representation in previous approval decision. Proposals now with Bob Reiner and Jeremy Brown for review/approval
5-Mar: Agreement is not to migrate static groups. We should limit  which users are allowed to create static groups.  The approach used for GLMS should be replicated to avoid duplication of groups. 
22/02/12: RB: RB – M&amp;C and IAM teams have developed proposal for managing migration of Domino groups and legacy group management tools. Decisions required ASAP but not clear who decision making authority would be across M&amp;C and IAM
20-Feb JC - Legacy group management tools should be retired and replaced by the tool we acquired. For groups, are you talking about personal mail groups I have setup?
14/02/12: RB: Group Management Proposals being re-drafted following further discussion with N Wood and B van Gelder. Meeting to finalise proposals rescheduled to 20/02/12 due to impact of workshops on SME availability
02/02/12: R Bouji - A set of proposals have been drafted and are currently being finalised with input from the GLMS team, for presentation to the FSG for decision making. Decision is required very soon so as to avoid potentially significant wasted development effort on the Self-service portal, and potential confusion around requirements for GroupID tool, which are being finalised in a workshop week of 6th Feb
10-Feb: PIN – need to know this soon as influences both On-Prem and O365​</t>
  </si>
  <si>
    <t>Exact configuration of Day 1 Exchange features and inclusion of any mail-integrated apps</t>
  </si>
  <si>
    <t>11-May-12</t>
  </si>
  <si>
    <t xml:space="preserve">
IM 3 Aug: Forum changed to Business Sponsor after EDG review
23/05: RB: Decision made by AG/BR that we will go live on day 1 only with eDocs and MDS (assuming they are ready). Deployment will start in countries with no MIA. Countries whose go-live criteria requires integration of mail-integrated apps will only migrate when their MIA is ready and tested (and this is contingent on DA sign off that the app can be integrated).
17/05:Only once we can engage with application owners can we complete discovery and assessment and determine day 1 candidate list. Escalated to CLT for agreement with Markets &amp; CBS on whether engagement must be through ITSDs and how this can be accommodated given FY12/13 capacity constraints/priorities.26/03: RB: This does not reflect the decision that needs to be made - we need to have agreement from the business around what Day 1 needs to look like because that drives when Day 1 actually is. It can't be up to any application owner to make sure their product works with exchange because
- if that product is a must-have for the business to deploy from Day 1, then we need to make sure they know that their delivery will impact ourDay 1, and we need to make them aware of the dependencies and manage accordingly
- if 200 application owners all decided to make their applications exchange compatible ready for day 1, and expect us to plug them in ready for day 1, this may not actually be possible or even desirable from an architecture or system performance perspective
As a program, we need to have a clear idea of what the business wants, and has agreed to, for Day 1. This should be a list of applications that must be integrated into the standard/"vanilla" Outlook client before we can deploy it to users. This list has not been agreed and therefore the decision is still open.
05-Mar: Decision is for the product owner to ensure that their product works with exchange
22/02/12: RB: 1) Outlook Config settings due  to complete 20/04. Recommended Day 1 Plug in list due to complete 20/04. Decision required  by 11 May (not clear who decision-making body would be however).
20-Feb JC - Ok - would like to see both the feature and integration list so we can ok.
14/02/12: RB: Engineering &amp; Application Management likely to complete impact assessment by mid-March. RB to prepare presentation to summarise approach to agreeing Day 1 mail-integrated application scope for stakeholders, intention for scope to be agreed by end April
31/01/12: R Bouji - Engineering can no longer meet end Feb deadline - awaiting revised date. Also need to determine whether FSG is appropriate decision-making authority. To be discussed with AG and MK
18/01/12: R Bouji - Awaiting outcome of engineering impact assessment due end February, for presentation to FSG and final decision on Day 1 configuration​</t>
  </si>
  <si>
    <t>Outlook Exchange deployment during black-out periods</t>
  </si>
  <si>
    <t>30-Apr-12</t>
  </si>
  <si>
    <t xml:space="preserve">
11/06: RB: Marked decision validated given EDG decision that no exception will be granted.
30-May: LM &gt; Martin for update.
16/05: JB confirmed at RAID meeting that exception will not likely be granted and will need to be agreed at country level
10/05: Chaser sent to MK
02/05: EDG Decision at meeting on 30/04 was not to grant approval for override/exception. Request for RB and MK to develop plan taking into account blackout periods. Risk remains that we will not be able to migrate in 36 weeks. MK to drive next steps
25/04: Decision escalated to EDG meeting
​</t>
  </si>
  <si>
    <t>Juan Torres</t>
  </si>
  <si>
    <t>PR/DR site Replication method</t>
  </si>
  <si>
    <t>31-May-12</t>
  </si>
  <si>
    <t xml:space="preserve">
30-May (LM): Rewa took action on fortnightly call to follow-up with Juan for status. ​</t>
  </si>
  <si>
    <t>DAS Storage for all On-Prem Exchange Sites</t>
  </si>
  <si>
    <t xml:space="preserve">
30-May (LM): Rewa - raised CR, went to DA, will be reviewed tomorrow, and Rewa will update thereafter.​</t>
  </si>
  <si>
    <t xml:space="preserve">Ethical Walls </t>
  </si>
  <si>
    <t xml:space="preserve">
6-June (LM) Paul: During the design workshops this was discussed and Security were asked if there was any existing use/reqt for ethical walls today. They knew of none and were actioned to investigate. There investigation found no requirement and thus in the absence of any specific requirements, it was agreed that we continued to move forward with the assumption/decision that ethical walls were not required.
4-June: LM &gt; PN -- there is a pending decision on ethical walls in new log, D82. Asked the best way to combine- has a decision been made?
30-May (LM): Rewa took action on fortnightly RAID call to follow-up with Paul for an update.​
[6-March: update from the Q&amp;RM log - Requirement now fed into the EYD program, therefore this request is being closed.]</t>
  </si>
  <si>
    <t>UAG vs ExtraWeb</t>
  </si>
  <si>
    <t xml:space="preserve">
30-May (LM): Rewa - under review with DA​</t>
  </si>
  <si>
    <t>http://sp.ey.net/msibm/Lists/RAID%20%20Decisions%20TEST/DispForm.aspx?ID=83&amp;RootFolder=*</t>
  </si>
  <si>
    <t>Decision to be made as to whether GNP program or M&amp;C program will pick up cost of O365 circuit</t>
  </si>
  <si>
    <t xml:space="preserve">
IM 3 Aug: Forum changed to IT Sponsor after EDG review.
31/05: RB: Following discussion with S Hauer, A Guthrie confirmed to RB via ST that M&amp;C program must pick up the cost. RB updated and marked Decision validated.
22/05: Steve Yeomans communicated to R Bouji that GNP assumes M&amp;C is picking up circuit costs for O365. RB finds no assumptions/decision in RAID log confirming this and requests communication/audit trail. M&amp;C Outlook Exchange have no budget in place. Issue flagged at Program Management Meeting and RB requested AG to discuss with ​SH and provide decision.</t>
  </si>
  <si>
    <t>Germany: on-premise</t>
  </si>
  <si>
    <t>CIO</t>
  </si>
  <si>
    <t>20-Jan-12</t>
  </si>
  <si>
    <t xml:space="preserve">
23-Aug: Per Craig, this has been revalidated by Tim Eddy.
Migration note: Legacy decision maker = Siggi Hauer
3-Apr- impact and rationale provided by Paul Neave.
6-Mar: revalidated.
5-Mar: Plan on premise; Al confirmed this is closed. Team is planning for on-premise. QRM view is Germany cannot have data hosted by a 3rd party though John disagrees with their interpretation.
20-Feb JC - Siggi is working on this.
1-Feb: Need confirmation from Siggi.​</t>
  </si>
  <si>
    <t>E-mail Archive</t>
  </si>
  <si>
    <t xml:space="preserve">
Migration note: Decision makers in legacy log: Q&amp;RM and FSG​
16th April - No response from Herve Labaude. Q&amp;RM Chair (Susan Chakerian) has therefore confirmed we should move ahead with the assumption that no global solution for archiving is required. "None of the Area GCOs are in favor of a journalling approach to email archiving.  And it is our understanding that there are no legal or regulatory requirements for such an approach."
So this leaves us with a potential future requirement for selective email archiving, mainly for the purposes of making it easier for our client serving professionals to retain required emails.  They can retain those emails now by copying them into a pdf or printing them", however this may be a future requirement (not day 1), therefore I am closing this request. (SJ)
16-Apr: revalidated.
4th April - Q&amp;RM still working on this. Herve Labaude to provide clarity by Friday 6th or Q&amp;RM agree this ca nbe considered as a non requirement. 
17-Mar - Still awaiting decision on Swedenk, Switzerland and DE. Likely date to get recomendation Friday 24th March. 
08-Mar - We don't need any email archiving in the Americas or A-P
In EMEIA, we have a potential need for email archiving in Sweden, Switzerland and maybe Germany. However, we're pushing hard on these as the requirements don't appear to be based on any legal or regulatory criteria. Will keep you posted on progress here. 
One thing to flag is the broker-dealer entity in Canada - Brett is aware of this but it currently uses a specific email archiving system which will need to be replaced. 
(Note: dep. on decision, refer back to R3 (deferred). May need to open a corresponding issue; do so through R3).
5-Mar: JC to follow-up with Gillian H.
20-Feb JC - We had always talked about archiving being a separate project and we have time because the user will have plenty of space in their 5GB mail file on day one. We need the answer from Q&amp;RM about whether any country needs and why. 
Further Q&amp;RM due diligence is required to confirm if legal position exist in countries. It is however thought that regardless of this, further thought should be given by IT Services to accommodate these requests.
1-Feb: meeting scheduled with Q&amp;RM tomorrow; update thereafter.
Decision required asap on (a) If a archiving solution(s) is required overall and (b) exactly what is required for "day 1".
10-Feb SJ - This is significant.
Q&amp;RM due diligence will take weeks / months to complete.
A. Mickelson was to attempt at opening up a RFP activity around general electronic archiving , however it is not known if this has come to fruition.
Impact of not having a decision on what is required for day 1. If it is decided that an email archiving solution is required in 1 or more countries for day 1 then significant additional cost would be incurred from both a H/W and resourcing view point. P/ Neave to confirm when drop dead date is for a decision to be made.
</t>
  </si>
  <si>
    <t>http://sp.ey.net/msibm/Lists/RAID%20%20Decisions%20TEST/DispForm.aspx?ID=91&amp;RootFolder=*</t>
  </si>
  <si>
    <t>Users will have a 5gb mail file in Exchange</t>
  </si>
  <si>
    <t>13-Mar-12</t>
  </si>
  <si>
    <t xml:space="preserve">
13-Jun (LM): Per Steve, removed " and no personal archiving will be available" as archiving is part of a different decision, D91).
Migration note: Legacy decision makers = John Costello and Siggi Hauer
3-Apr: Paul Neave updated decision and impact.
16-Mar: decision made by John Costello and Siggi Hauer.
6- March - J. Meiser To confirm to A. Grljevic
5-Mar: A 25Gb plan on O365 is an additional $5.00 per user per month. Note that as we approach scope lock on O365 this decision needs to be final in the next 2 weeks. Any increase in mail file size allocations will also increase the cost of the On-Prem solution.
Assumption is to continue with 5GB and also verify that ithe storage can be increase this on an individual basis. Paul Neave to confirm whether we can increase the limit on an individual user basis
20-Feb JC - 5GB it is - there is a question about partners getting 25GB; JC requested Al send him and Siggi the costs for this vs. 5GB.
Q&amp;RM have express no concern, other than the fact the business reps need to buy into the plan we are no proposing
1-Feb: moved date out 3 weeks; Al and Adrian to raise with FSG.
10-Feb: SJ - IT recommendation validated by Q&amp;RM.
Decision making authority now required to rubber stamp this .
(Don’t believe this is a “Business decision”)
​</t>
  </si>
  <si>
    <t>No backup of email data for Exchange</t>
  </si>
  <si>
    <t>22-Feb-12</t>
  </si>
  <si>
    <t xml:space="preserve">
3-Apr: Paul provided updated syntax and impact/rationale detail.
Validation required with FSG. Q&amp;RM have no issues with this proposal
1-Feb: moved date out 3 weeks; Al and Adrian to raise with FSG.
10-Feb: SJ - IT recommendation validated by Q&amp;RM.
Decision making authority now required to rubber stamp this.
(Don’t believe this is a “Business decision”)
PIN - Likely that requirements from Senior mgt will require we design and cost a Backup solution for small sites where there is not DR site. Note this will result in a reduced service level for those countries.
10-Feb: closed this item as decision has been agreed; closed on TF decisions call (Paul, Adrian, Al, Ant, James, Steve, Brett)
​</t>
  </si>
  <si>
    <t>Deleted Item Retention</t>
  </si>
  <si>
    <t xml:space="preserve">
26-Apr Brett suggested from Trash Retention Period to Deleted Item Retention. (LM &gt; Steve, Paul for awareness).Impact is also less about user access after 30 days than about GCO concern that items will be accessible for 30 days. Decision to accept this was also made after FSG by QRM in March sometime. (LM &gt; Steve, Paul)
3-Apr: Paul provided updated syntax and impact and rationale detail.
Challenged by Q&amp;RM on behalf of the US firm. Microsoft have confirmed that this cannot be amended and as yet have resisted clients requests.
1-Feb: Adrian will raise with Q&amp;RM again (needs to go back to them); then can proceed.
10-Feb Steve J. - From a Q&amp;RM point of view, there are issues, but the decision fundamentally has been made / that is the service we signed up for , close.​</t>
  </si>
  <si>
    <t xml:space="preserve">Do not require Mobile Data Service - Connection Service (MDS-CS) for day 1 </t>
  </si>
  <si>
    <t>03-Feb-12</t>
  </si>
  <si>
    <t xml:space="preserve">
Migration note: legacy decision makers = M&amp;C Programme/FSG?
3-Apr: Paul updated syntax.
27-Mar: Paul provided details for impact and rationale.
Need to input the required settings as part of the discovery questionnire
Need to change the service to be delivered before Scope Lock
9-Feb: Paul - Closed; it will take a week to stand up this CR so will address when required, not for Day 1. ​</t>
  </si>
  <si>
    <t>http://sp.ey.net/msibm/Lists/RAID%20%20Decisions%20TEST/DispForm.aspx?ID=96&amp;RootFolder=*</t>
  </si>
  <si>
    <t>Decision to go O365 for Exchange</t>
  </si>
  <si>
    <t>05-Mar-12</t>
  </si>
  <si>
    <t xml:space="preserve">
Migration note: no decision makers included in legacy log.
​3-Apr: Paul provided updated syntax, impact and rationale.
(prev DP6) 5-Mar: Paul Neave and TF team - valid!
9-Mar Travis: Confirmed.</t>
  </si>
  <si>
    <t>http://sp.ey.net/msibm/Lists/RAID%20%20Decisions%20TEST/DispForm.aspx?ID=97&amp;RootFolder=*</t>
  </si>
  <si>
    <t xml:space="preserve">Russia's Blackberry servers will need to be hosted in-country. </t>
  </si>
  <si>
    <t xml:space="preserve">
Migration note: Legacy decision makers = Siggi and John
3-Apr: Paul updated syntax, impact, rationale.
27-March: Paul provided detail for impact and rationale.
5-Mar: CIS – BB restriction does not apply
We need to plan for exchange servers in Moscow for Russia
20-Feb JC - Siggi?
9-Feb: Paul suggested this go to Siggi and John as per the on-going discussion around on-prem locations. ​
 </t>
  </si>
  <si>
    <t>Site Replication method for Exchange</t>
  </si>
  <si>
    <t>29-Feb-12</t>
  </si>
  <si>
    <t xml:space="preserve">
4-June: LM &gt; PN -- what was the decision that was made?
3-Apr: Paul provided updated syntax and impact info.
Currently producing recommendation to be approved by the DA technically and then signed off by the programme authority for cost impact (prev DP5)
10-Feb: closed on TF decisions call (Paul, Ant, Brett, Adrian, Al, Steve, James)​</t>
  </si>
  <si>
    <t>http://sp.ey.net/msibm/Lists/RAID%20%20Decisions%20TEST/DispForm.aspx?ID=99&amp;RootFolder=*</t>
  </si>
  <si>
    <t>RTO/RPO targets for Exchange solution</t>
  </si>
  <si>
    <t>15-Feb-12</t>
  </si>
  <si>
    <t xml:space="preserve">
Migration Note: Legacy Assigned to = Nick Wood, Brett van Gelder. Legacy decision makers = Siggi Hauer / John Costello
​3-Apr: Paul provided updated syntax, impact and rationale.
14-Mar - PIN: The On Premise Exchange design is for 2 hours RPO &amp; 2 Hours RTO where we have the full 3 copies, two site design, which meets the 16th Nov 2011 BIA. Have agreed this is acceptable to Martin Evans.
12-Mar: LM followed up with Paul for decision maker and decision date. Paul thinks it's closed - designing to meet BIA, confirming with Martin Evans. Martin suggested he and Paul talk because designing to the BIA results is what he is concerned about i.e. 24 hour RTO which is why the issue was raised.
The Current On Premise Exchange design is for 2 hours RPO &amp; 2 Hours RTO which meets the 16th Nov 2011 BIA.
5-Mar: Paul – The numbers for the On-Prem came from the BIA assessment confirmation received from Arlan Singer on 16th Nov 11 (see Here)
We no longer stick to the two parameters  RTO/RPO
20-Feb JC - Where did these numebrs from from for On Prem?
PIN – currently we are designing the On-Prem solution in accordance with the BIA
 – This will increase the bandwidth required between the locations significantly. It also will not be achieved if we only have one site with a backup (See D81).</t>
  </si>
  <si>
    <t>RBAC split permissions for Exchange</t>
  </si>
  <si>
    <t>05-May-12</t>
  </si>
  <si>
    <t xml:space="preserve">
​3-Apr: Paul provided updated impact. Paul: Decision has been made and approved by the DA that we go with RBAC split permissions.
There are still some concerns from our operations and security colleagues regarding the decision taken at the planning workshops to proceed with shared permissions rather than split permissions for Exchange. Meeting on 14/11/11 in order to more fully understand the choice and its consequences.. (prev DP15)
01-Feb: Laura emailed Klara and Nick to followup/confirm ability to close.
08-Feb: Klara said this is being discussed on this Friday's UC DA call. 
 </t>
  </si>
  <si>
    <t>http://sp.ey.net/msibm/Lists/RAID%20%20Decisions%20TEST/DispForm.aspx?ID=101&amp;RootFolder=*</t>
  </si>
  <si>
    <t>Exchange data classification still mixed</t>
  </si>
  <si>
    <t xml:space="preserve">
Migration note: Legacy decision makers = Security
3-Apr: updated by Paul Neave.
Is the data classification for mail still mixed - i.e... That drive the requirement for the data protection measures that require in-country deployments for exchange (prev DP11)
1-Feb: Al and Adrian said this has been confirmed; can close.​
[Dec-2011 Q&amp;RM log update: After a brief Q&amp;RM review, confirmation was obtained that the data classification should be classed as "mixed".]</t>
  </si>
  <si>
    <t>Storage: SAN in large and medium siates and JBOD/RAID in small sites</t>
  </si>
  <si>
    <t>10-Feb-12</t>
  </si>
  <si>
    <t xml:space="preserve">
​3-Apr: updated by Paul Neave.
Currently producing recommendation to be approved by the DA technically and then signed off by the programme authority for cost impact (prev DP8)
10-Feb: closed on TF decisions call (Paul, Ant, Brett, Adrian, Al, Steve, James)</t>
  </si>
  <si>
    <t>On-prem Exchange solution will be on SP2</t>
  </si>
  <si>
    <t>09-Feb-12</t>
  </si>
  <si>
    <t xml:space="preserve">
3-Apr: updated by Paul Neave.
9-Feb: Al confirmed that this decision has been made; will be on SP2.​</t>
  </si>
  <si>
    <t>http://sp.ey.net/msibm/Lists/RAID%20%20Decisions%20TEST/DispForm.aspx?ID=104&amp;RootFolder=*</t>
  </si>
  <si>
    <t>DCC programme: On-Prem up to OS; 3rd Party: Application layer</t>
  </si>
  <si>
    <t xml:space="preserve">
3-Apr: Paul provided updates.
27-Feb: Paul provided updated description syntax.
9-Feb: Al confirmed there is a signed contract with Msft. Close.​</t>
  </si>
  <si>
    <t>Chris Rae</t>
  </si>
  <si>
    <t>User profile FIM filter section</t>
  </si>
  <si>
    <t>15-Mar-12</t>
  </si>
  <si>
    <t xml:space="preserve">
Migration note: Legacy decision makers = ​The following attended the meeting:Chris Rae, Pete Bruinsma, Adrian Mickleson, Mark Reade, Gregory Van Valkenburgh, Christopher Arnold,  Jahanzeb Ahmed, Amit Tak,Oliver Berchtold, Jaco Lanza,Dan P. Mulligan; The following received the email follow up and raised no objection.
Brett van Gelder, Klara Neginsky, Norm Lambert, Scott Strange, Michelle Edmonds, Al Grljevic, Afzaal Syed
15-Mar Chris: The rationale was that although the FIM filters in O365 might form part of a possible solution to duplicate profiles, we still have not decided on the final solution, indeed we don't even know if there is one.  As the final O365 questionnaire needed to be submitted nothing was included in an attempt to deal with this, and it was decided if a change was required to the FIM filters this could easily be achieved via a standard O365 CR.</t>
  </si>
  <si>
    <t>http://sp.ey.net/msibm/Lists/RAID%20%20Decisions%20TEST/DispForm.aspx?ID=108&amp;RootFolder=*</t>
  </si>
  <si>
    <t>Business users will execute UAT for Lync &amp; Outlook</t>
  </si>
  <si>
    <t>16-Feb-12</t>
  </si>
  <si>
    <t xml:space="preserve">
Migration Note: legacy decision maker = Jeremy Brown on behalf of the FSG
27-Mar: Rewa provided details for impact and rationale.
06/03/12: RB: Jeremy Brown confirmed on behalf of FSG that business users will execute UAT
20-Feb JC - Discussion point for FSG
14/02/12: RB: Awaiting update from MK
25/01/12: R Bouji: MK indicated that business users will participate - awaiting confirmation of validation with BR/FSG
18/01/12: R Bouji: Pending discussions with Martin Kremmer on alternative decision making route
11/01 Update from R Bouji: Was scheduled for decision at next FSG meeting, however the meeting has been shortened and it is not yet clear when this will reappear on the agenda. QA need to know by end of Jan to start ramping up resources and planning. Await update on next FSG meeting and agenda
19-Dec update from Nicky that this has been bumped from the FSG agenda 2X; hoping to get it in next meeting.
Adrian Mickleson to raise this to the FSG on 15 November for a decision (prev DP25)
ADM (MS):  We are creating a "UAT pack" with guides and templates for what needs to be created and undertaken along with a schedule of effort and when it needs to take place.  For each application, this will be provided to the business immediately after initiation of the project.  We will facilitate the UAT process and provide guidance, but do not believe that we should be "in-sourced" to conduct the UAT for the business.  We HAVE NOT allowd budget for the in-sourcing of UAT, or have resources lined up to conduct these activities.​</t>
  </si>
  <si>
    <t>CRM integration is not required for Day 1 of Outlook</t>
  </si>
  <si>
    <t>11-Nov-11</t>
  </si>
  <si>
    <t xml:space="preserve">
IM 3 Aug: Forum changed to Business Sponsor after EDG review
Migration Note: Legacy decision maker = Bob Reiner
​3-Apr-2012: Rewa confirmed this is still valid.
11-Nov-11: Added by R Bouji following confirmation by A Mickleson on 7-Nov-11</t>
  </si>
  <si>
    <t>We will not use Super Users.</t>
  </si>
  <si>
    <t xml:space="preserve">
Migration note: Legacy decision makers = Participants in Sept 2011 FSG meeting in Washington DC
​3-Apr-2012: Rewa confirmed this is still valid.
04-Oct-11: R Bouji: A Mickleson confirmed agreement by FSG in Washington</t>
  </si>
  <si>
    <t>http://sp.ey.net/msibm/Lists/RAID%20%20Decisions%20TEST/DispForm.aspx?ID=111&amp;RootFolder=*</t>
  </si>
  <si>
    <t>LN &gt; Outlook: email, calendar and contact migration</t>
  </si>
  <si>
    <t xml:space="preserve">
Migration note: Legacy decision makers = Participants in Sept 2011 FSG meeting in Washington DC​
3-Apr-2012: Rewa confirmed this is still valid.
04-Oct-11: R Bouji: A Mickleson confirmed this decision was made by FSG in Washington
28-Oct-11: R Bouji: N Wood &amp; B van Gelder confirmed this requires further discussion and there is no documented decision on this. This functionality was one of the options discussed. A Mickleson &amp; N Wood to clarify and provide update to Program team at next RAID meeting.</t>
  </si>
  <si>
    <t xml:space="preserve">Decision required on whether to undertake IT SD Testing as part of the Outlook Dormant Deployment </t>
  </si>
  <si>
    <t xml:space="preserve">
​IM 3 Aug: added CLT as forum to better assign the decision (rather than EDG).</t>
  </si>
  <si>
    <t>Email Recall Request</t>
  </si>
  <si>
    <t>19-Jun-12</t>
  </si>
  <si>
    <t>Social Connector functionality</t>
  </si>
  <si>
    <t>21-Jun-12</t>
  </si>
  <si>
    <t xml:space="preserve">
Update 21st June
Screen shots received. Q&amp;RM have reviewed and concluded that " on the basis that this feature appears to make it much easier to inadvertently reveal client confidential information onto an EY employee's external social media account/site, we recommend that EY should not enable this functionality."
Update 19th June -
Screen shot requested. Awaiting feedback from the BA team - originally rejected, but after further investigation, no concerns raised. Final debate occurring - update expected by c.o.b Friday 22nd June
14th June
S. Jelf chased S Chakerian for update. Further info / direction requested by 15th June. Guidance being requested from Q&amp;RM Independence on these topics.
29th May
Recall and publishing of calendar information is still being discussed - Expected update 16th June ​</t>
  </si>
  <si>
    <t>Publishing of Calendar info online (Microsoft.com)</t>
  </si>
  <si>
    <t>Switzerland On-Prem Decision</t>
  </si>
  <si>
    <t xml:space="preserve">
23-Aug: Craig sent list of countries confirmed by Tim Eddy to be either definitely On-Prem or definitely O365. ​</t>
  </si>
  <si>
    <t>Luxembourg On Prem Decision</t>
  </si>
  <si>
    <t xml:space="preserve">
23-Aug: Per CB, Tim Eddy confirmed Luxembourg will definitely be on-prem.​</t>
  </si>
  <si>
    <t>Japan On Prem Decision</t>
  </si>
  <si>
    <t xml:space="preserve">
23-Aug: Reconfirmed by CB per Tim Eddy.​</t>
  </si>
  <si>
    <t>Russia On Prem decision</t>
  </si>
  <si>
    <t xml:space="preserve">
​10-Aug: Craig marked validated and added decision to log.
23-Aug: Per Craig, Tim Eddy confirmed this decision.</t>
  </si>
  <si>
    <t>On Prem decision for UK</t>
  </si>
  <si>
    <t xml:space="preserve">
​23-Aug: Craig sent list of countries confirmed by Tim Eddy to be either definitely On-Prem or definitely O365.</t>
  </si>
  <si>
    <t>Indonesia On Prem decision</t>
  </si>
  <si>
    <t xml:space="preserve">
23-Aug: Craig sent list of countries confirmed by Tim Eddy to be either definitely On-Prem or definitely O365.​</t>
  </si>
  <si>
    <t>China on prem decision</t>
  </si>
  <si>
    <t>Australia On Prem Decision</t>
  </si>
  <si>
    <t>Canada On Prem Decision</t>
  </si>
  <si>
    <t>Columbia on prem decision</t>
  </si>
  <si>
    <t>Peru On Prem Decision</t>
  </si>
  <si>
    <t>Armenia On prem decision</t>
  </si>
  <si>
    <t>Azerbaijan on prem decision</t>
  </si>
  <si>
    <t>Belarus on prem decision</t>
  </si>
  <si>
    <t>Georgia on prem decision</t>
  </si>
  <si>
    <t>Kazakstan on prem decision</t>
  </si>
  <si>
    <t>Ukraine on prem decision</t>
  </si>
  <si>
    <t>Uzbekistan on prem decision</t>
  </si>
  <si>
    <t>Dominican republic on prem decision</t>
  </si>
  <si>
    <t>Guatemala on prem decision</t>
  </si>
  <si>
    <t>India on prem decision</t>
  </si>
  <si>
    <t>Korea on prem decision</t>
  </si>
  <si>
    <t xml:space="preserve">
03/10 RB: Reassigned to DB as agreed 03/10. Action with John Murphy for confirmation by mid-December.
13-Sept (CB): due date for decision to be end of the year, in line with the issue being tracked (33) which I do not expect to be resolved until then.
23-Aug: Per Craig and Alexa,  Currently with Tim Eddy to push to O365, but not yet formally confirmed
​
 </t>
  </si>
  <si>
    <t>France On-Prem decision</t>
  </si>
  <si>
    <t>03/10 RB: Reassigned to DB as agreed o3/10. Action with John Murphy for confirmation by mid-December.
13-Sept (CB): due date changed to end of year in line with related issue being tracked (33) as do not expect this to be resolved until then.
23-Aug: Per Craig and Alexa, currently with Tim Eddy to push O365 but not yet confirmed.</t>
  </si>
  <si>
    <t>Monaco on-prem decision</t>
  </si>
  <si>
    <t xml:space="preserve">
03/10 RB: Reassigned to DB as agreed 03/10. Action with John Murphy for confirmation by mid-December.
13-Sept (CB): due date changed to end of year in line with related issue being tracked (33) as do not expect this to be resolved until then.
23-Aug: Per Craig and Alexa, currently with Tim Eddy to push O365 but not yet confirmed.​</t>
  </si>
  <si>
    <t>Mexico on prem decision</t>
  </si>
  <si>
    <t xml:space="preserve">
03/10 RB: Reassigned to DB as agreed 03/10. Action with John Murphy for confirmation by mid-December.
13-Sept (CB): due date changed to end of year in line with related issue being tracked (33) as do not expect this to be resolved until then.
23-Aug: Per Craig and Alexa, currently with Tim Eddy to push O365 but not yet confirmed.​</t>
  </si>
  <si>
    <t>Thailand on prem decision</t>
  </si>
  <si>
    <t xml:space="preserve">
13-Sept (CB): due date changed to end of year in line with related issue being tracked (33) as do not expect this to be resolved until then.
23-Aug: Per Craig and Alexa, currently with Tim Eddy to push O365 but not yet confirmed.​</t>
  </si>
  <si>
    <t>Viertnam on prem decision</t>
  </si>
  <si>
    <t>Sri lanka on prem decision</t>
  </si>
  <si>
    <t>Philippines on prem decision</t>
  </si>
  <si>
    <t xml:space="preserve">Local based mail should be deployed to countries where there is no local backup solution in place so long as there is a server copy.  </t>
  </si>
  <si>
    <t>23-Jul-12</t>
  </si>
  <si>
    <t>Decision required to determine how encrypted mail migration will be managed when users are migrated to Outlook</t>
  </si>
  <si>
    <t>12-Sep-12</t>
  </si>
  <si>
    <t xml:space="preserve">
19/09: RB. Confirmation received from Q&amp;RM that Option 2 will be pursued. This has been presented to L&amp;O Governance Group on 12/09/12, and R Phillips confirmed no challenge raised. Decision marked validated.
07/09/12: RB: Request made of S Jelf for confirmation of next QRM Meeting to escalate decision.​</t>
  </si>
  <si>
    <t xml:space="preserve">Mobile migrations require device to be wiped, decision on if it should be automatically wiped or an end user has control to wipe. </t>
  </si>
  <si>
    <t>On-Prem in country kit to be ordered in advance of design being proved through testing</t>
  </si>
  <si>
    <t>IT Program Mgr</t>
  </si>
  <si>
    <t>01-Oct-12</t>
  </si>
  <si>
    <t>Poland hosting status confirmation</t>
  </si>
  <si>
    <t>14-Dec-12</t>
  </si>
  <si>
    <t xml:space="preserve">
03/10 RB logged and assigned to DB as agreed. Action now escalated to John Murphy who has agreed to finalise hosting status of all countries still under question by mid-December in time for on-prem hardware orders to be placed in January​.</t>
  </si>
  <si>
    <t>PMO</t>
  </si>
  <si>
    <t>SharePoint - User Profile, Social and My site data decomissioning</t>
  </si>
  <si>
    <t>09-Aug-12</t>
  </si>
  <si>
    <t xml:space="preserve">
3rd Aug - Further information received from G. Henbest (Global Data Privacy Director) - 
"If the information is kept for 30 days then it must be searchable, a requirement of data privacy law is that an individual should be allowed access to or a copy of all their data, so if this information is still available when a request is received we need to be able to provide a copy..."
 Marked (re)validated.
1st Aug - Key outstanding question is if data should remain visibile for 30 days. Q&amp;RM to provide further clarification. Unclear of when this information is required by.
31 Jul (BvG): Setting to revalidation. Lots of missing information in the Decision log fields and outstanding responses from Q&amp;RM still noted without resolution.</t>
  </si>
  <si>
    <t>Andy Ioannou</t>
  </si>
  <si>
    <t>GAAIT replacement program now falls under FAS&amp;T</t>
  </si>
  <si>
    <t xml:space="preserve">
7-Sep: Jo Anne Offill sent the following correction to this decision: 
The GAAIT Replacement program is moving under the umbrella of the FAS&amp;T program, not EYD. Decision previously read that GAAIT replacement will be managed by EYD. 
03-Aug: Reassigned to Andy
09-Jul: Decision will reflect disposition of Issue #81
12-June (LM): Per Michelle, this decision should be made/complete July 9, updated.
22-Feb: on RAID call discussed I110, hoping to get more info at FSG meeting next week.​ </t>
  </si>
  <si>
    <t>Norman Beard</t>
  </si>
  <si>
    <t>Extranet strategy for external authentication and content mgt</t>
  </si>
  <si>
    <t>19-Aug-12</t>
  </si>
  <si>
    <t xml:space="preserve">
16-July: Norm marked "Validated."
9-July:  SharePoint Extranet Deployment and Access Model (authored by Gerd Hanussek) submitted to Design Authority 
10-May IM: prior to migration, forum set to Decision Makers set to "Ant / Afzaal / Klara" so translated to "Workstream Lead" - to be confirmed.
26-Apr: Per Al, reassign to Norm, IAM/InfoSec
9-May:  this activity is part of Release 2 design work​</t>
  </si>
  <si>
    <t>EY SharePoint Governance body</t>
  </si>
  <si>
    <t xml:space="preserve">
22-May: Marked Validated by Michelle Edmonds.
30-Apr: Al unsure, SP item. LM to Norm/Michelle.
26-Apr Al: Governing body has been established. LM &gt; Al - need date, decision statement, impact and rationale.
Program
7-Mar: Al and Mark had a conversation around this item; will be part of blueprints. Decision will need to come first from Fareed Naeem and then Jeremy Brown. ​
No assigned to; Forum set to Program Mgt team as opposed to Workstream Lead to keep at Program level.</t>
  </si>
  <si>
    <t>Scope and business requirements for client collaboration (ECMA)</t>
  </si>
  <si>
    <t>07-Aug-12</t>
  </si>
  <si>
    <t xml:space="preserve">
08 - Aug (JB) Service Delivery for Assurance is part of the FAS&amp;T program and not in scope for M&amp;C.  All service delivery processs in scope for M&amp;C are proposed to be delivered via the EYD infrastructure. 
03-Jul: Required date moved as Andy and Jeremy will discuss in Cleveland next week. 
25-July (LM): workshops are planned for first 2 wks of August. Andy and Jeremy to discuss off-line and provide update.
18-July (LM): Per Jeremy, The working proposal is that ECMA will be delivered via EY/D. A series of workshops are planned to define and design the process and technical requirements so that all service lines can leverage EY/D from a service delivery perspective. This workstream is under the sponsorship of John Murphy.
27-Jun (LM): Nicola took an action to take to Andy to follow-up with Jeremy.
26-Apr: Per Al, reassign to Norm/Michelle.
SharePoint enablement (requirements)​</t>
  </si>
  <si>
    <t>Conversion of existing SP sites</t>
  </si>
  <si>
    <t>22-Sep-11</t>
  </si>
  <si>
    <t xml:space="preserve">
2nd August : (NC Solution Delivery Lead ​Collaboratoin) Confirm decision that Collaboration EAX and Release 1 scope does not include the conversion of or data migration of any existing SP site already in the E&amp;Y landscape. (Marked (re)validated)
16-Jul: Reassigned to Nicola
27-Feb: Reviewed - Decision in the past - Need to confirm at Replan; May be impacted</t>
  </si>
  <si>
    <t>Only new applications will be required to use the new taxonomy</t>
  </si>
  <si>
    <t>23-Sep-11</t>
  </si>
  <si>
    <t xml:space="preserve">
27-Feb: Reviewed - Decision in the past - Need to confirm at Replan; May be impacted​</t>
  </si>
  <si>
    <t>http://sp.ey.net/msibm/Lists/RAID%20%20Decisions%20TEST/DispForm.aspx?ID=36&amp;RootFolder=*</t>
  </si>
  <si>
    <t>Tier-A only specific archiving solution for //content and //communities only</t>
  </si>
  <si>
    <t>08-Nov-11</t>
  </si>
  <si>
    <t xml:space="preserve">
​'11_11_08.1.15 - "Tier A: We will build a Tier-A only specific archiving solution for //content and //communities only"
O365 Hosted if aplicable for workloads, therefore need to revalidate
Travis 9-Mar: Need to re-validate what "archiving" means to EY. Although "Content" has a large user-base, it should still be considered an Application-Specific workload (i.e. vertical). Assuming verticals do not live in O365, it will require an on-premises archiving solution which is not considered in the "to-be" architecture. Assuming all community types live in O365, EY can take advantage of the O365 "Records Center" site collection which can grow to 400GB (at this threshold, this is a maximum of 300 based on latest service description). Need to re-visit the requirement for archiving and determine if the constraints still meet the requirement. Arch imp: YES
Legacy decision makers: Participants in the November TF Meeting in Secaucus (selected Program Mgt Team)</t>
  </si>
  <si>
    <t>Would like Service Applications to fit into Tier A</t>
  </si>
  <si>
    <t>Tier A: plan for 50 TBs and may scale to 300 TBs in next couple yrs.</t>
  </si>
  <si>
    <t>CKRs (Community Knowledge Repository) will be migrated and searchable.</t>
  </si>
  <si>
    <t xml:space="preserve">
​Confirmed with scope from Vel and Cheryl.   Question about which release they are in
Legacy decision makers:Participants in the November TF Meeting in Secaucus</t>
  </si>
  <si>
    <t>Sharepoint/FAST will not search Fileshares</t>
  </si>
  <si>
    <t>09-Nov-11</t>
  </si>
  <si>
    <t xml:space="preserve">
​21 May - Not part of release 1
Legacy decision maker:Participants in the November TF Meeting in Secaucus</t>
  </si>
  <si>
    <t>There will be one global enterprise search technology (FAST)</t>
  </si>
  <si>
    <t>10-Nov-11</t>
  </si>
  <si>
    <t xml:space="preserve">
Legacy Decision Maker: Participants in the November TF Meeting in Secaucus​</t>
  </si>
  <si>
    <t xml:space="preserve">For in-country ("SP in a box"), search technology will always be FAST, </t>
  </si>
  <si>
    <t>Plan FAST for x # of columns, docs and indexable content</t>
  </si>
  <si>
    <t>AD is the primary source of User Profile data</t>
  </si>
  <si>
    <t xml:space="preserve">
3-Apr: Michelle provided impact and rationale data.​
Legacy decision maker:Participants in the November TF Meeting in Secaucus</t>
  </si>
  <si>
    <t>People will provide their own photos into User Profile</t>
  </si>
  <si>
    <t xml:space="preserve">
21 May - Included in the plan for release 1​
3-Apr: Michelle provided rationale and impact info.
Legacy decision makers: Participants in the November TF Meeting in Secaucus</t>
  </si>
  <si>
    <t>Attributes needed by SharePoint will be available/managed in the Global AD Catalog</t>
  </si>
  <si>
    <t>30-Jun-12</t>
  </si>
  <si>
    <t xml:space="preserve">
2 August (NC Solution Delivery Manager) Collaboration EAX and Release 1 confirm original validation, attributes needed by SharePoint will be available and managed in the Global AD Catalog​ (marked (re)validated)
16-Jul:Reassigned to Nicola
3-Apr: Michelle provided impact and rationale.​
Comment included from Binu Alex that effort is underway as part of Fusion and IAM.
Legacy decision makers: Participants in the November TF Meeting in Secaucus</t>
  </si>
  <si>
    <t>Mobile enablement will not be rolled out as part of Phase 1 SharePoint.</t>
  </si>
  <si>
    <t xml:space="preserve">
Legacy decision maker = FSG - Dallas
26-Apr: Brett provided rationale and said: This is also not M&amp;C but SharePoint level (mobile for Exchange and Lync are separate considerations). LM updated, Brett provided decision makers.
13-Mar: This had been an action in the daily stand up callls and this update was provided today. Jeremy sending a comm to the workstream leads for their awareness. The team may architect for mobile in P1, but not design and deliver. We will not paint ourselves in a corner for P2 and on.​</t>
  </si>
  <si>
    <t>http://sp.ey.net/msibm/Lists/RAID%20%20Decisions%20TEST/DispForm.aspx?ID=113&amp;RootFolder=*</t>
  </si>
  <si>
    <t>Social Features RFP approval</t>
  </si>
  <si>
    <t>SP &amp; EM Design Authority</t>
  </si>
  <si>
    <t>08-Dec-11</t>
  </si>
  <si>
    <t xml:space="preserve">
​27-Mar Brett: Provided detail for impact and rationale; decision made by John and separately by Bob and Jeremy. SP &amp; EM DA supported proposal to move forward with RFP.
Resourcing and time will be required to conduct an RFP with a shortlist of appropriate vendors selected to provide improved social capabilities to the base SharePoint 2010 platform.
Decision in the past; No impact as result of cloud
27-Feb: revalidated</t>
  </si>
  <si>
    <t>http://sp.ey.net/msibm/Lists/RAID%20%20Decisions%20TEST/DispForm.aspx?ID=115&amp;RootFolder=*</t>
  </si>
  <si>
    <t xml:space="preserve">Translation RFP will be modified to do art of the possible session </t>
  </si>
  <si>
    <t xml:space="preserve">
Migration Note: Legacy decision makers = Bob Wasserman, Sharon Rahav, Scott Machovina, Michelle Edmonds
Decision in the past; No impact as result of cloud
27-Feb: revalidated​</t>
  </si>
  <si>
    <t>http://sp.ey.net/msibm/Lists/RAID%20%20Decisions%20TEST/DispForm.aspx?ID=116&amp;RootFolder=*</t>
  </si>
  <si>
    <t xml:space="preserve">No delivery in Phase 1 for Managing Clients and Engaging Accounts </t>
  </si>
  <si>
    <t xml:space="preserve">
Decision in the past - Need to confirm at Replan; No impact based on cloud decision 27-Feb: revalidated​</t>
  </si>
  <si>
    <t>http://sp.ey.net/msibm/Lists/RAID%20%20Decisions%20TEST/DispForm.aspx?ID=119&amp;RootFolder=*</t>
  </si>
  <si>
    <t>2 taxonomy solutions will be kept in synch, where approp., manually</t>
  </si>
  <si>
    <t xml:space="preserve">
Confirm at replan; No impact based on cloud decision 27-Feb: revalidated​</t>
  </si>
  <si>
    <t>http://sp.ey.net/msibm/Lists/RAID%20%20Decisions%20TEST/DispForm.aspx?ID=120&amp;RootFolder=*</t>
  </si>
  <si>
    <t>Taxonomy - The business will update the tagging of the content as needed</t>
  </si>
  <si>
    <t>http://sp.ey.net/msibm/Lists/RAID%20%20Decisions%20TEST/DispForm.aspx?ID=121&amp;RootFolder=*</t>
  </si>
  <si>
    <t>The business will create it's own test cases for UAT</t>
  </si>
  <si>
    <t xml:space="preserve">
​Confirm at replan; No impact based on cloud decision 27-Feb: revalidated</t>
  </si>
  <si>
    <t>http://sp.ey.net/msibm/Lists/RAID%20%20Decisions%20TEST/DispForm.aspx?ID=122&amp;RootFolder=*</t>
  </si>
  <si>
    <t>The business will administer the UAT and create their own data</t>
  </si>
  <si>
    <t>http://sp.ey.net/msibm/Lists/RAID%20%20Decisions%20TEST/DispForm.aspx?ID=123&amp;RootFolder=*</t>
  </si>
  <si>
    <t>The eRooms, etds, and Quickr conversions will begin post go-live</t>
  </si>
  <si>
    <t>http://sp.ey.net/msibm/Lists/RAID%20%20Decisions%20TEST/DispForm.aspx?ID=124&amp;RootFolder=*</t>
  </si>
  <si>
    <t xml:space="preserve">New team spaces will go through the formal provisioning process </t>
  </si>
  <si>
    <t>http://sp.ey.net/msibm/Lists/RAID%20%20Decisions%20TEST/DispForm.aspx?ID=125&amp;RootFolder=*</t>
  </si>
  <si>
    <t>BA will not re-document the functionaltiy that is OOB with SP</t>
  </si>
  <si>
    <t>http://sp.ey.net/msibm/Lists/RAID%20%20Decisions%20TEST/DispForm.aspx?ID=126&amp;RootFolder=*</t>
  </si>
  <si>
    <t>Ordering of hardware will occur before the design is complete</t>
  </si>
  <si>
    <t xml:space="preserve">
​Confirm at replan; No impact on approach based on cloud decision - initial on-prem prod hardware will be ordered to match staging configuration 27-Feb: revalidated</t>
  </si>
  <si>
    <t>http://sp.ey.net/msibm/Lists/RAID%20%20Decisions%20TEST/DispForm.aspx?ID=127&amp;RootFolder=*</t>
  </si>
  <si>
    <t xml:space="preserve">Convergence of EYD is now part of Phase 2 </t>
  </si>
  <si>
    <t>27-Sep-11</t>
  </si>
  <si>
    <t xml:space="preserve">
Migration note: Legacy decision makers: Participants in Sept 2011 FSG meeting in DC​
27-Feb; Reviewed -
Confirm at replan; May be impacted - check with Jeremy Brown
20-Mar: revalidated</t>
  </si>
  <si>
    <t>http://sp.ey.net/msibm/Lists/RAID%20%20Decisions%20TEST/DispForm.aspx?ID=128&amp;RootFolder=*</t>
  </si>
  <si>
    <t xml:space="preserve">Policies now removed from Phase 1 </t>
  </si>
  <si>
    <t xml:space="preserve">
Migration Note: Legacy decision makers = Participants in Sept 2011 FSG meeting in DC​
Confirm at replan; may be impacted
20-Mar: revalidated</t>
  </si>
  <si>
    <t>http://sp.ey.net/msibm/Lists/RAID%20%20Decisions%20TEST/DispForm.aspx?ID=129&amp;RootFolder=*</t>
  </si>
  <si>
    <t>Fusion will be renamed to SharePoint.</t>
  </si>
  <si>
    <t xml:space="preserve">
Migration note: legacy decision makers = participants in sept 2011 FSG meeting in DC
Decision in the past; No impact as result of cloud
27-Feb: revalidated​</t>
  </si>
  <si>
    <t>http://sp.ey.net/msibm/Lists/RAID%20%20Decisions%20TEST/DispForm.aspx?ID=130&amp;RootFolder=*</t>
  </si>
  <si>
    <t>Include Internal Team Sites in Phase 1</t>
  </si>
  <si>
    <t xml:space="preserve">
Migration note: Legacy decision makers = participants in Sept 2011 FSG meeting in DC​
Confirm at replan; No impact based on cloud decision 27-Feb: revalidated</t>
  </si>
  <si>
    <t>http://sp.ey.net/msibm/Lists/RAID%20%20Decisions%20TEST/DispForm.aspx?ID=131&amp;RootFolder=*</t>
  </si>
  <si>
    <t>Will not show customization screen and process as part of the EK POC</t>
  </si>
  <si>
    <t>11-Nov-10</t>
  </si>
  <si>
    <t xml:space="preserve">
Migration note: legacy decision maker = Team
​decision in the past No impact based on cloud decision 27-Feb: revalidated</t>
  </si>
  <si>
    <t>http://sp.ey.net/msibm/Lists/RAID%20%20Decisions%20TEST/DispForm.aspx?ID=132&amp;RootFolder=*</t>
  </si>
  <si>
    <t>SAML (Secure Assertion Markup Language) will not be needed for SP O365</t>
  </si>
  <si>
    <t xml:space="preserve">
​Migration note: legacy decision makers = O365 Feb 12 team
Rationale: Decided by the technical team
Decided in the O365 session w/o 12-Feb in Cleveland.</t>
  </si>
  <si>
    <t>http://sp.ey.net/msibm/Lists/RAID%20%20Decisions%20TEST/DispForm.aspx?ID=133&amp;RootFolder=*</t>
  </si>
  <si>
    <t>External Facing content would not be stored in Office 365</t>
  </si>
  <si>
    <t xml:space="preserve">
Migration note: legacy decision maker = O365 Feb 12 team​
Decided in the O365 session w/o 12-Feb in Cleveland.</t>
  </si>
  <si>
    <t>http://sp.ey.net/msibm/Lists/RAID%20%20Decisions%20TEST/DispForm.aspx?ID=134&amp;RootFolder=*</t>
  </si>
  <si>
    <t>Delivery Engine is an On Premise solution</t>
  </si>
  <si>
    <t>http://sp.ey.net/msibm/Lists/RAID%20%20Decisions%20TEST/DispForm.aspx?ID=135&amp;RootFolder=*</t>
  </si>
  <si>
    <t>Naming convention of URLs to be used for SharePoint O365 production environment</t>
  </si>
  <si>
    <t>02-Mar-12</t>
  </si>
  <si>
    <t xml:space="preserve">
Migration note: legacy decision maker = Andy Walsh​
27-Mar: Laura added per Greg and Brett.</t>
  </si>
  <si>
    <t>http://sp.ey.net/msibm/Lists/RAID%20%20Decisions%20TEST/DispForm.aspx?ID=136&amp;RootFolder=*</t>
  </si>
  <si>
    <t>People and Communities Release 1 solutions will be hosted in Office 365</t>
  </si>
  <si>
    <t>30-Dec-11</t>
  </si>
  <si>
    <t xml:space="preserve">
IM 3 Aug: Forum changed to IT Strategy after EDG review.
Migration note: Legacy decision maker = John Costello​
3-Apr-2012: Decision was made in conjunction with the decision to use the Office 365 cloud service in December, and is now logged here 3-Apr: valid.</t>
  </si>
  <si>
    <t>Initial storage quota for Communities in the cloud will be set at 2GB</t>
  </si>
  <si>
    <t xml:space="preserve">
Migration note: Legacy decision maker = Ken Hammond​
23-Mar-2012: Decision to establish the quota per cloud requirement</t>
  </si>
  <si>
    <t>http://sp.ey.net/msibm/Lists/RAID%20%20Decisions%20TEST/DispForm.aspx?ID=138&amp;RootFolder=*</t>
  </si>
  <si>
    <t>The same metadata will be used on premise and in the cloud</t>
  </si>
  <si>
    <t xml:space="preserve">
Migration note: Legacy decision maker = Cindy Hope​
12-June: Michelle noted this is confirmed.
3 - April -  Decision Logged</t>
  </si>
  <si>
    <t>http://sp.ey.net/msibm/Lists/RAID%20%20Decisions%20TEST/DispForm.aspx?ID=139&amp;RootFolder=*</t>
  </si>
  <si>
    <t>3 products will be purchased from Concept Searching</t>
  </si>
  <si>
    <t xml:space="preserve">
Migration note: legacy decision maker = Cindy Hope
​3 - April -  Decision Logged</t>
  </si>
  <si>
    <t>http://sp.ey.net/msibm/Lists/RAID%20%20Decisions%20TEST/DispForm.aspx?ID=140&amp;RootFolder=*</t>
  </si>
  <si>
    <t xml:space="preserve">SP solutions need to be designed to work on multiple devices </t>
  </si>
  <si>
    <t>http://sp.ey.net/msibm/Lists/RAID%20%20Decisions%20TEST/DispForm.aspx?ID=142&amp;RootFolder=*</t>
  </si>
  <si>
    <t>Adoption of Microsoft O365 cloud</t>
  </si>
  <si>
    <t>09-Jan-12</t>
  </si>
  <si>
    <t xml:space="preserve">
Migration note: Legacy decision makers: Executive Sponsors​
Added in retrospect - to provide a reference
6-Mar: revalidated.</t>
  </si>
  <si>
    <t>http://sp.ey.net/msibm/Lists/RAID%20%20Decisions%20TEST/DispForm.aspx?ID=143&amp;RootFolder=*</t>
  </si>
  <si>
    <t>Tier A definition</t>
  </si>
  <si>
    <t xml:space="preserve">
Migration note: Legacy decision makers = Participants in the Novemebr TF Meeting in Secaucus​
23-Apr:  People &amp; Communities will move to cloud; Communities provisioning to be on-prem given expected amount of customization. Revalidated.
9-Mar Travis: Need to re-work Tier A definition based on Office365 decision. Some services and capabilities may shift out of Tier A based on O365 constraints, policies and procedures and technical limitations of on-premises integration points. Arch imp: YES</t>
  </si>
  <si>
    <t>http://sp.ey.net/msibm/Lists/RAID%20%20Decisions%20TEST/DispForm.aspx?ID=144&amp;RootFolder=*</t>
  </si>
  <si>
    <t>User Experience will be a Farm WSP.</t>
  </si>
  <si>
    <t>07-Nov-11</t>
  </si>
  <si>
    <t xml:space="preserve">
Migration note: Legacy decision makers = Participants in the Nov TF meeting in Secaucus
​3-Apr: Michelle reviewed for decisions comm - complete.
9-Mar Travis: Confirmed (revalidated). The design for UX is being delivered by Frog, but not sure who is doing the implementation to a WSP. This is guidance to the implementers.</t>
  </si>
  <si>
    <t>http://sp.ey.net/msibm/Lists/RAID%20%20Decisions%20TEST/DispForm.aspx?ID=145&amp;RootFolder=*</t>
  </si>
  <si>
    <t>Criteria for falling outside of Tier A</t>
  </si>
  <si>
    <t xml:space="preserve">
Migration note: Legacy decision makers = Participants in Nov TF Meeting in Secaucus
​10-Apr: michelle provided impact and rationale.
3-Apr: Michelle reviewed for decisions comm - complete.
9-Mar Travis: Confirmed.</t>
  </si>
  <si>
    <t>http://sp.ey.net/msibm/Lists/RAID%20%20Decisions%20TEST/DispForm.aspx?ID=146&amp;RootFolder=*</t>
  </si>
  <si>
    <t>BCS will only be used for User Profiles in Tier A for the GHRDB connection</t>
  </si>
  <si>
    <t xml:space="preserve">
Migration note: Legacy decision makers = Participants in the November TF Meeting in Secaucus.​
3-Apr: Michelle reviewed for decisions comm - complete.
9-Mar Travis: Confirmed. BCS may not even be used for supplemental profile import depending on approach, but is supported by Office365 either way.</t>
  </si>
  <si>
    <t>http://sp.ey.net/msibm/Lists/RAID%20%20Decisions%20TEST/DispForm.aspx?ID=147&amp;RootFolder=*</t>
  </si>
  <si>
    <t>Use Web Trends for Web Analytics</t>
  </si>
  <si>
    <t xml:space="preserve">
Migration note: Legacy decision makers = Participants in the November TF Meeting in Secaucus​
10-Apr: Michelle provided impact and rationale.
3-Apr: Michelle reviewed for decisions comm - complete.
9-Mar Travis: Confirmed. Web Trends is supported in Office365.</t>
  </si>
  <si>
    <t>http://sp.ey.net/msibm/Lists/RAID%20%20Decisions%20TEST/DispForm.aspx?ID=148&amp;RootFolder=*</t>
  </si>
  <si>
    <t>House cross-farm services in Frankfurt</t>
  </si>
  <si>
    <t xml:space="preserve">
Migration note: Legacy decision makers = Participants in the Nov. TF Meeting in Secaucus​
9-Mar Travis: Revalidate based on Office365 decision. Since cross-farm services design were originally intended to be part tier A, we need to confirm that the O365 environment can still host these as cross-farm services. Arch imp: YES;
23-Apr:  intention is to still house cross-farm services in the Frankfurt GDC</t>
  </si>
  <si>
    <t>http://sp.ey.net/msibm/Lists/RAID%20%20Decisions%20TEST/DispForm.aspx?ID=149&amp;RootFolder=*</t>
  </si>
  <si>
    <t xml:space="preserve">All farms will need to consume a single, global MMSA </t>
  </si>
  <si>
    <t xml:space="preserve">
Migration note: Legacy decision makers = Participants in the Nov TF Meeting in Secaucus​
Travis 9-Mar: Conceptually this decision holds, but technically there are hurdles with the integration scenarios with Office365. If this is the vision, we need to wrap a maturity model around this capability/feature. This is has been impacted by Office365. Arch imp: YES</t>
  </si>
  <si>
    <t>http://sp.ey.net/msibm/Lists/RAID%20%20Decisions%20TEST/DispForm.aspx?ID=150&amp;RootFolder=*</t>
  </si>
  <si>
    <t>User Profile sync will occur in Office365; GHRDB data will be populated in AD</t>
  </si>
  <si>
    <t xml:space="preserve">
Migration note: Legacy decision makers = participants in the November TF Meeting in Secaucus. ​
10-Apr: Michelle provided impact.
3-Apr: Michelle reviewed for decisions comm - complete.
9-Mar Travis: Invalid decision. Based on Office365, User Profile sync will occur in Office365. GHRDB data will be populated in AD via a process outside of user profile sync (IDSync).
Initially read: User Profiles and BCS:
User profiles sync will live in Secaucus with GHRDB and BCS. UPRE will leverage that to replicate to the other two global data centers (Frankfurt and Singapore).</t>
  </si>
  <si>
    <t>http://sp.ey.net/msibm/Lists/RAID%20%20Decisions%20TEST/DispForm.aspx?ID=151&amp;RootFolder=*</t>
  </si>
  <si>
    <t>MySites will only live in Office 365.</t>
  </si>
  <si>
    <t xml:space="preserve">
Migration note: Legacy decision makers = Participants in the Nov. TF meeting in Secaucus​
10-Apr: Michelle provided impact and rationale data.
3-Apr: Michelle reviewed for decisions comm - complete.
9-Mar Travis: Confirmed. MySites will only live in Office 365.
</t>
  </si>
  <si>
    <t>http://sp.ey.net/msibm/Lists/RAID%20%20Decisions%20TEST/DispForm.aspx?ID=152&amp;RootFolder=*</t>
  </si>
  <si>
    <t>We will not use Power Pivot in the initial rollout</t>
  </si>
  <si>
    <t xml:space="preserve">
Migration note: Legacy decision makers = Participants in the November TF meeting in Secaucus
​3-Apr: Michelle reviewed for decisions comm - complete. Provided impact.
9-Mar Travis: Confirmed. This is not supported in Office365 in the current service description.</t>
  </si>
  <si>
    <t>http://sp.ey.net/msibm/Lists/RAID%20%20Decisions%20TEST/DispForm.aspx?ID=153&amp;RootFolder=*</t>
  </si>
  <si>
    <t>We will not include file shares in migration of business content</t>
  </si>
  <si>
    <t xml:space="preserve">
Migration note: Legacy decision makers = Participants in the Nov. TF Meeting in Secaucus​
10-Apr: Michelle provided impact.
3-Apr: Michelle reviewed for decisions comm - complete.
9-Mar Travis: Confirmed. Long-term file shares may be migrated, but not in scope for initial phases/releases.</t>
  </si>
  <si>
    <t>http://sp.ey.net/msibm/Lists/RAID%20%20Decisions%20TEST/DispForm.aspx?ID=154&amp;RootFolder=*</t>
  </si>
  <si>
    <t>SharePoint will allow media as attachment, but will not support direct streaming</t>
  </si>
  <si>
    <t xml:space="preserve">
Migration note: Legacy decision makers =​ Participants in the November TF Meeting in Secaucus
10-Apr: Michelle provided impact and rationale
3-Apr: Michelle reviewed for decisions comm - complete.
9-Mar Travis: Confirmed.</t>
  </si>
  <si>
    <t>http://sp.ey.net/msibm/Lists/RAID%20%20Decisions%20TEST/DispForm.aspx?ID=155&amp;RootFolder=*</t>
  </si>
  <si>
    <t>We will not migrate ARC (Archive Records Center) to SharePoint</t>
  </si>
  <si>
    <t xml:space="preserve">
Migration note: Legacy decision makers = ​Participants in the November TF Meeting in Secaucus 10-Apr: Michelle provided impact and rationale.
3-Apr: Michelle reviewed for decisions comm - complete.
9-Mar Travis: Confirmed. See D107 for archiving strategy.
 </t>
  </si>
  <si>
    <t>http://sp.ey.net/msibm/Lists/RAID%20%20Decisions%20TEST/DispForm.aspx?ID=156&amp;RootFolder=*</t>
  </si>
  <si>
    <t>No conversion of in-flight/active engagements</t>
  </si>
  <si>
    <t xml:space="preserve">
Migration note: Legacy decision maker = ​Participants in the November TF Meeting in Secaucus 10-Apr: Michelle provided impact and rationale.
3-Apr: Michelle reviewed for decisions comm - complete.
9-Mar Travis: Confirmed. This is an opportunity to align with the co-existence strategy between SharePoint and these systems.
 </t>
  </si>
  <si>
    <t>http://sp.ey.net/msibm/Lists/RAID%20%20Decisions%20TEST/DispForm.aspx?ID=157&amp;RootFolder=*</t>
  </si>
  <si>
    <t>GETD will not be automatically converted/migrated</t>
  </si>
  <si>
    <t xml:space="preserve">
Migration note: Legacy decsion makers = ​Participants in the November TF Meeting in Secaucus
10-Apr: Michelle provided impact and rationale.
3-Apr: Michelle reviewed for decisions comm - complete.
9-Mar Travis: Confirmed.</t>
  </si>
  <si>
    <t>http://sp.ey.net/msibm/Lists/RAID%20%20Decisions%20TEST/DispForm.aspx?ID=158&amp;RootFolder=*</t>
  </si>
  <si>
    <t>Archived data from eDocs does not need to move to SharePoint</t>
  </si>
  <si>
    <t xml:space="preserve">
Migration note: Legacy decision makers = ​Participants in the November TF Meeting in Secaucus
9-Mar Travis: Confirmed. Check with Prokopios and Blueprinting effort on archiving requirements, but not currently part of scope.</t>
  </si>
  <si>
    <t>http://sp.ey.net/msibm/Lists/RAID%20%20Decisions%20TEST/DispForm.aspx?ID=159&amp;RootFolder=*</t>
  </si>
  <si>
    <t>Fusion will not be building the firm archiving tool</t>
  </si>
  <si>
    <t xml:space="preserve">
Migration note: Legacy decision makers = ​Participants in the November TF Meeting in Secaucus
3-Apr: Michelle reviewed for decisions comm - complete. Provided impact.
9-Mar Travis: Confirmed. Even if archiving becomes a requirement in SharePoint and SharePoint becomes the core, archiving repository for this capability, the tool will not be built by EY.</t>
  </si>
  <si>
    <t>http://sp.ey.net/msibm/Lists/RAID%20%20Decisions%20TEST/DispForm.aspx?ID=160&amp;RootFolder=*</t>
  </si>
  <si>
    <t>Collaboration (Fusion) is not delivering a Service Management Framework</t>
  </si>
  <si>
    <t xml:space="preserve">
Migration note: Legacy decision makers = ​Participants in the November TF Meeting in Secaucus 3-Apr: Michelle updated impact and rationale.
9-Mar Travis: Confirmed. Office365 has a service management framework wrapped around it. EY operations will have to integrate these processes with their ITSM framework and processes.</t>
  </si>
  <si>
    <t>http://sp.ey.net/msibm/Lists/RAID%20%20Decisions%20TEST/DispForm.aspx?ID=161&amp;RootFolder=*</t>
  </si>
  <si>
    <t>Mobile access is limited to out of the box capabilities of SharePoint</t>
  </si>
  <si>
    <t xml:space="preserve">
Migration note: Legacy decision makers = ​Participants in the November TF Meeting in Secaucus
3-Apr: Michelle reviewed for decisions comm - complete.
9-Mar Travis: Confirmed.</t>
  </si>
  <si>
    <t>http://sp.ey.net/msibm/Lists/RAID%20%20Decisions%20TEST/DispForm.aspx?ID=162&amp;RootFolder=*</t>
  </si>
  <si>
    <t>Plan for 20 Queries Per Second (QPS) for 2013</t>
  </si>
  <si>
    <t xml:space="preserve">
Migration note: Legacy decision makers = ​Participants in the November TF Meeting in Secaucus
9-Mar Travis: Confirmed. This still stands as far as I know. The decision can be revalidated with FAST team, Pat Velderman and Ed Dale if still valid decision.</t>
  </si>
  <si>
    <t>http://sp.ey.net/msibm/Lists/RAID%20%20Decisions%20TEST/DispForm.aspx?ID=163&amp;RootFolder=*</t>
  </si>
  <si>
    <t>Indexing Latency SLA for GAAIT once hosted in SP 2010 CMS</t>
  </si>
  <si>
    <t xml:space="preserve">
Migration note: Legacy decision makers = ​Participants in the November TF Meeting in Secaucus
3-Apr: Michelle reviewed for decisions comm - complete.
9-Mar Travis: Confirmed. This is configuration.</t>
  </si>
  <si>
    <t>http://sp.ey.net/msibm/Lists/RAID%20%20Decisions%20TEST/DispForm.aspx?ID=164&amp;RootFolder=*</t>
  </si>
  <si>
    <t>FAST will only search Published content as part of enterprise search</t>
  </si>
  <si>
    <t xml:space="preserve">
Migration note: Legacy decision makers = ​Participants in the November TF Meeting in Secaucus
3-Apr: Michelle provided impact and rationale data.
9-Mar Travis: Confirmed.</t>
  </si>
  <si>
    <t>http://sp.ey.net/msibm/Lists/RAID%20%20Decisions%20TEST/DispForm.aspx?ID=165&amp;RootFolder=*</t>
  </si>
  <si>
    <t xml:space="preserve">12-hour index latency SLA </t>
  </si>
  <si>
    <t>http://sp.ey.net/msibm/Lists/RAID%20%20Decisions%20TEST/DispForm.aspx?ID=166&amp;RootFolder=*</t>
  </si>
  <si>
    <t xml:space="preserve">Page rendering time in SP and query response time </t>
  </si>
  <si>
    <t xml:space="preserve">
Migration note: Legacy decision makers = ​Participants in the November TF Meeting in Secaucus
3-Apr: Michelle provided impact and rationale info.
9-Mar Travis: Confirmed.</t>
  </si>
  <si>
    <t>http://sp.ey.net/msibm/Lists/RAID%20%20Decisions%20TEST/DispForm.aspx?ID=167&amp;RootFolder=*</t>
  </si>
  <si>
    <t>My Site will not be the landing page for the initial rollout.</t>
  </si>
  <si>
    <t xml:space="preserve">
Migration note: Legacy decision makers = ​Participants in the November TF Meeting in Secaucus
3-Apr: Michelle provided impact and rationale data.
9-Mar Travis: Confirmed. Assumes this is still the direction and has not been changed by the UX/Frog workstream. Impact would impact farm capacity and load, but is mitigated to some degree now that Mysites are deployed to Office365.</t>
  </si>
  <si>
    <t>http://sp.ey.net/msibm/Lists/RAID%20%20Decisions%20TEST/DispForm.aspx?ID=168&amp;RootFolder=*</t>
  </si>
  <si>
    <t>Do not automatically populate peers as colleagues</t>
  </si>
  <si>
    <t xml:space="preserve">
Migration note: Legacy decision maker = ​Participants in the November TF Meeting in Secaucus
3-Apr: Michelle provided impact and rationale data.
9-Mar Travis: Confirmed.</t>
  </si>
  <si>
    <t>http://sp.ey.net/msibm/Lists/RAID%20%20Decisions%20TEST/DispForm.aspx?ID=169&amp;RootFolder=*</t>
  </si>
  <si>
    <t>Internally, there is 1 forest, 22 domains</t>
  </si>
  <si>
    <t xml:space="preserve">
Migration note: legacy decision makers = ​Participants in the November TF Meeting in Secaucus
3-Apr: Paul provided updated syntax and impact info.
Paul Neave and TF team - still valid; marked revalidated. 9-Mar Travis: Confirmed.</t>
  </si>
  <si>
    <t>http://sp.ey.net/msibm/Lists/RAID%20%20Decisions%20TEST/DispForm.aspx?ID=170&amp;RootFolder=*</t>
  </si>
  <si>
    <t>Allow default behavior of SP for user to write wwwHomePage attribute in AD</t>
  </si>
  <si>
    <t>http://sp.ey.net/msibm/Lists/RAID%20%20Decisions%20TEST/DispForm.aspx?ID=171&amp;RootFolder=*</t>
  </si>
  <si>
    <t>There will not be infrastructure in Secaucus</t>
  </si>
  <si>
    <t xml:space="preserve">
Migration note: Legacy decision makers = ​Participants in the November TF Meeting in Secaucus
3-Apr: Michelle provided impact and rationale data.
9-Mar-Travis: Confirmed. User Profile import approach should align with this.</t>
  </si>
  <si>
    <t>http://sp.ey.net/msibm/Lists/RAID%20%20Decisions%20TEST/DispForm.aspx?ID=172&amp;RootFolder=*</t>
  </si>
  <si>
    <t>SQL Server 2008 R2 will be the standard database</t>
  </si>
  <si>
    <t>14-Nov-11</t>
  </si>
  <si>
    <t xml:space="preserve">
Migration note: Legacy decision makers = ​Participants in the November TF Meeting in Secaucus
3-Apr: Paul provided updated syntax and impact.
Paul Neave - still valid; revalidated. 9-Mar Travis: Confirmed. This continues to be the direction and is what is being used to build out the non-production environments.</t>
  </si>
  <si>
    <t>http://sp.ey.net/msibm/Lists/RAID%20%20Decisions%20TEST/DispForm.aspx?ID=173&amp;RootFolder=*</t>
  </si>
  <si>
    <t>GAAIT does not have to be encrypted</t>
  </si>
  <si>
    <t>http://sp.ey.net/msibm/Lists/RAID%20%20Decisions%20TEST/DispForm.aspx?ID=174&amp;RootFolder=*</t>
  </si>
  <si>
    <t>Office 365 is a one-data center approach.</t>
  </si>
  <si>
    <t xml:space="preserve">
Migration note: Legacy decision makers = ​Participants in the November TF Meeting in Secaucus
3-Apr: Michelle provided impact and rationale info.
9-Mar Travis: Office 365 is a one-data center approach.</t>
  </si>
  <si>
    <t>http://sp.ey.net/msibm/Lists/RAID%20%20Decisions%20TEST/DispForm.aspx?ID=175&amp;RootFolder=*</t>
  </si>
  <si>
    <t>All of Tier A requires DR</t>
  </si>
  <si>
    <t>15-Nov-11</t>
  </si>
  <si>
    <t xml:space="preserve">
Migration note: Legacy decision makers = ​Participants in the November TF Meeting in Secaucus
3-Apr: Michelle provided impact and rationale.
9-Mar Travis: Assuming Tier A now wholly exists in Office365, DR capabilities are built into the Service. We need to validate the DR capability meets the requirement. Arch imp: YES
23-Apr:  There will still be on-prem servers.  Space and network issues with current DR site in Germany, so how to provide DR for on-prem servers is still an issue</t>
  </si>
  <si>
    <t>http://sp.ey.net/msibm/Lists/RAID%20%20Decisions%20TEST/DispForm.aspx?ID=176&amp;RootFolder=*</t>
  </si>
  <si>
    <t>Design In-Country SharePoint Infrastructure for a minimum baseline high-availability farm leveraging standard branch office configuration</t>
  </si>
  <si>
    <t xml:space="preserve">
Migration note: Legacy decision makers = ​Participants in the November TF Meeting in Secaucus
3-Apr: Michelle provided impact data.
9-Mar Travis: Confirmed. An in-country SP design with local HA is in the current architecture description.</t>
  </si>
  <si>
    <t>http://sp.ey.net/msibm/Lists/RAID%20%20Decisions%20TEST/DispForm.aspx?ID=177&amp;RootFolder=*</t>
  </si>
  <si>
    <t>SPF design will not include an In-country DR solution</t>
  </si>
  <si>
    <t xml:space="preserve">
Migration note: Legacy decision makers = ​Participants in the November TF Meeting in Secaucus
3-Apr: michelle provided impact.
9-Mar Travis: Confirmed. Current design only includes a local HA solution with redundancy at web and app tiers.
23-Apr:  FY13 budget proposal includes DR hardware for in-country SP; any design work to align with funding of DR hardware next FY</t>
  </si>
  <si>
    <t>http://sp.ey.net/msibm/Lists/RAID%20%20Decisions%20TEST/DispForm.aspx?ID=178&amp;RootFolder=*</t>
  </si>
  <si>
    <t>Requirements for Partnership are not part of this design and will fall in Tier C</t>
  </si>
  <si>
    <t>16-Nov-11</t>
  </si>
  <si>
    <t xml:space="preserve">
​Migration note: Legacy decision makers = Participants in the November TF Meeting in Secaucus
3-Apr: Michelle provided impact.
9-Mar Travis: Confirmed.</t>
  </si>
  <si>
    <t>http://sp.ey.net/msibm/Lists/RAID%20%20Decisions%20TEST/DispForm.aspx?ID=179&amp;RootFolder=*</t>
  </si>
  <si>
    <t xml:space="preserve">Initial SPF Design will be based on the current two AD forest scenario </t>
  </si>
  <si>
    <t xml:space="preserve">
Migration note: legacy decision makers = Participants in the November TF Meeting in Secaucus
18-Apr: Travis provided impact and rationale.
11-Apr: Laura emd Travis for impact and rationale, per Michelle.
9-Mar Travis: Confirmed.</t>
  </si>
  <si>
    <t>http://sp.ey.net/msibm/Lists/RAID%20%20Decisions%20TEST/DispForm.aspx?ID=180&amp;RootFolder=*</t>
  </si>
  <si>
    <t>Solution to regulatory in-country is “SharePoint in a box” that lives 80% of time in the DMZ</t>
  </si>
  <si>
    <t xml:space="preserve">
Migration note: Legacy decision makers = ​Participants in the November TF Meeting in Secaucus
3-Apr: Michelle provided impact.
9-Mar Travis: Confirmed. As far as I know, in-country deployments are meant to live in the DMZ as the requirement exists for collaborating on client data/assets.</t>
  </si>
  <si>
    <t>http://sp.ey.net/msibm/Lists/RAID%20%20Decisions%20TEST/DispForm.aspx?ID=181&amp;RootFolder=*</t>
  </si>
  <si>
    <t>SPF design will not leverage RBS</t>
  </si>
  <si>
    <t>17-Nov-11</t>
  </si>
  <si>
    <t xml:space="preserve">
Migration note: Legacy decision makers = ​Participants in the November TF Meeting in Secaucus
18-Apr: Travis provided impact and rationale data.
11-Apr: Laura emd Travis for the impact and rationale, per Michelle.
9-Mar Travis: Confirmed. This is still the direction as far as I know. Gerd is keen on the value proposition of RBS, but current thinking suggests it is not the right solution at the moment. This may change if more specialized workloads are deployed on Sharepoint like streaming media.</t>
  </si>
  <si>
    <t>http://sp.ey.net/msibm/Lists/RAID%20%20Decisions%20TEST/DispForm.aspx?ID=182&amp;RootFolder=*</t>
  </si>
  <si>
    <t>Summary of Engaging Clients Managing Accounts (ECMA) workstream</t>
  </si>
  <si>
    <t xml:space="preserve">
Migration note: Legacy decision makers = ​Participants in the November TF Meeting in Secaucus
3-Apr: Michelle reviewed for decisions comm - complete.
9-Mar Travis: Confirmed. No change in direction on ECMA as far as I know.</t>
  </si>
  <si>
    <t>Monitoring of the existing resources will be an Operational task</t>
  </si>
  <si>
    <t>20-Nov-11</t>
  </si>
  <si>
    <t xml:space="preserve">
Migration note: Legacy decicion makers = ​Participants in the November TF Meeting in Secaucus
3-Apr: Michelle reviewed for decisions comm - complete.
Paul Neave &amp; TF team - still valid, marked revalidated.  9-Mar Travis: Confirmed.</t>
  </si>
  <si>
    <t>http://sp.ey.net/msibm/Lists/RAID%20%20Decisions%20TEST/DispForm.aspx?ID=185&amp;RootFolder=*</t>
  </si>
  <si>
    <t>Operations should monitor indexing time and content churn rate</t>
  </si>
  <si>
    <t>http://sp.ey.net/msibm/Lists/RAID%20%20Decisions%20TEST/DispForm.aspx?ID=186&amp;RootFolder=*</t>
  </si>
  <si>
    <t>Encryption is at the hardware level and outside the scope of the SharePoint architecture.</t>
  </si>
  <si>
    <t xml:space="preserve">
Migration note: Legacy decision makers = ​Participants in the November TF Meeting in Secaucus
3-Apr: Michelle provided impact and rationale data.
9-Mar Travis: Confirmed. No special encryption capability at FAST level. This is at the hardware level and outside the scope of the SharePoint architecture.</t>
  </si>
  <si>
    <t>http://sp.ey.net/msibm/Lists/RAID%20%20Decisions%20TEST/DispForm.aspx?ID=187&amp;RootFolder=*</t>
  </si>
  <si>
    <t>Project teams outside of SharePoint Enablement will need to go through the CCB process to request environment resources</t>
  </si>
  <si>
    <t xml:space="preserve">
Migration Note: Decision makers = Michelle/Norm​
21 Mar:  Tech Foundations moved into SharePoint Enablement.  Project teams outside of SharePoint Enablement will need to go through the CCB process to request environment resources</t>
  </si>
  <si>
    <t>http://sp.ey.net/msibm/Lists/RAID%20%20Decisions%20TEST/DispForm.aspx?ID=188&amp;RootFolder=*</t>
  </si>
  <si>
    <t>SP will support DA processes</t>
  </si>
  <si>
    <t xml:space="preserve">
Migration note: Legacy decision maker = Michelle Edmonds​
19-June: LM &gt; Michelle for clarification prior to migration.
Decision in the past; No impact as result of cloud
27-Feb: revalidated</t>
  </si>
  <si>
    <t>Phase 1: No conversion of historical data</t>
  </si>
  <si>
    <t xml:space="preserve">
28 Jun : NC The Early Adopter Experience and Release 1 Scope does not have conversation of historical data in scope therefore this decision can now be closed
20-June (LM): Per Michelle, believes this is still true (no conversion of data); suggested check with Nicola. LM &gt; Nicola to revalidate.
19-June: LM &gt; Michelle for clarification prior to migration.
26-Apr - Brett - unclear what this means. LM &gt; Michelle for clarification.
Confirm at replan; No impact based on cloud decision</t>
  </si>
  <si>
    <t>CVs will go to the cloud</t>
  </si>
  <si>
    <t>09-Mar-12</t>
  </si>
  <si>
    <t xml:space="preserve">
Migration note: Legacy decision makers = Participants in the Nov TF Meeting in Secaucus​
20-June (LM): Per Michelle, decision is that CVs will go to the cloud.
19-June: LM &gt; Michelle for clarification prior to migration.
26-Apr Brett: This was an assumption not a decision. Only business can decide if they are shared or not. Not clear what the assumption was... I think that CVs will be shared. LM &gt; Michelle -- make an assumption or if needs a decision can open as pending decision.
10-Apr: michelle provided impact and rationale.
3-Apr: Michelle reviewed for decisions comm - complete.
9-Mar Travis: Confirmed.</t>
  </si>
  <si>
    <t>Partners may need their own infrastructure when they move to SP</t>
  </si>
  <si>
    <t>01-Feb-13</t>
  </si>
  <si>
    <t xml:space="preserve">
19 Jul 12: Updated required by date to reflect the expected timelines when the discovery of any Lotus Notes applications held on a dedicated partner environment may be discovered and therefore assessed as to what the likely migration strategy (and hence SharePoint infrastructure requirements) might be.
29 June : NC Assigning to Christian Driver after discussion with Both Christian and Brett van Gelder to understand the background.
Simply this item needs to remain open to track the existance of this set of LN DB's,howeverwe do not need a specific decision at this time around Partnership matters in SharePoint because it is not in any release plans and has not been subject to Christian's discovery activity.
20-June (LM): Per Michelle, no decision made. Updated status to Pending. Assigned to Nicola. LM &gt; Nicola that this item is assigned to her. Updated due date to two weeks out to give her time to amend appropriately.
19-June: LM &gt; Michelle for clarification prior to migration.
3-Apr: michelle provided impact.
9-Mar Travis: Confirmed.​</t>
  </si>
  <si>
    <t>Authoritative content management system will not reside in the cloud</t>
  </si>
  <si>
    <t xml:space="preserve">
Migation note: Legacy decision makers = Participants in the Nov. TF meeting in Secaucus.
21-June: Michelle provided update as to the decision. Previously this item stated that authoritate content will be in all three tiers. EY has not restrictions on authoritative content residing in the cloud.
19-June: LM &gt; Michelle for clarification prior to migration.
26-Apr Brett:  Inaccurate following Dec 2011 SP Foundation workshops and final SPF design. LM &gt; Michelle for confirmation.
9-Mar Travis: Confirmed. EY has no restrictions on authoritative content residing in Office365.​</t>
  </si>
  <si>
    <t>Data Privacy</t>
  </si>
  <si>
    <t>01-Sep-11</t>
  </si>
  <si>
    <t xml:space="preserve">
Q&amp;RM recommendation Aug/Sept 2011</t>
  </si>
  <si>
    <t>IT Services will be early-adopter of SharePoint</t>
  </si>
  <si>
    <t>18-Jun-12</t>
  </si>
  <si>
    <t xml:space="preserve">
15 June (BP): Met with Brett.  We are aligned on making IT Services an arly adopter to be able to better enable support.  
1-June (LM): Per Blaine - Blaine has a meeting with Brett to discuss in two weeks. Required resolution updated as such.
02/03: Action - B. Pardoe to raise on the Program Level RAID Log.​
 </t>
  </si>
  <si>
    <t>http://sp.ey.net/msibm/Lists/RAID%20%20Decisions%20TEST/DispForm.aspx?ID=184&amp;RootFolder=*</t>
  </si>
  <si>
    <t>Lync Performance Testing Approach Unresolved</t>
  </si>
  <si>
    <t xml:space="preserve">
26/10/12: RP: awaiting confirmation of final Lync dates and will work to ensure as much alignment as possible for the deployment of both tools.
28/08 (IW) - Meeting scheduled for 30th Aug to discuss alignment further, continued discussion with Lync team on detailed deployment plan and approach which should be ready during the next week.
14/08 (IW) - Regular meetings scheduled to discuss alignment between the teams and get clarity around the possible options. Next meeting 15th Aug.
31/07/12 - Updated details and changed status to active.​</t>
  </si>
  <si>
    <t>19-Nov-12</t>
  </si>
  <si>
    <t xml:space="preserve">
02/10/12 - Connection made with Andy Palfreyman, time scheduled with him to walk through existing assumptions and to understand how outputs of transition workstream can feed into business case update. Further session planned with Shaun Bradley to walk him through assumptions.
22/10/12 - Met with Andy Palfreyman and Shaun Bradley, transition related inputs have been provided to them. Regular checkpoints setup to discuss business case update and alignment with Transition workstream plan.
 </t>
  </si>
  <si>
    <t xml:space="preserve">
​02/10/12 - Have made request to EMEIA storage leads, but proving to be a very slow process to gather data. Looking to identify additional mechanism to get within shorter timescales.
22/10/12 - Have highlighted risk to Shaun Bradley who suggested I connect with Andrea Cohnens-Mohns.
 </t>
  </si>
  <si>
    <t xml:space="preserve">
02/10/12 - Alan Guthrie has spoken to Mo Osborne to confirm intention to update the M&amp;C business case in Nov/Dec to align with current deployment timescales. Plan to be developed to for data collection activities related to refresh.​
22/10/12 - Business Case update plan in development and set for review with Alan Guthrie on 26/10/12
 </t>
  </si>
  <si>
    <t>23-Nov-12</t>
  </si>
  <si>
    <t xml:space="preserve">
26/10/12: extended due date to when we have confirmed Lync timescales. Proposed management through comms and stakeholder engagement and will finalise this once the Lync timescales are confirmed.
08/09/12: RB: Latest update from Lync team is: Pre-pilot Test - April; Pilot - May; Deployment - June. OE Pilot is March, Deployment is April. Change team will manage communications and learning but until there is further clarity on Lync service, further detailed planning to mitigate this risk may be limited.
15/08: RB: Meeting rescheduled from 15/08 to 29/08 due to unavailability of participants. Review date deferred.
31/07: Meeting planned for 19/07was rescheduled as a result of Messaging Workshop and holiday. Meeting to be held 02/08. Trigger date moved back to end September when Lync plan will be more concrete and when we have a clearer view as to I&amp;Os ability to support deployment schedules across Lync and Outlook.
11/07: Two meetings already held with Lync, Transition and Business deployment team. Further updates required when M Kremmer and M Laci return from holiday. Meeting to be scheduled by RB for 19/07
13/06: Lync scope will not be confirmed until the end of June, after which it will be possible to determine what the timeline for deployment is. There are currently suggestions that deployment is being targeted for February 2013 which will be right up against the planned Outlook Pilot. Confirm with Neil and Martin K how deployment plan will factor this in, confirm with Service Transition if Ops can support it, and confirm with Business change that they can plan for managing impact of each outcome on users.
23/05: Review again once Lync vendor in place and there is clarity on Lync delivery timescales​
19/04/12: RB: Risk created out of decision to close D223</t>
  </si>
  <si>
    <t>Countries not aware of the financial or operational impact of going On-Prem, so risk they won’t order required hardware on time</t>
  </si>
  <si>
    <t xml:space="preserve">
04/04: Remain at high. Further information on impact following Service Design.
7-Mar: Nick provided additional detail for this item. R107 closed as it is accounted for in this item.​
31/07 - Still open as a risk. We need to agree the deployment approach to determine what the impact will be. Sessions are planned with Martin Kremmer.
18/09 - Nick Coburn - Still open - deployment schedule is still to be determined though I/O are working closely with deployment on this.
19/10 - Remain open until deployment plan finalised. Likely to become an issue as overall cost will increase.
 </t>
  </si>
  <si>
    <t>Network Assessment impact on deployment schedule</t>
  </si>
  <si>
    <t>ATT Plan does not support FY13 'go-live' for Lync</t>
  </si>
  <si>
    <t>BAU service model and operation remit for Microland not yet defined</t>
  </si>
  <si>
    <t xml:space="preserve">
26/10/12: Charlie/ Jon have defined a process which will be used with South Africa and Germany as pilot countries. Pushing date to 15 November in order to monitor and assess this approach.
3-Oct (MK): I'm comfortable with the process made by Charlie, Jon and James Hartley...we now have agreement on a process where we will consult the countries with the apps that need clarification.  I know Ian McG is also happy with this approach and the status of it. I will let him decide with Charlie if we can close the issue
22 Aug (IW): Details on deployment governance and process of working with the business to get agreement on EMIAs will be reviewed with Jon and feedback gained. Clear process to be put in place for this.
August 10 (MK): The Deployment team is awaiting an JD&amp;A milestone in mid-September that will provide more clarity of the scale of this potential issue.  ​Reassigning to Jonathan Els - and updating dates -  for further clarification on how this issue can/will materialise when the analysis is completed.</t>
  </si>
  <si>
    <t>4) Managing Sponsor</t>
  </si>
  <si>
    <t xml:space="preserve">
31-Oct-12: SM - Waiting for final recommendation from the technical team as to which headsets are recommended.
26/10 - Sandra to present options to DA w/e 09-Nov-12 ref options on how to handle the co-existence.
14-Sep: SM - Have pushed back the trigger and project review date as the technical analysis is now almost complete, and will be going to the DA for review on the 27th Sep.  Following that meeting this will need to be updated with the outcome.
3-aug: BvG - Struggling a little to see this as interoperability issue beyond the technical issue of multiple audio applications using audio devices especially on the XP platform. Beyond that this is a change management issue that will require training. Existing softphone is no different from exisitng physical phone other than contention issues with audio devices etc. surely.
29-Jun: SM - Discussed in the Secaucus workshop.  Agreed that this decision will need to go to the business - but first Sandra to provide a write-up of the inter-operability investigation.
Tests have shown there are some issues with inter-operability, awaiting final results.</t>
  </si>
  <si>
    <t xml:space="preserve">
2-Nov: Per David, no current actions required. Date to end of November for checkpoint.
17-Oct: Per Rewa, this was one of the items raised from the Messaging Workshop; ultimately it is down to resource constraint which is being looked at through a variety of channels currently.
16-Oct Rewa: Rewa suggested David; David agreed assignment. 15-Oct: LM &gt; Rewa for assignee.
09 Aug CB: resource planning is dependent on clear deliverables and planned activities t​o achieve these, with clear and agreed skill and effort estimates which drives the number of resources required to be available at a given time.  First step is to get these clear deliverables in the plans, with resources required documented - see mitigation plan</t>
  </si>
  <si>
    <t>01-Dec-12</t>
  </si>
  <si>
    <t xml:space="preserve">
2-Nov: Per David, no orders will be placed until BOM is defined and agreed - and country is cleared to be on prem - move out to December 1 for check point
​ </t>
  </si>
  <si>
    <t>19-Dec-12</t>
  </si>
  <si>
    <t xml:space="preserve">
2nd Nov - This is an ongoing issue. Alignment now reduced to 31%over the last month. Many mis-alignments due to PMs not speaking and agreeing dates / updating plans. Working with EP team on Interdependencies between programs, especially regarding better alignment processes between M&amp;C and IAM programs. Additional work now being undertaken regarding internal dependency management within the Outlook / Exchange team.  Date being pushed back by one month to monitor progress. This issue will be ongoing.
2nd Oct SJ) - Deep Dive session highlighted additional concerns so depdendency alignment was not the focus. Overall we continue to be aligned around 55%. Further deep dive session to be held, once plans are re-baselined for Exchange / Outlook, AT&amp;T have a plan that EY buy into for Lync and it is understood how we can best align dependencies between to / from SharePoint given that the Infrastructure element of Collobaration is not longer aligns with EY Planning standards.  The situation is being monitored, but pushing date out to end of Oct.
19-Sep (LM) - Per Steve on fortnightly call, traction being made, almost to 60% alignment. Areas of concern include lack of DCC schedule. Drains up review scheduled for 26-Sept.
4th Sept
Traction being made on IAM dependencies - session held with Bharat (IAM dependency contact). Currently IAM use a separate spreadsheet to update depedencies, however there is no linkage to dependencies stored on IAM plans which is the central source for the EP team to take and produce metrics each week. Agered with Bharat that a separate follow up will occur weekly to ensure alignment is known and missing dependencies are entered on relevant plans.
20th Aug - 
Further internal dependencies coded regarding Outlook / Exchange. SP dependencies reviewed and work stream is standardising descriptions. PMO process documented and in place. Dependency aligment has risen above 50% for the first time in several months, Further work required to align dependencies internally to the work streams which will still take a number of weeks to code / correlate, but positive movement is being made.
1st Aug - Further internal dependencies have now been coded. Full analysis of dependency alignment report has occured. MEssaging fortnightly external program dependency meetings recommenced 1st Aug. Alignment now creeping up and will be over 40% this week. Further session organised with Enterprise Planning team on the internal dependency coding efforts required. 
11th July - Date moving out - Planning standards enhancements being embedded into the plans and internal dependencies are now being fed into the plans allowing the complete picture to be tracked. This will be a gradual process.
13th June - Due to Program changes (ADM, SharePOint etc), Level 3 plans need again to be updated. Once this occurs, dependencies can then be removed / adjusted. Lync dependencies still not clear at this point, Majority of the Exchange / Outlook dependencies have been coded. - Further work required on alignment especially with the DCC Program. 
09th May -  EP team still coding of new dependencies. Starting to re-align dependencies and holding bi-weekly meetings with all teams. This will be a gradual process that will still take a number of weeks to resolve.
16th April Level 3 detailed plans starting to be reconstructed and dependencies at least on the core dependent programs (IAM) starting to be agreed. Dependencies between ADM and SharePoint now also starting to be aligned and dependency meetings now set up for all core programs. Further work is required on the revised org structure / remaining dependencies as previous dependencies now need to be validated. This will be a slow process to amend and fix, but the process has now started
4th April - Work continues on replanning. Level 0 and 1 plans are now in place for all work streams. However, detailed MPP's need to be rebaselined. Dependency management meetings will occur after Easter every 2 weeks. Working with EP team to code new dependencies when plans are re-baselined.
17th March - As expected, dependencies have reduced in alingment due to new plans being submitted. Resolution will be (a) Ensure Org restructure is known to determine if dependencies still exist. Secondly fortnightly meetings occuring on aligning dependencies throughout the M&amp;C program
7th March -  Dependencies are still likely to reduce over the next weeks whilst plans are now being refined based on potential org structure changes.
29th Feb - Dependency Alignment will dip further over the next 2 / 3 weeks as new plans replace the originals. Dependency alignment meeting with key external programs booked every 2 weeks from 15th March
15th Feb - Dependency alignment reduced to 51% - SharePoint and TF Lync plans are effectively shelved and a new plan is being constructed. Dependencies will be mis-aligned at least until 1st March,
31st Jan - Dependency alignment 58%. 2 plans will be dropped (Lync and SharePoint) as a complete replanning exercise is required. Therefore dependency alignment is projected to drop further.
23rd Jan - Dependency alignment 53%. There are a number of dependencies that could be aligned , but due to significant replaninng tasks being undertaken, current plans are effectively shelfed at this point.
17th Jan - Dependency alignment 49%. This will continue to drop as plans need validation.
11-Jan: Steve thinks got up to 60% this week, but this will probably reduce as replan on account of BPOS. As for a req. resolution date, this is dependent on re-planning of the SP and Exchange streams. For now, TBD; review again end of February.
06th - Jan. Dependency management meetings held with M&amp;C Program Managers and external programs every 2 weeks, but in certain work streams sufficient priority isn't  given to resolving this.  ​
 </t>
  </si>
  <si>
    <t>06-Dec-12</t>
  </si>
  <si>
    <t xml:space="preserve">
2nd Nov - Steve to speak with Neil Sahdev regarding escalating the wording of the disclaimer from Microsoft. This is not a critical path activity. - It will be required for Lync Phase II. Given this situation, the date is being moved out.17-Oct: Steve said not on critical path; Neil and Steve to discuss off-line. May decrease the profile.
3-Oct: Still waiting on wording; this is not immediate for Phase 1. Ally will chase (once POC work is out of the way); date should move ot the end of this month; no affect.
19-Sep (LM): Update per fortnightly call that the team is waiting on the disclaimer wording; Msft to send. Q&amp;RM has resource in place to review what Msft provides. Will have to look at next steps in the case that it is not acceptable. This is not yet impacting the critical path but does need to be validated within the next month. Neil will chase wording; Juan to do the same.
20th Aug - Date has been pushed back as this is a not a Phase 1 requirement. Further details are required in terms of setting out exactly what functionality is available, what hard coded messages are in place etc and provide Q&amp;RM a solid view of what can be customised or not.
19th June
 S Jelf to confirm (a) the timeframe for wording on this and (b) if there is only 1 disclaimer available in Lync
Update 9th May
Wording needs to still be confirmed on Lync external disclaimer.  Awaiting guidance from Q&amp;RM on this. </t>
  </si>
  <si>
    <t xml:space="preserve">
5-Nov: All countries have now been sync'd with MMSSPP as far as im aware, but the error reports are currently going into no-mans land due to an addressing issue.  Marina from IAM Ops is also driving MMSSPP error reporting processes etc.  We have a meeting scheduled today on this topic.
9-May: Tolerance level 1% and we are just over that. Some remediation is taking place now. Still critical in terms of timeline.
28-Mar: Ted sent to Laura for addition to the log. LM emd Ted for details.​</t>
  </si>
  <si>
    <t xml:space="preserve">
04/11: RB: Microsoft have confirmed that Exchange 2013 is not an in-place upgrade and will require parallel infrastructure to be installed in all on-premises locations. No detail as yet around likely extent of infrastructure that can be re-used. Highlighted to Exec Sponsor Meeting on 06/11 as a watch item. RB working with BvG and DB to agree next steps.
12/10/12 - RB - Further clartiy required date pushed.
07/08: RB: Meeting held with Peter Li from Microsoft to explain scope of change and likely impact on infrastructure budget. Total value of investment required not yet known. Meeting to be held in two months to determine what financial planning needs to be undertaken. It is expected that at this point there will be further clarity on Microsoft's release dates for Exchange 13, for confirmation of the FY13 budget and also on the on-premises deployment timeline which may influence investment decisions.
24/07: RB: Risk logged. Meeting to be held 01/08/12 with Peter Li to understand scope of impact as a result of upgrade. EY team to then discuss next steps and develop resolution/mitigation plan.​</t>
  </si>
  <si>
    <t xml:space="preserve">
04/11: RB: OE plans under review to determine if any slippage will be caused by resource absence.
15/10/12 - RB - No comms from Cross Org or I&amp;O. Resource gaps need to be identified in workstream plans as orginal timelines need to be adhered to. RB to continue to escalte with Alan/David.
28/08/12 RB: Logged. RB raised with DB and IB. DB agreed to discuss with AG and SB as requires coordinated response across Cross Org, I&amp;O and other IT teams.​</t>
  </si>
  <si>
    <t xml:space="preserve">
15 Oct - DF - MS has annouced RTM for SP 2013 and Office 2013 so the Dec data has been mitigated.  Our remaining risk is RTM for 2013 on O365.  This is scheduled for 1 April 2013 and EY has been identified to be included in the first wave of customers to upgrade.  There will be a pilot upgrade with another customer in February so that will be our next checkpoint on this risk.  See the  bullets below that were provided by O365:
Key point are as follows:
-         There was not a commitment by Dave or Bob E&amp;Y would be upgraded by 4/1/12
-         There are NO confirmed / committed upgrade dates yet.
-         The first wave is TARGETED to start in the April / May timeframe
-         The duration of the wave and upgrading are unknown at this point
-         E&amp;Y is included in the first wave
-         The first pilot upgrade is targeted for February
-         After the first pilot is complete, a schedule will be determined
19 July (AI): Have adjusted required date and review date to align with RTM announcement.
19-July (LM): Per Andy, keep status active to track mitigations as related to RTM and SR in O365. Andy will adjust due date to be closer to RTM date.
18-July: Dave said he considers this closed but left for EY agreement. LM &gt; Brett, Andy and David to confirm closure. Brett confirmed as the risk has been acknowleged and team is activly mitigating. 
10th July : See updates in Risk Triggers above for latest on the dates.  Participation in the TAP program which has started will give the team insight into the product quality throughout the pre-release cycle.
3rd July : (NC)​ Dave to update to reflect the latest known dates. Please ensure you include the fundamental change in understanding of Beta 1/2
 </t>
  </si>
  <si>
    <t>Sherry Martin</t>
  </si>
  <si>
    <t xml:space="preserve">
5-Nov (SM) This is definitely not in scope for R1.  As prioritization efforts for R2 are not likely to be concluded until end of November or mid December, this item will be re-evaluated to determine if the risk still exists.  It is planned that extranet would be included in R2 scope; however, there are no agreements on how data would be kept secure, how users would collaborate (inside or outside of extranet) - essentially, requirements have not been fully gathered.
20-Sept (NC) Expectation is the Release 2 planning and scope prioritisatio will have been defined by 15th October. If the prioritised scope requires the extranet however the extranet itself is not part of the R2 scope mitigation will need to be considered.
17-Sep: David provided desc update, prob. and impact info, trigger date. Trigger date will be scope for R2 sign-off. 18-Sep: Lauren&gt;Nicola for date. Laura to update once receive response.
27-Aug (AI): without completing roadmap planning for future Collaboration releases - planned Oct 2012 - M&amp;C cannot commit to introducing extranet capability by Dec 2013.
14-Aug: Added by Laura per call with David and Ian. Laura &gt; David for additional details.​</t>
  </si>
  <si>
    <t>6-Nov: LM &gt; Sherry - new trigger date?</t>
  </si>
  <si>
    <t xml:space="preserve">
NC 05/11 - Keep open until Microland DD completed
15 - Oct - Clearly, there is work to be done to define the roles and responsibilities but, as agreed when Microland were with us recently, we will do this via due diligence and this will then be formalised in the contract. As agreed with Ana, we are actively progressing to finalise the specifics of the contract, rather than the contract not progressing.    
8-Oct - Alexa re-opened as this has still not been confirmed or moved forwards.
16-Jul - Nick C confirmed date for this work is 22nd August. This has therefore delayed the microland onboarding as original target date has not been met​
31/07 - Work progressing to engage Microland in Service Design workshop planned for end of August. UC team has completed their requirements for the scope of service from Microland though this requires validation ahead of the workshop. Agreement from Procurement to proceed with Microland based on their attendance at the workshop as their own 'cost of sale'. Work continues to develop a skinny MSA to allow several strands of work to continue prior to contract signature.
Therefore, the lack of the service model is not holding up progress with Microland and this issue should be closed.  </t>
  </si>
  <si>
    <t xml:space="preserve">
5 Nov CS- Global Service Desk has approved concept of manually unistalling Outlook 2003/07.  now developing process and comms.  Agree deployment process is to removed users with know Outlook 2010 issues from target list in order to complete deployment.  There is a risk 5000 users will not have Outlook 2010 installed by 30 Nov, looking to prioritise pilot country users
12/10/12 - CS - Discussing with service desk and product owner the best way of upgrading users.
24-Sep (CS) - Of 5k users identified with Outlook already installed 3k responded to survey.  Aprrox 50% of respondents have permitted the removal of Outlook.   Will need to agree approach to upgrade users impacted by replacing Outlook with a dormant version.
19-Sept (LM): Per Rewa on fortnightly call, still collating survey responses; will have more info following review of surveys.
7th September- 12: Lynn Agoye: Outlook Survey responses are being collated, deadline for completion is today. Results will be analysed and next steps will be concluded.
15-AUG-12: Lynn Agoye: Survey to existing outlook users has been updated. and is ready to go, GLMS list is pending creation due to a backlog of requests Martin May is currently on leave but upon his return will be issued with a test plan and environment to further test the technical implications of removing mail profiles and PST as there are concerns that the initial test was not thorough enough.
6th August 2012: Survey to existing Outlook user base, is being prepped to be sent out for week of 6th July. However a GLMS list will potentially need to be created as the number exceeds 5,000. There are also discrepencies about the accuracy of the inventory report. These queries are to be discussed in a meeting with the communication, business change and service management team (scheduled for 6th August). A decision will be made following this.
30-July (LA): Tests are currently being conducted on the impact the removal of Outlook will have on outlook 2007 usres. Draft survey is awaiting sign-off before being sent to the users to understand how they are using Outlook 2007.
25-July (LM): Yvonne took action to get update from Lynn. Martin stressed that clear direction on how migrating the different paths is needed; Brett said may need Jeremy and Bob's help. Lynn to update further.
13th June- A meeting was held with Rachel Phillps and Iain Willets to discuss the end user impact and agree next steps, the agreement was that Lazzaro De Gennaro would send the updated Outlook Inventory for us to see the current amount of users today. Rachel will then work to get an email sent out to the end users requesting feedback on their use of Outlook. This would then help the team plan technically what to do with the remaining  active users.
19th June- Lynn Agoye - Feedback from Transition Manager is that the tool that generates the report is down, Lynn Agoye to chase up on progress
20th July- Lynn Agoye - A decision has been passed to do some pre-deployment testing with some members of IT who already have Outlook installed on their machines, the purpose of the testing will be to see how the installer behaves and if the SCCM reports users with Outlook as being "failures" or if it just ignores them. The results of the tests will help detirmine how we move forward on this issue and will shape the comminications going out ​</t>
  </si>
  <si>
    <t>Infrastructure Engineering resources are constrained, resulting in delays to activities across all workstreams</t>
  </si>
  <si>
    <t>Document management following move to Outlook</t>
  </si>
  <si>
    <t>31-Jan-13</t>
  </si>
  <si>
    <t xml:space="preserve">
NC 05/11
Still open and to be considered as part of individual TOM for enterprise apps / platforms
10-May Migration Note: Changed workstream from M&amp;C Program to Transition.
04/04: Still in progress. Formalizing through TOM work.
02/03: ACTION - N. Coburn to have a first draft view by 16th March.​
15 JUN: NC progressing this. Meeting to be held with Mike to review all transition requirements. Nick to follow up with Alan on overall TM strategy in Cross-Org
31/07 - Still work in progress as we continue with the overall approach to TOM.
 </t>
  </si>
  <si>
    <t>Tier 3 level support is not defined for virtual desktops</t>
  </si>
  <si>
    <t xml:space="preserve">
NC 05/11 - NC working the open VM issue with Gil
15 Oct: (MM) Discussed the issue of defining the support model with Nick Coburn and Cynthia. Passed the environment details to Nick. Nick will discuss this with his team mates and will have meeting soon. On an another note, the blocks for realizing the VM environment associated with this issue # have been resolved and the VM is available now. Only the support model issue persists now.This is the current status
17-Oct: Per Alexa, assigned to Nick Coburn and Transition stream as opposed to Outlook.   
 3-Oct: Rewa will take action to Mike to update.
23-Sep - assigned to environment management team by Alexa
19-Sep (LM)- Per Rewa on fortnightly call, this has moved to the testing team; will look for update from testing team.
14-Aug (MM)- Created GCL4 &amp; 5 Templates, transferred to Frankfurt GDC, and being test deployed there.
07-Aug (MM)- Trying to modify GCL5 VM templates. 
18-Jul (MM)-Brett van Gelder referred the matter to Brain Booth. Brain B is now consulting his teams for any usable templates. 
17-Jul: (MM) Plan B could not be pursued because of the Domain connectivity issue. GCL5 VDi Environment @ Secaucus does not connect to EY.net domain.
16-Jul: (MM) Checking the feasibility of Plan B: Hosting virtual test machines in GCL5 VDi Environment @ Secaucus. 
11-Jul - PN meetings in place to review production of Virtual client server iVM mages and determine how we support these machines which fall outside the current BAU processes
10 July : (NC) After disucssion with Manesh at the weekly team meeting I have updated the description and visibility of this Issue.
5 July : (NC) After discussion with Paul Neave he is progressing this item and therefore we have agreed the best place for this to be owned is with him right now. 
3 July : (NC) Reassigning all Collaboration RAID items related to transition to Nick Coburn
19-Jun: ​Mike to follow up with Nick.
 </t>
  </si>
  <si>
    <t>Validated</t>
  </si>
  <si>
    <t>Pending</t>
  </si>
  <si>
    <t>Past Due</t>
  </si>
  <si>
    <t>Risks</t>
  </si>
  <si>
    <t>Issues</t>
  </si>
  <si>
    <t>Open</t>
  </si>
  <si>
    <t>High Impact</t>
  </si>
  <si>
    <t xml:space="preserve">Open </t>
  </si>
  <si>
    <t>Missed Trigger Date</t>
  </si>
  <si>
    <t>Critical</t>
  </si>
  <si>
    <t xml:space="preserve">
14-Nov: Per Ted on fortnightly RAID call, this is tracking to the trigger date. 100K synced so far, no issues. Another 50K users to be moved from tonight.
15 Oct: Approval for ID Sync deployment approved by CLT. JD&amp;A effort still under way and deployment plan willbe adjusted to reflect anticapated remediation schedule. This item will remin open until the roll out is complete.
3-Oct: Per Ted, approx 11K apps analyzed, 19 require remediation, of those 8 are complete, 6 more with identified deployment dates. Ted presents to CLT today requesting approval to move forward with ID Sync and accept the risk that some apps may break. Ted will update thereafter.
22-Aug (LM): On fortnightly call, Ted took action to move trigger date, as this will not be impact until mid-Oct.
8-Aug (LM): Per Prog. RAID call, Ted said date will move out 2 months. Ted to add update and amend Trigger Date.
25-Jul (LM): Per Ted, doing assessment to see if can pushout date to service ready and go-live. Looking at what will happen if sync with O365 with data in current state.
20-Jul (SJ) Following 2 day Messaging / Lync workshop held 17/18th July the following updates were made during a deep dive on this point. 
- Approx 4/5000 apps still need to be assessed - Now within the scope of the J&amp;DA program run by James Hartley.
-IAM &amp; M&amp;C Program piloting standard attributes which will be required for Lync / Exchange / Outllok.
- Process for Application Remendiation required
- Funding of remediation required
- Potential risk on SRT will occur
- Action David Bingham to setup meeting with C. Driver, R. Bouji, N Sahdev, A. Harper, J. Els, N, Wood, and T. Balfour to discuss JD&amp;A scope and Plan with James Hartley
- Better control on Process / rules for coupling programs together (dependency process)
- Ted to construct alternate plan
16-May: (LM) Ted on call: 20% of the 6,000 critical apps require remediation.Doing more detailed analysis now, following many avenues to resolve.
9-May: Resource availability is the risk here; 6,000 critical apps to analyze which is dependent on resource availability.
29-Mar: Added by Laura per Ted 29-Mar.​</t>
  </si>
  <si>
    <t xml:space="preserve">
14-Sep: SM - Associated issue has been closed - reopening this as it will continue to be a risk throughout the project. Based on Sandra's update, I've updated this risk to push out the date of review until after Sandra's document has been seen by the DA. 
11-Jul: SM - A recent call with John Murray has highlighted that he does not have enough time to complete work being assigned to him by Lync and O/E - he is going to have to prioritise one at the expense of the other.  Both sets ​of work are on the critical path.</t>
  </si>
  <si>
    <t xml:space="preserve">
09-Nov-12: SM - John Murray has the action to finish collecting the local office data.  He is going to talk to Shaun Bradley to get more resource to get it completed.
26/10 - Call setup with John Murray Fri 02-Nov-11 to understand network analysis performed to-date, next steps, 'buy-in' required from network ops etc.
11-Jun: Deep dive will be done w/e 15-Jun to go futher into the infrastructure to try and make the bandwidth calculator more accurate.</t>
  </si>
  <si>
    <t xml:space="preserve">
09-Nov-12: SM - Awaiting Sascha to update his strategy in line with the program managers requests.
26-Oct-12: SM - Sascha Mcdonald has been brought in as the M&amp;C Performance Test Manager.  He is currently working through a proposal for Lync Performance Testing which will be discussed and agreed on.</t>
  </si>
  <si>
    <t>Anthony Firmin</t>
  </si>
  <si>
    <t xml:space="preserve">
14-Nov: reviewed on fortnightly RAID call; a number of actions underway to look at how deployment schedules line up and the challenge around user experience.A follow-up meeting has been scheduled for next week. Reassigned to Anthony who has taken on the Ent. Planning role for M&amp;C
12-Oct (LM): Combined risk 284 (related) into this. May need to split out based on effect (operational readiness / deployment schedules). Laura sent to Susan 12-Oct for input.
25-Sep (SP): There is a need for guidance from I&amp;O and the Enterprise Planning function as regards the prioritization of deployments across IT Services to determine whether our deployment schedules need to be revised. ​ Escalated to C. D’Arcy
19-Sep (LM): Discussed on fortnightly RAID call; team suggested this be owned by Susan (in line with risk 284) as aren't sure if this is better driven by the Enterprise Planning team. Steve to inform Susan 19-Sep, Laura 20-Sep.
08/09/12: RB logged risk. RB to seek guidance via S Pietretti in Enterprise Planning team, B Pardoe will also raise via J Pritchard. RB also flagged to S Bradley for discussion.​
History of Risk 284 (combined into this):
3-Oct: Susan and Rewa meeting today to develop approach to reviewing deployment schedules. Moving fwd; date should be set for end of Oct.
19-Sep (LM): Discussed on fortnightly RAID call- Rewa scheduled a meeting (Monday) to increase understanding of overall enterprise plan and how will manage business impact of all planned change.The team suggested this should be owned by Susan Pietretti; Steve to inform Susan 19-Sep, Laura 20-Sep. 
4-Sept (LM): Per Blaine, the current action on this is that he is working with Gil Levit to address the change impacts of the changes to the operating model, as they are defined​.    Gil has surfaced with the leaders of I&amp;O to get their input.
 </t>
  </si>
  <si>
    <t xml:space="preserve">
CD, 15-Nov-12: Update provided in Planned Resolution. Next review date updated to reflect anticipated resolution date.
CD, 02-Nov-12: Update provided in Planned Resolution. Next review date updated to reflect anticipated resolution date.
CD, 18-Oct-12: Update provided in Planned Resolution. Next review date updated to reflect anticipated resolution date.
CD, 20-Sep-12: Work started to plan out deactivation capability with I&amp;O. Plans updated to reflect this (CR100). Issue left open to ensure continued focus on finding a timely resolution.
CD, 02-Aug-12: Updated issue to reflect conversations with I&amp;O that indicate they will not able to support deactivation work until at least November 2012.​</t>
  </si>
  <si>
    <t xml:space="preserve">
14-Nov: Per Neil on fortnightly RAID call, working with AT&amp;T, expecting an update after 4pm today. Neil to update thereafter.
2-Nov: LM &gt; Neil for Planned Resolution/Affected detail.​
26-Oct: NS &gt; Neil raised to supercede Issue 20.
09/11 - NS - Escalation call scheduled Fri 09/11/12</t>
  </si>
  <si>
    <t>12-Dec-12</t>
  </si>
  <si>
    <t xml:space="preserve">
13-Nov (LM): Continuing efforts to reduce documentation stored in site. Laura working with Scott around the possibility of increasing storage capacity.
2-Oct: Call with Ian and Brett. Workstream/library split to being with PMO mid-week, other workstreams to follow. Laura to submit newsletter article for this and next with what is coming and best practices moving forward. Upon moving will further restrict version history. Found Web Analytics and will use this to monitor Storage issue. Will encourage indiv to clean out documentation, reorg to use less folders, etc. Follow-up call scheduled 9-Nov to review progress.
14-Sep (LM): Flipped setting to save drafts for 10 major versions; no effect on item count. Meeting scheduled with Ian and Brett to discuss further on 28-Sept. Will then run a sanity check of plan by Norm or Mike N. Also thinking about this in terms of being able to provide guidance to future instances of SP.
12-Sep (LM): Discussing with Ian on 13-Sep; suggest implement setting of save draft versions for 10 mjr versions (likely will not have an impact) Thereafter sched meeting with Ian and Brett to discuss options for refining the setting.
5-Sept (LM): Plan to test setting on separate folder/library; see how works so can best determine # major versions to keep minor versions for. PMO continues to take re-org of SP site forward.
29-Aug (LM): Setting works differently than anticipated; working with Brett to determine # of versions (maintains minor versions for X number of major versions, as opposed to say, 10 minor versions).
14-Aug (LM): Second comm announcing the impending version limit settings (10 minor, unlimited major) distributed 13-Aug with implementation date of 28-August. Review at that point.
25-July (LM): Discussed on program RAID call; agreement by those on call to request clean-up actions be taken by streams to clean-up. First comm pending approval by David prior to send.
19-July: Added to RAID log by Laura. Action plan established and agreed with Ian/Steve. Initial comm to inspire awareness and behavior change drafted and sent to Steve/David for their review. Brett working with Msft team to determine areas where there are a large number of versions saved that will help us to determine 1. areas where we may lose versions upon implementing a limit, and 2. an appropriate limit to set such that we maintain a beneficial history of changes, but not so many that we cross the threshold.​</t>
  </si>
  <si>
    <t xml:space="preserve">
14-Nov: Reviewed on fortnightly call. Per Rewa, summary pack delivered. This has the highest visibility possible (with John Murphy for resolution). It looks like 30Nov won't be met; will schedule countries as get confirmation of status.
08/11/12: RB Summary pack produced for escalation to IT Services Leadership to request support in closing out this issue. Deadline set of 30/11 as on-prem hardware orders must be placed by 1 December to meet on-prem deployment schedule and contracts agreed with Microsoft and Microland.
05-Sep CB: Susan advises she and Karin will be able to inform on timeline once they have met together this week.  I anticipate it will be several weeks before the communications to clients occur and we have a clear outcome on whether any countries will be added to the on-premise list.
03-Sep CB: Karin Lutz and Susan Chakarian developing a decision tree to provide guidance for clients who raise concern about EY moving their in-country email to cloud.  CB requested timescales for this on 3rd Sept.  CB reminded the group that we are proceeding on basis that these countries will not be on-premise, so risk is that there may be one-off migration costs as a result of not being able to migrate within the provisional 3 month on-premise migration window of Aug-Oct 2013.  Reiterated that this cannot be open-ended as delivery scope includes migration of these countries.  Changed Required Resolution date to end of year with monthly reviews.   Issue remains open until either these countries remain as going to cloud or if by when clarity is achieved then they become a CR back into the program to put them on-premise.
09-Aug CB: asked Mira &amp; Susan for update on when Tim &amp; John would be advised of Q&amp;RM commercial assessment output.  I am informed that it will be a further 2 weeks, due to leave, before this will be communicated and only then will the communication with the countries be commenced.  Revising due date to end of September 2012.  This update does not change direction to proceed on-premise delivery plan as per current baseline plan for the 12 countries detailed in the 10th July presentation which have not changed their status.  For 8 countries remaining, their provisional status is to move to cloud so they should be treated as CRs if and when they become on-premise countries.
2-Aug: LM - Updated due date as per Craig's update below.
27-Jul CB: update received from Mira Tugnait who is leading Q&amp;RM commercial review and risk assessment with local firms on whether local commercial arrangements require email to be stored within country - report findings making 'very good progress' but will be a further 2 weeks (so by 10th August) before report conclusions will be advised to Tim Eddy.  Tim will then take that output to the country firms, via SAMPs, to drive the decision.  Note this is relevant predominantly to the remaining 8 countries where there are 'market drivers' however DCC report output and ITS recommendation are that they move to the cloud.  For 12 countries which have been identified to stay on-premise (full list is 12 out of 21 originally, no more are expected to be added but there is risk that in advising a country firm where their email will be stored, following earlier risk assessments, that the email hosting plan will not be accepted).  Revising due date to 31st August on basis of 2 weeks after 10th Aug - this date consistent with what is being communicated to Exec sponsors (inc Tim) on 30th Jul update meeting.  Also revised issue title to be more clear.
25-Jul (LM): On RAID call - reconfirming countries going on-prem. Action taken to discuss off-line.
16-Jul - Tim Eddy now pushed date out to 20th July, this is now critical path and delaying the exchange on-prem project day-on-day
27/06: RB: Required date has now moved to 15 July per agreement with Tim Eddy who is now engaging with the country leads to confirm their on-prem status.
21-Jun - re opened as this item is still causing project issues to the on-prem delivery
7-June (LM): Closed per Craig with planning assumptions. D20 should remain open for now until formal decision. LM &gt; Craig to provide CR # so can include with decision at that point.
30-May (CB): Armenia, Azerbaijan, Belarus, Georgia, Kazakhstan, Ukraine, Uzbekistan, India (inc Americas &amp; EYGS) will all go to O365.  Planning assumption that Korea, Dominican Republic, Guatemala will also move to O365.  AG advises agreed with JC that a further week is given to determine if UK, Australia &amp; Germany stay on-prem (no hybrid).
Fortnightly call - (CB) - if no decision reached by end of the week, will use planning assumptions (listed above).
22-May: (LM) On Get to Green call, Alan took action to have resolution by 29-May.
21-May: Alan sent update that he expects confirmation this week.
16-May: No update; still with Alan.
​9-May: Escalated to Alan to push for a decision. Added to management pack as top critical issue.
1-May-12 - re-opened issue as ongoing delays in the on-prem location decision (D92) is now causing delays for the On-Prem delivery (MSP contract, hanrdware ordering) and O365 delivery (purchase of licences for outlook in the cloud)
6-Mar: Closed this issue; will track from the decision on the same topic, D92.
15-Feb: Work in progress (working with Siggi and John); open in decisions, as well. will be 1-1.5 months before we understand this. Review 1 month.
11-Jan: Brett said we have the Q&amp;RM report that says with exception of India, others in the red box will be on-premises. Al took an action to provide Adrian a list of countries building in or not building in (this will prob. come from Bob Reiner). Review beg. February.
04-Jan: Review next week; this is mostly resolved but we need Adrian's update (might be just about 8 remaining countries now)
23/11 - Adrian suggested we push review out 2 weeks as more clarity is sought around this. The next round of discussed are scheduled for this Thursday.
26/10 - Adrian said this is complex and at this point sits in hands of Q&amp;RM and Brett. Next review date mid November.
19/10 - Adrian has questions around this. Laura to schedule meeting for Adrian and Brett to discuss.
05/10 - Brett provided updated description/impact. Assign to Mark/Paul to take it forward. Action created to engage with Q&amp;RM for Lync, Outlook and SharePoint to determine exactly which data are restricted from the Secaucus data centre.
22/09 - There is an assumption that Secaucus in the data centre for the Americas. There are 16-28 countries that will now require data to be maintained in-country. EA, Strategy and Q&amp;RM are working through the implications to clarify what planning is needed to move forward.
14/09 - Brett sent updated description to Adrian. Action for Adrian to update accordingly. Brett has a colleague who is chairing activities to clarify with Q&amp;RM a far more detailed approach. We won't know the impact until following these activities.
07/09 - A number of discussions going on in Enterprise Architecture to determine what the implications are. Follow-up next week to see if we've determined anything further (Brett).
31/08 - Opened by Juan.</t>
  </si>
  <si>
    <t xml:space="preserve">
14-Nov: Per Rewa on fortnightly call, this has been esc to David; still awaiting confirmation of date.
16/10/12: RB: Meeting held with D Bingham, A Briggs and G Thomas from DCC program. Still awaiting confirmation of schedule. 17-Oct RB on fortnightly RAID call: Gareth is taking this forward; until gain confirmation on known countries, this will remain open.
3-Oct: Rewa escalated to John Lawler yesterday; will raise on Messaging wall call 4-Oct.
02/10/12 - assigned to David Bingham from Craig Burnside
19-Sep (LM): Reopened/edited by Rewa/Alexa.
25th August - DCC confirmed they will carry out the On prem server builds to O/S Level but schedule is still outstanding.
7-June: Per Craig (LM), this is considered resolved. Added planning assumptions, these are being communicated to DCC. Formal decision still pending as D20, but Alan has confirmed these planning assumptions.
30/05: see planning assumptions added to I33
29/05: RB created issue from Risk 35. Assigned to Craig Burnside​</t>
  </si>
  <si>
    <t xml:space="preserve">
14-Nov: Reviewed on fortnightly call; still working with David and Paula to pull together, meetings occurring presently. On track for 30-Nov resolution.
03/10 RB: Ben Waterston has produced guidelines, are under review with D Bingham and P Bowie before publication, due 05/10
RB: Issue linked to I107 (country orders of network hardware to support O365 delivery). D Bingham and R Bouji agreed with P Bowie and R Sheldon that they would progress agreement and communication of process for purchase and reimbursement of in-country assets to support M&amp;C delivery. M Kremmer collating expected costs on a country-by-country basis so these can be socialised alongside guidance. Must have this process in place and communicated by end November so as not to delay On-prem hardware orders in affected countries which will need to be placed at the end of December.</t>
  </si>
  <si>
    <t xml:space="preserve">
9-Nov IM - continuing to work through Gil with Network Ops
2-Nov: Meeting on the 8th; date will move to 9-Nov and perhaps will be the next week. Being actively worked at present.
29-Oct IM - Gil working with Russ for network resources. Project to find resource to support &amp; answer Networks questions ​- raised with Rewa for resource in Yvonne's absence.</t>
  </si>
  <si>
    <t xml:space="preserve">
14-Nov: Per Rewa on fortnightly RAID call, close to being able to address, plans in place to fill 2 positions. On track for 30-Nov resolution.
08/11/12: RB: Issue raised to consolidate I175, I176, I124​</t>
  </si>
  <si>
    <t>Simon Rutherford</t>
  </si>
  <si>
    <t>Rogue AD Organization</t>
  </si>
  <si>
    <t>Joshua Jackson</t>
  </si>
  <si>
    <t xml:space="preserve">
17-Oct: Per Rewa on fortnightly RAID call, it was decided in a review meeting with Bob and David on 12 September that we would move forward on the basis of moving in this 3 month window, with this tracked as a validated decision. Suggested reassign to Ian McGeachie. LM &gt; Ian to inform him of assignment and validation.​</t>
  </si>
  <si>
    <t xml:space="preserve">
14-Nov: Discussed on fortnightly call; discussion planned around this topic tomorrow. Date set out end of next wk; Neil will update and open corresponding risk/issue if necessary.
17-Oct: Per Neil on fortnightly call, this is being looked at across the whole program. Date can push out to end of month. Sascha is looking at revise proposal/alternate solution, once articulate risks and associated costs, decision can be made.
3-Oct Ally: Sacha M is producing a plan for performance testing which should be ready by 5th Oct.  Decision will be reviewed after lan produced.
19-Sept (LM): Per Neil on fortnightly call, asked by Geoff T to assess requirements and come up with a solution as to how much testing required. Meeting tomorrow that should provide more info. On track for end of month (at least as a check point).
5-Sept (LM): Per Neil on fortnightly call, date should be moved to end of Sept (no impact, this is not on critical path). Call scheduled for today to agree actions.
22-Aug (AW): Meetings with the performance team have taken place. Decision still required. meeting planned for w/c27 Aug to decide the way forwards. Required by Date left for now.
25-July (LM): Per Stephen, meeting being held today. Will update thereafter.
27-Jun (LM): Per Neil on fortnightly RAID call, this will be another month out. Neil will update.​</t>
  </si>
  <si>
    <t xml:space="preserve">
23-Nov: Per Neil on fortnightly call, a call is scheduled for Friday with David and Paula to discuss. Date set out 23-Nov; will raise issue if needed.
17-Oct: Neil provided update on fortnightly call that this cannot be closed until has all country agreements. Will review in 2 wks.​</t>
  </si>
  <si>
    <t>30-Dec-12</t>
  </si>
  <si>
    <t xml:space="preserve">
14-Nov: Per Neil on fortnightly call, this is not on the critical path. Date moved out to end of year, no impact.
17-Oct: Neil provided update on fortnightly RAID call that this is on track as part of change assessment; the date should move to the end of November, no impact.
19-Sept (LM): Neil holding voice workshop and this will be discussed therein. Required date set to 26-October; no impact.
22-Aug (AW): impact of having both phones still being investigated. Voice workshop planned for early September to decide voice issues and SOW II will decide deployment policies. Required by Date moved to encompass these decisions
9-Aug (NS): Required by date updated in-line with activity to define Lync Deployment Approach
08-Aug (LM): The date on this will push out, but wont yet impact the program. Neil to update.
07-Aug(SM): Updated with more detail on the options and their impacts
25-Jul (LM): Stephen to update.​</t>
  </si>
  <si>
    <t>Lync and Outlook Governance</t>
  </si>
  <si>
    <t xml:space="preserve">
14-Nov (LM): Reviewed on fortnightly RAID call; Rachel updated assignment, req. date and forum to reflect recent activity. This was intended for the governance group 14-Nov but more info and support from I&amp;O are needed.
16-Oct (RP): waiting on more detailed information from Rohit (the business analyst working on this) in order to take this point to the L&amp;O Governance Group. It's an agenda item for 14 November. The main impact (ok'd with Rohit and Yvonne) is on myself from a change perspective. This is an impact we can manage provided we have confirmation on this by mid-November. (Date moved to 16-Nov. )
3-Oct: Per Rachel, had been hoping to take to the Lync/Outlook Governance group next week. Now will be proposing a way forward and will then discuss that proposal (with clear implications) at the meeting next month. This won't impact the time schedules.​</t>
  </si>
  <si>
    <t xml:space="preserve">
9th Nov (NC) : Updated from BvG
This assumption was documented and required for SP infrastructure architecture but information came from (and needs to come from) SP solutions level (previously Fusion). It also needs to come from other candidate programs but they have not had requirements at this level. 
Josh please review with Len to validate or revise this assumption as stated.  
31-Oct (LS): Reassigned to Nicola
Legacy decision makers: Participants in the November TF Meeting in Secaucus</t>
  </si>
  <si>
    <t xml:space="preserve">
9th Nov (NC) : Updated from BvG
This assumption was documented and required for SP infrastructure architecture but information came from (and needs to come from) SP solutions level (previously Fusion). It also needs to come from other candidate programs but they have not had requirements at this level. 
Josh please review with Len to validate or revise this assumption as stated.
31-Oct (LS): Reassigned to Nicola
Legacy decision makers: Participants in the November TF Meeting in Secaucus​</t>
  </si>
  <si>
    <t xml:space="preserve">
9th Nov (NC) : Updated from BvG 
This assumption was documented and required for SP infrastructure architecture but information came from (and needs to come from) SP solutions level (previously Fusion). It also needs to come from other candidate programs but they have not had requirements at this level. 
This assumption is no longer valid as search is a core part of SharePoint platform not a separate product. Validate if this assumption should be reworded to say that where there is in-country SharPoint there will always be in-country Search to meet need for index to remain local etc?
Josh please review with Len to validate or revise this assumption as stated.
31-Oct (LS): Reassigned to Nicola
21 May - need to wait for blueprint to make this decision
3-Apr: Michelle provided impact and rationale data.​
Legacy decision makers: Participants in the November TF Meeting in Secaucus</t>
  </si>
  <si>
    <t>Leonard Cardinal</t>
  </si>
  <si>
    <t xml:space="preserve">
9th Nov (NC) : Updated from BvG
This should go to Len to revise based on SP Search replacing FAST and new SP infrastructure architecture.
​31-Oct (LS): Reassigned to Nicola
3-Apr: Michelle provided impact and rationale data.
Legacy decision maker: Participants in the November TF Meeting in Secaucus</t>
  </si>
  <si>
    <t>13-Dec-12</t>
  </si>
  <si>
    <t>Paul Thomas</t>
  </si>
  <si>
    <t>No nominated one point of contact for Active directory for the programme</t>
  </si>
  <si>
    <t>25-Nov-12</t>
  </si>
  <si>
    <t xml:space="preserve">
21-Nov (DB): Reassign to Rachel (inc. Rachel for awareness)
14-Nov: On fortnightly RAID call, action assigned to Laura to check in with Shaun - Shaun had taken an acction to set-up a task force to look at impact assessment. Neil suggested may either need a second related risk raised for Lync (and possibly Collaboration) or as an alternative make this a program-wide risk and assign to Shaun. 15-Nov: LM &gt; Shaun for his input.
9-Nov IM - continuing to work with Gil through to network teams
1-Nov IM - Meeting arranged 8/Nov with I&amp;O Gil Levit for update on I&amp;O readiness and on Network Assessment validation. Updated trigger and review dates.
29-Oct IM - Related risks 306, 307 and issue 187. Working with I&amp;O on support side for velocity through Shaun/Gil. Working with Network Operations to confirm network constraints before being able to confirm a true velocity that I&amp;O would be required to support.
17-Oct: Reassigned to Ian McGeachie per Rewa on fortnightly RAID call.
3-Oct (MK):  
&lt;&gt;&lt;&gt;&lt;&gt;&lt;&gt;&lt;&gt;&lt;&gt;&lt;&gt;&lt;&gt;&lt;&gt;&lt;&gt;with all the latest meetings we have had with Gil and the wider I&amp;O groups, we now have a good understanding of the issues that they see can/will impact the plan. We have one more meeting tonight (that I need to prepare for) that will conclude the schedule of meetings...after that we will get a consolidated view of issues from Gil...however - so far we are committed to meet the deployment plan milestone (baseline) on October 15
04-Sep (IW): Service design sessions continuing, briefing by deployment held, explaining deployment approach and drivers. Expect output from sessions over the next couple of weeks which will then be used to drive any updates to the deployment schedule.
28-Aug (IW): Successful meeting held with I&amp;O leadership, strongly supported by Shaun Bradley. Acceptance of need for high velocity understood and details into I&amp;O/ST service design sessions, furthermore design sessions will be kicked off with deployment plan walkthrough presentation.
14-Aug (IW): Action plan in place with Service transition and I&amp;O, aim to host meeting w/c 20th Aug with I&amp;O leadership to ensure common understanding acceptance of planning criteria and constraints driving the plan to date. Taking output into I&amp;O/ST design sessions. Changing next review to 24th August. Furthermore presentation of findings and latest plan will be made available to I&amp;O workshop w/c 27th August, changing trigger date to following week from workshop.
8-Aug (LM): From Prog RAID call, Martin took action to update this item. Will review next week the impact of delaying confirmation of velocity.
19 June 12: Updated impact and effect to match the latest info around delays from I&amp;O. They no longer expect to be able to meet the mid-august confirmation and don't have a new target date yet. We're meeting with Shaun and Nick to discuss on Monday 23rd. Moving the next review date accordingly to end of next week.
07 June 12 : Socialization of draft plan continues under the assumption that I&amp;O will be able to support the velocity in the draft. Changed the review date and required resolution date as discussed with Martin Kremmer.
16 May 12: Working to get the relevant people to review. Currently, it is expected that the review of I&amp;O team will take place on 30 May 12
​30 Apr 12: Discussed with Martin kremmer: To be reviewed with Sophie.Required resolution date - TBD</t>
  </si>
  <si>
    <t xml:space="preserve">
21-Nov (DB): Reassign to Rachel (Rachel inc for her awareness)
9-Nov IM - continuing to work with Gil through to networks 
1-Nov-2012 IM - Ownership taken. Working with I&amp;O to determine capacity to handle volume, and to re-validate Network Assessment on velocity. meeting scheduled 8/Nov, next update 9/Nov. Trigger and review dates updated.
08/09/12: RB: Deployment schedule to be validated with Stakeholders by M Kremmer. Contract with MSFT now has 3-month on-prem migration window built into commercial structure, Microland contract will also embed this. Changes to contractually agreed timeline will incur additional cost, program must bear the risk of this. Decision 256 requested to be made by Business Sponsors. J Brown confirmed this should be for the EY executive, not M&amp;C EDG. As contracts now progressed, need to inform executive of risk of changes to migration schedule both for on-prem and O365 and request executive support in ensuring countries agree to migrate per schedule. Next review end of October per milestone for confirmed Business Deployment Schedule. 
07/08: RB: Meeting held 02/08 to agree next steps. Nick Coburn to escalate via Service Transition on current I&amp;O plans to manage deployment velocity, Martin to continue to validate migration schedule with business. Follow up meeting to be held 16/08. Network bandwidth assessment outcomes still pending.
20/07: RB: Wording of risk updated. Date moved back as further discussions need to be held with I&amp;O and Business deployment to resolve. Date revised to end of August.
25/06/12: RB: Draft deployment schedule being circulated by Business Deployment team, ongoing discussions regarding what velocity operations can support. Meeting held 22/06 resulted in action for M Laci to secure from I&amp;O an indication of maximum velocity they could support to feed into plan. M Kremmer to provide feedback from business re deployment plan/schedule. Follow up meeting scheduled for 29/06
30 May 12: Martin: Still awaiting confirmation from operations on their ability to support the velocity in the draft deployment plan
18-Apr: Can now start to work with operations to determine what migration velocity will be. Target to have deployment plan baslined at end of May. Updated due date from 20-Apr to 30-May.
02/04/12: RB: Draft pack developed by MK and RB with MK, needs to be presented for approval, already highlighted request for exception to black out periods.
09/03/12: RB: Meeting scheduled for 21/03/12 to agree migration strategy and velocity, and determine how these will be agreed with Microsoft, Ops, and Business
27/02/12: RB: Wording amended. Further discussion needed with Business Deployment, Transition Management, TF and MSFT to agree how to resolve these
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
21/02/12: RB: Added as output from Assumptions log. Assumption cannot be revalidated​</t>
  </si>
  <si>
    <t xml:space="preserve">
19 Nov - CS working with Deployment to re-plan ZA and DE To Be ExMIA Application Landscape.  ZA replanned to sign off 23 Nov,DE signed off 30 Dec.
05/11/12 - CS working with JD&amp;A and SD to finalise/agree DE &amp; ZA As Is and To Be AppLandscapes. scheduled for 16/11/12
 12/10/12 - Lock down on pilot countries South Africa, Germany and Ireland. Working with pilot ocuntries to work out remediation.
Charlie Sclater 1 Oct South Africa and Germany have been identified as the two Pilot countries for Cloud and On Perm respectively
Charlie Sclater 25 Sep: Working with Deployment and JD&amp;A to idetify and prioritise remediation activities. Developed high level stage plan to manage/deliver rememediation for Pilot. 
19-Sep (LM): Per Rewa on fortnightly RAID call, working through this with JD&amp;A team; have provided a high level plan and working with James H. to confirm can meet timelines. Trigger date moved out to close of next week.
5-Sept (LM): Rewa will raise for wall call tomorrow.
01-Aug: Steps being taken to resolve challenges surrounding D&amp;A to ensure that impact assessment is completed and applications start getting remediated through the Service Delivery 'channels' to allow impact applications to be reconfigured, enhanced and tested before the migration of users.
25-Jul: ​Martin provided update on RAID call; plan in place which will bring to mid-Sept before will know impact on the on apps. Socialize mid-October. Martin will update further.</t>
  </si>
  <si>
    <t xml:space="preserve">
21-Nov (DB): meeting to arrange with Tim / Mo / Alan - to work through the options and the impact of the delay in decision making - likely to be first week in December
16/10/12 RB - Risk ownership reassigned to David Bingham from C Burnside. Ian McGeachie leading activity to confirm country status, working with Q&amp;RM. D Bingham has also escalated​ to J Murphy. Target is for resolution by mid November so that on-prem hardware orders can be submitted by 1 December
03-Sep-12 CB: risk accepted and explained to Q&amp;RM and EYGS Account Lead for EMEAI Richard Sheldon.
12-Sep-12 CB: reduced Prob from Med to Low and Impact from High to Med.  Also set next review to end of the year as possible that decisions for these 8 countries will take to end of year so risk remains until that time.</t>
  </si>
  <si>
    <t xml:space="preserve">
19 Nov CS: ZA and DE To BE ExMIA Landscape Singoff delayed to 23 &amp; 30 Nov respectively.  Milestone will drive ExMIA Remediation scope, resource requirements and budgets
5 Nov CS: working with JD&amp;A and ZA&amp;DE to approve To Be App Landscape due 16 Nov, which will then drive ExMIA's App Remediation scope
12/10/12 - reviewed by CS at RAID call.
Charlie Sclater 1 Oct: JD&amp;A has some budget to remediate priority applications, currently working with Deployment to prioritise EMIA applications. Current plan is to have assessment completed by 15 Oct
Jon Els Focus is align and prioritise app remediation to support Deployment Schedule, thus remedation of Pilot Country's apps will be highest priority</t>
  </si>
  <si>
    <t xml:space="preserve">
21-Nov (DB): Meeting held with Paula Bowie - to build the cross charge framework - need to take the message and use the area relationship managers, Sherry Martin and Paula Bowie, to cascade the approach. Remains overdue.
21-Nov (DB): Assign to David.
9-Nov IM - On Prem deadline escalated to Mo/Tim. Continues to be in focus.
22-Oct - risk raised and managed by the ongoing work of Ian McGeachie.​</t>
  </si>
  <si>
    <t>Beta Pilot Deploment Schedule at Risk, concern regarding risks to "happy path" deployment schedule</t>
  </si>
  <si>
    <t xml:space="preserve">
19-Nov(LS): Merged Risk 346 "Concern regarding risks to "happy path" deployment schedule" assigned to Cynthia into this risk.
16-Nov (AI): black-out period from 17/12 - 04/01 being upheld by O365 team. HAve therefore had to rethink deployment approach and plan. Decision taken to split deployment into 2 batches:
Batch 1 (core functionality): plan to start deployment following CVS completion (27/11 - 28/11) and complete by Fri 14th Dec. Solution would then, technically, be live and available for user operation, although this is only expected from the New Year.
Batch 2: (non-core functionality comprising profile sync of custom attributes and deployment of search crawl to update indexes): plan to execute 4/1 - 30/1. Impact on users operating Beta Pilot during Jan is inability to search for content or people using custom attributes. Risk deemed acceptable, however, decision to go live in this state will be governed by 'Go / No Go' process.
29-Oct (AI): ​Awaiting repsonse from Howard as per contingency plan.</t>
  </si>
  <si>
    <t>11-Dec-12</t>
  </si>
  <si>
    <t xml:space="preserve">
19-Nov: Ted sent note that req res date should be moved to 11-Dec-12.
14-Nov: Per update from Rewa and Ted on fortnightly call, they discussed off-line and need a new date; Rewa will follow-up with Charlie and Matt for a confirmed closure date.
17-Oct: Action taken on fortnightly call for Rewa and Ted to discuss off-line; currently need to determine new date.
3-Oct: Per Rewa, this is progressing; Sunil and Charlie are driving this, business manager for group management confirmed. Workshops scheduled for next couple of weeks.
19-Sept (LM): Per Rewa on fortnightly call, IAM still waiting on OE for policies and procedures. Workshop is being scheduled to gain an understanding of the gaps and who the business/IT owners are of the app; this is to be held within 2 weeks.
17-Sept (DW). We are deploying the infrastrucutre into EYUA from the 18 Oct. As we currnetly have no areement with respect to these Policies etc, the Service will not be available (although ALL Functional Capabilities will be available but not "Switched On"), until M&amp;C advise/confirm. FYI, IAM had a draft available, and will be socialising hese with M&amp;C by COP Tuesday 18th Sept.
14-Sept (Ted): I have passed this on to all parties involved to provide proper updates, including a resolution date by the next RAID meeting. 
5-Sept (LM): Per Ted on fortnightly call, he will follow-up with Rewa and Nikolay.
29-Aug: LM &gt; Daren again per Ted for date.
23-Aug: Charlie, Daren and Ted discussed and agree this should remain open. Laura &gt; Daren, Ted for true RRD.
22-Aug (LM): Per fortnightly call, looking to roll out Group Management in October, but won't be effective without policies and procedures. Charlie was in a workshop with Ant Harper, Nick Wood and Daren Wicks to discuss, and believes this is resolved. Ted to circle back with Daren for his input. Charlie also to assess in terms of milestones and whether there are any issues around the delivery date.
15 Aug - Strategic discussions around EY Group Management are being led betwen the IAM DA, M&amp;C EA and GLMS Team. Decisions are due w/e 17th Aug, that are very likely to impact what Group ID will deploy, and thus the associated Policies, procedures etc. A Draft version of this has now been provded by the GLMS Team, however, the review has been postponed until next week, when more direction wil be made available post this weeks Strategic conversations as mentioned above. This will also feed into the discussions and information required from M&amp;C. Theses discussion will also impact the required by date. As mentioned in the description field above, IAM are NOT responsible for these policies, and thus we may end up in a situation where we deploy the Product and associated capabilities, and M&amp;C will work with a viaraety of teams to Manage and deliver the associated Policies etc. Clearly we (IAM) are trying as much as possile to help, but we cannot delay the deployment into Production, as there are also competing Programs looking to utilise this service. DCC being but one example. 
8 Aug - Provided feebdack to M&amp;C Team. Awaiting feedback on next steps.
25-Jul (LM): Per Ted, Rewa's team working to provide this; updated date pending. Ted will update.
30-May (LM): Rewa - a BA is helping out on this and the output will go to governance group. This will remain open until there is a solid approach on groups.
9-May: Paul will follow-up with Rewa for an update and due date.
27-Apr: per Daren, R126 now an issue.
14-April - Requirements discussions are now taking place betwen M&amp;C and IAM. This is now also an issue, and thus shoulod be moved to the issues log.​</t>
  </si>
  <si>
    <t xml:space="preserve">
21-Nov (DB): CR raised and approved for the re baseline of the outlook / exchange plan. Work is on going with ATT to agree a baseline plan - expectation is by end of November plans will be agreed and appropriate CR raised. Move date to end Nov.
10-Nov - CR has now been approved for Exchange / Outllook. L3 plans to be updated accordingly and baselined.  There is still no traction being made with regard to Lync. Awaiting AT&amp;T to review and commit to dates that are then accepted by EY. - Expectation is this will occur around the end of Nov now.
14-Nov: Reviewed on fortnightly RAID call; for the O/E piece of this, the CR was submitted this week, hoping for approval 15-Nov. For Lync, looking to go the CR route once issues are resolved (contingent upon resolution of I190.
2-Nov: Per David, 2 updates, for O/E CR to be raised and sent to CCB 8th November for review. For Lync - escalation raised to ATT through Mo to allow plan to baseline - checkpoint 9th November
17-Oct: sessions scheduled with Lync and Outlook this week to determine whether need CR. David reiterated on fortnightly RAID call that this is a huge issue presently.
10-Oct: Updated Assigned to to David (per Craig). Craig included David on the request for his awareness.
3-Oct: Per Steve, have had 2 deep dive sessions and have an agreement to review with David prior to raising CR. This meeting scheduled for early next week and by end of next week should have confirmation of way forward.
19-Sep-12 LM: Update from fortnightly RAID call - David to review with Neil (Lync) and Rewa (O/E) prior to either raising a CR.
05-Sep-12 CB: both OE &amp; Lync programs will rebaseline within next 2-3 weeks.  Expecting to close this before beginning of Oct Exec Steering Committee.  Next issue review on 19th is timed nicely on basis that OE is expecting to have rebaseline plan via CR on 14th Sept and Lync should have agreed SOW for Technical Preview and be able to at least indicate for remaining 2/3s of DC build out what the timeline is and have estimated start date based on commercial position of that SOW at that time.
Steve Jelf: Would suggest this needs to be resolved in time for the next Exec Steering Comittee Meeting and to share revised dates with Exec Sponsors.,​</t>
  </si>
  <si>
    <t>Test AD Accounts: There is a lack of a formalised or agreed process for creation of Test AD Accounts.</t>
  </si>
  <si>
    <t xml:space="preserve">
​20th Nov (NC) This was an issue faced by both Messaging and Collaboration</t>
  </si>
</sst>
</file>

<file path=xl/styles.xml><?xml version="1.0" encoding="utf-8"?>
<styleSheet xmlns="http://schemas.openxmlformats.org/spreadsheetml/2006/main">
  <fonts count="5">
    <font>
      <sz val="10"/>
      <color theme="1"/>
      <name val="Arial"/>
      <family val="2"/>
    </font>
    <font>
      <b/>
      <sz val="10"/>
      <color theme="0"/>
      <name val="Arial"/>
      <family val="2"/>
    </font>
    <font>
      <b/>
      <sz val="10"/>
      <color theme="1"/>
      <name val="Arial"/>
      <family val="2"/>
    </font>
    <font>
      <sz val="8"/>
      <color indexed="81"/>
      <name val="Tahoma"/>
      <charset val="1"/>
    </font>
    <font>
      <b/>
      <sz val="8"/>
      <color indexed="81"/>
      <name val="Tahoma"/>
      <charset val="1"/>
    </font>
  </fonts>
  <fills count="5">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3" tint="0.39997558519241921"/>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xf>
    <xf numFmtId="0" fontId="0" fillId="0" borderId="0" xfId="0" applyAlignment="1">
      <alignment wrapText="1"/>
    </xf>
    <xf numFmtId="0" fontId="1" fillId="2" borderId="0" xfId="0" applyFont="1" applyFill="1" applyAlignment="1">
      <alignment horizontal="center" wrapText="1"/>
    </xf>
    <xf numFmtId="15" fontId="0" fillId="3" borderId="1" xfId="0" applyNumberFormat="1" applyFill="1" applyBorder="1"/>
    <xf numFmtId="16" fontId="0" fillId="3" borderId="2" xfId="0" applyNumberFormat="1" applyFill="1" applyBorder="1"/>
    <xf numFmtId="0" fontId="0" fillId="3" borderId="2" xfId="0" applyFill="1" applyBorder="1"/>
    <xf numFmtId="0" fontId="0" fillId="0" borderId="2" xfId="0" applyFill="1" applyBorder="1"/>
    <xf numFmtId="0" fontId="0" fillId="0" borderId="2" xfId="0" applyBorder="1"/>
    <xf numFmtId="0" fontId="0" fillId="0" borderId="3" xfId="0" applyFill="1" applyBorder="1"/>
    <xf numFmtId="0" fontId="0" fillId="0" borderId="3" xfId="0" applyBorder="1"/>
    <xf numFmtId="0" fontId="0" fillId="3" borderId="4" xfId="0" applyFill="1" applyBorder="1"/>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2" fillId="4" borderId="0" xfId="0" applyFont="1" applyFill="1" applyAlignment="1">
      <alignment horizontal="center"/>
    </xf>
    <xf numFmtId="0" fontId="2" fillId="4" borderId="0" xfId="0" applyFont="1" applyFill="1" applyAlignment="1">
      <alignment horizontal="center" wrapText="1"/>
    </xf>
    <xf numFmtId="0" fontId="0" fillId="0" borderId="0" xfId="0" pivotButton="1" applyAlignment="1">
      <alignment wrapText="1"/>
    </xf>
  </cellXfs>
  <cellStyles count="1">
    <cellStyle name="Normal" xfId="0" builtinId="0"/>
  </cellStyles>
  <dxfs count="54">
    <dxf>
      <alignment wrapText="1" indent="0" relativeIndent="255" readingOrder="0"/>
    </dxf>
    <dxf>
      <alignment wrapText="1" indent="0" relativeIndent="255"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font>
        <b/>
        <i val="0"/>
        <strike val="0"/>
        <condense val="0"/>
        <extend val="0"/>
        <outline val="0"/>
        <shadow val="0"/>
        <u val="none"/>
        <vertAlign val="baseline"/>
        <sz val="10"/>
        <color theme="0"/>
        <name val="Arial"/>
        <scheme val="none"/>
      </font>
      <fill>
        <patternFill patternType="solid">
          <fgColor indexed="64"/>
          <bgColor theme="1" tint="0.34998626667073579"/>
        </patternFill>
      </fill>
      <alignment horizontal="center"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font>
        <b/>
        <i val="0"/>
        <strike val="0"/>
        <condense val="0"/>
        <extend val="0"/>
        <outline val="0"/>
        <shadow val="0"/>
        <u val="none"/>
        <vertAlign val="baseline"/>
        <sz val="10"/>
        <color theme="0"/>
        <name val="Arial"/>
        <scheme val="none"/>
      </font>
      <fill>
        <patternFill patternType="solid">
          <fgColor indexed="64"/>
          <bgColor theme="1" tint="0.34998626667073579"/>
        </patternFill>
      </fill>
      <alignment horizontal="center"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font>
        <b/>
        <i val="0"/>
        <strike val="0"/>
        <condense val="0"/>
        <extend val="0"/>
        <outline val="0"/>
        <shadow val="0"/>
        <u val="none"/>
        <vertAlign val="baseline"/>
        <sz val="10"/>
        <color theme="0"/>
        <name val="Arial"/>
        <scheme val="none"/>
      </font>
      <fill>
        <patternFill patternType="solid">
          <fgColor indexed="64"/>
          <bgColor theme="1" tint="0.34998626667073579"/>
        </patternFill>
      </fill>
      <alignment horizontal="center"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font>
        <b/>
        <i val="0"/>
        <strike val="0"/>
        <condense val="0"/>
        <extend val="0"/>
        <outline val="0"/>
        <shadow val="0"/>
        <u val="none"/>
        <vertAlign val="baseline"/>
        <sz val="10"/>
        <color theme="0"/>
        <name val="Arial"/>
        <scheme val="none"/>
      </font>
      <fill>
        <patternFill patternType="solid">
          <fgColor indexed="64"/>
          <bgColor theme="1" tint="0.34998626667073579"/>
        </patternFill>
      </fill>
      <alignment horizontal="center" vertical="bottom" textRotation="0" wrapText="1" indent="0" relativeIndent="0" justifyLastLine="0" shrinkToFit="0" mergeCell="0" readingOrder="0"/>
    </dxf>
  </dxfs>
  <tableStyles count="0" defaultTableStyle="TableStyleMedium9" defaultPivotStyle="PivotStyleLight16"/>
  <colors>
    <mruColors>
      <color rgb="FFFDEC0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plotArea>
      <c:layout/>
      <c:lineChart>
        <c:grouping val="standard"/>
        <c:ser>
          <c:idx val="0"/>
          <c:order val="0"/>
          <c:tx>
            <c:strRef>
              <c:f>'RAID Summary'!$B$2</c:f>
              <c:strCache>
                <c:ptCount val="1"/>
                <c:pt idx="0">
                  <c:v>Open</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Summary'!$AS$2:$BO$2</c:f>
              <c:numCache>
                <c:formatCode>General</c:formatCode>
                <c:ptCount val="18"/>
                <c:pt idx="0">
                  <c:v>34</c:v>
                </c:pt>
                <c:pt idx="1">
                  <c:v>36</c:v>
                </c:pt>
                <c:pt idx="2">
                  <c:v>36</c:v>
                </c:pt>
                <c:pt idx="3">
                  <c:v>45</c:v>
                </c:pt>
                <c:pt idx="4">
                  <c:v>39</c:v>
                </c:pt>
                <c:pt idx="5">
                  <c:v>39</c:v>
                </c:pt>
                <c:pt idx="6">
                  <c:v>39</c:v>
                </c:pt>
                <c:pt idx="7">
                  <c:v>44</c:v>
                </c:pt>
                <c:pt idx="8">
                  <c:v>43</c:v>
                </c:pt>
                <c:pt idx="9">
                  <c:v>41</c:v>
                </c:pt>
                <c:pt idx="10">
                  <c:v>44</c:v>
                </c:pt>
                <c:pt idx="11">
                  <c:v>44</c:v>
                </c:pt>
                <c:pt idx="12">
                  <c:v>45</c:v>
                </c:pt>
                <c:pt idx="13">
                  <c:v>46</c:v>
                </c:pt>
                <c:pt idx="14">
                  <c:v>48</c:v>
                </c:pt>
                <c:pt idx="15">
                  <c:v>43</c:v>
                </c:pt>
                <c:pt idx="16">
                  <c:v>46</c:v>
                </c:pt>
                <c:pt idx="17">
                  <c:v>44</c:v>
                </c:pt>
              </c:numCache>
            </c:numRef>
          </c:val>
        </c:ser>
        <c:ser>
          <c:idx val="1"/>
          <c:order val="1"/>
          <c:tx>
            <c:strRef>
              <c:f>'RAID Summary'!$B$3</c:f>
              <c:strCache>
                <c:ptCount val="1"/>
                <c:pt idx="0">
                  <c:v>Critical</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Summary'!$AS$3:$BO$3</c:f>
              <c:numCache>
                <c:formatCode>General</c:formatCode>
                <c:ptCount val="18"/>
                <c:pt idx="0">
                  <c:v>10</c:v>
                </c:pt>
                <c:pt idx="1">
                  <c:v>11</c:v>
                </c:pt>
                <c:pt idx="2">
                  <c:v>11</c:v>
                </c:pt>
                <c:pt idx="3">
                  <c:v>12</c:v>
                </c:pt>
                <c:pt idx="4">
                  <c:v>11</c:v>
                </c:pt>
                <c:pt idx="5">
                  <c:v>12</c:v>
                </c:pt>
                <c:pt idx="6">
                  <c:v>12</c:v>
                </c:pt>
                <c:pt idx="7">
                  <c:v>12</c:v>
                </c:pt>
                <c:pt idx="8">
                  <c:v>12</c:v>
                </c:pt>
                <c:pt idx="9">
                  <c:v>10</c:v>
                </c:pt>
                <c:pt idx="10">
                  <c:v>12</c:v>
                </c:pt>
                <c:pt idx="11">
                  <c:v>11</c:v>
                </c:pt>
                <c:pt idx="12">
                  <c:v>10</c:v>
                </c:pt>
                <c:pt idx="13">
                  <c:v>10</c:v>
                </c:pt>
                <c:pt idx="14">
                  <c:v>9</c:v>
                </c:pt>
                <c:pt idx="15">
                  <c:v>7</c:v>
                </c:pt>
                <c:pt idx="16">
                  <c:v>7</c:v>
                </c:pt>
                <c:pt idx="17">
                  <c:v>6</c:v>
                </c:pt>
              </c:numCache>
            </c:numRef>
          </c:val>
        </c:ser>
        <c:ser>
          <c:idx val="2"/>
          <c:order val="2"/>
          <c:tx>
            <c:strRef>
              <c:f>'RAID Summary'!$B$4</c:f>
              <c:strCache>
                <c:ptCount val="1"/>
                <c:pt idx="0">
                  <c:v>Missed Trigger Date</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Summary'!$AS$4:$BO$4</c:f>
              <c:numCache>
                <c:formatCode>General</c:formatCode>
                <c:ptCount val="18"/>
                <c:pt idx="0">
                  <c:v>10</c:v>
                </c:pt>
                <c:pt idx="1">
                  <c:v>10</c:v>
                </c:pt>
                <c:pt idx="2">
                  <c:v>7</c:v>
                </c:pt>
                <c:pt idx="3">
                  <c:v>7</c:v>
                </c:pt>
                <c:pt idx="4">
                  <c:v>8</c:v>
                </c:pt>
                <c:pt idx="5">
                  <c:v>5</c:v>
                </c:pt>
                <c:pt idx="6">
                  <c:v>6</c:v>
                </c:pt>
                <c:pt idx="7">
                  <c:v>4</c:v>
                </c:pt>
                <c:pt idx="8">
                  <c:v>2</c:v>
                </c:pt>
                <c:pt idx="9">
                  <c:v>9</c:v>
                </c:pt>
                <c:pt idx="10">
                  <c:v>5</c:v>
                </c:pt>
                <c:pt idx="11">
                  <c:v>2</c:v>
                </c:pt>
                <c:pt idx="12">
                  <c:v>5</c:v>
                </c:pt>
                <c:pt idx="13">
                  <c:v>11</c:v>
                </c:pt>
                <c:pt idx="14">
                  <c:v>15</c:v>
                </c:pt>
                <c:pt idx="15">
                  <c:v>13</c:v>
                </c:pt>
                <c:pt idx="16">
                  <c:v>5</c:v>
                </c:pt>
                <c:pt idx="17">
                  <c:v>8</c:v>
                </c:pt>
              </c:numCache>
            </c:numRef>
          </c:val>
        </c:ser>
        <c:ser>
          <c:idx val="3"/>
          <c:order val="3"/>
          <c:tx>
            <c:strRef>
              <c:f>'RAID Summary'!$B$6</c:f>
              <c:strCache>
                <c:ptCount val="1"/>
                <c:pt idx="0">
                  <c:v>Open</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Summary'!$AS$6:$BO$6</c:f>
              <c:numCache>
                <c:formatCode>General</c:formatCode>
                <c:ptCount val="18"/>
                <c:pt idx="0">
                  <c:v>32</c:v>
                </c:pt>
                <c:pt idx="1">
                  <c:v>31</c:v>
                </c:pt>
                <c:pt idx="2">
                  <c:v>30</c:v>
                </c:pt>
                <c:pt idx="3">
                  <c:v>32</c:v>
                </c:pt>
                <c:pt idx="4">
                  <c:v>29</c:v>
                </c:pt>
                <c:pt idx="5">
                  <c:v>30</c:v>
                </c:pt>
                <c:pt idx="6">
                  <c:v>28</c:v>
                </c:pt>
                <c:pt idx="7">
                  <c:v>26</c:v>
                </c:pt>
                <c:pt idx="8">
                  <c:v>26</c:v>
                </c:pt>
                <c:pt idx="9">
                  <c:v>25</c:v>
                </c:pt>
                <c:pt idx="10">
                  <c:v>23</c:v>
                </c:pt>
                <c:pt idx="11">
                  <c:v>22</c:v>
                </c:pt>
                <c:pt idx="12">
                  <c:v>23</c:v>
                </c:pt>
                <c:pt idx="13">
                  <c:v>18</c:v>
                </c:pt>
                <c:pt idx="14">
                  <c:v>20</c:v>
                </c:pt>
                <c:pt idx="15">
                  <c:v>20</c:v>
                </c:pt>
                <c:pt idx="16">
                  <c:v>22</c:v>
                </c:pt>
                <c:pt idx="17">
                  <c:v>20</c:v>
                </c:pt>
              </c:numCache>
            </c:numRef>
          </c:val>
        </c:ser>
        <c:ser>
          <c:idx val="4"/>
          <c:order val="4"/>
          <c:tx>
            <c:strRef>
              <c:f>'RAID Summary'!$B$7</c:f>
              <c:strCache>
                <c:ptCount val="1"/>
                <c:pt idx="0">
                  <c:v>High Impact</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Summary'!$AS$7:$BO$7</c:f>
              <c:numCache>
                <c:formatCode>General</c:formatCode>
                <c:ptCount val="18"/>
                <c:pt idx="0">
                  <c:v>17</c:v>
                </c:pt>
                <c:pt idx="1">
                  <c:v>15</c:v>
                </c:pt>
                <c:pt idx="2">
                  <c:v>15</c:v>
                </c:pt>
                <c:pt idx="3">
                  <c:v>13</c:v>
                </c:pt>
                <c:pt idx="4">
                  <c:v>13</c:v>
                </c:pt>
                <c:pt idx="5">
                  <c:v>16</c:v>
                </c:pt>
                <c:pt idx="6">
                  <c:v>15</c:v>
                </c:pt>
                <c:pt idx="7">
                  <c:v>15</c:v>
                </c:pt>
                <c:pt idx="8">
                  <c:v>15</c:v>
                </c:pt>
                <c:pt idx="9">
                  <c:v>13</c:v>
                </c:pt>
                <c:pt idx="10">
                  <c:v>14</c:v>
                </c:pt>
                <c:pt idx="11">
                  <c:v>14</c:v>
                </c:pt>
                <c:pt idx="12">
                  <c:v>14</c:v>
                </c:pt>
                <c:pt idx="13">
                  <c:v>9</c:v>
                </c:pt>
                <c:pt idx="14">
                  <c:v>11</c:v>
                </c:pt>
                <c:pt idx="15">
                  <c:v>11</c:v>
                </c:pt>
                <c:pt idx="16">
                  <c:v>12</c:v>
                </c:pt>
                <c:pt idx="17">
                  <c:v>12</c:v>
                </c:pt>
              </c:numCache>
            </c:numRef>
          </c:val>
        </c:ser>
        <c:ser>
          <c:idx val="5"/>
          <c:order val="5"/>
          <c:tx>
            <c:strRef>
              <c:f>'RAID Summary'!$B$8</c:f>
              <c:strCache>
                <c:ptCount val="1"/>
                <c:pt idx="0">
                  <c:v>Past Due</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Summary'!$AS$8:$BO$8</c:f>
              <c:numCache>
                <c:formatCode>General</c:formatCode>
                <c:ptCount val="18"/>
                <c:pt idx="0">
                  <c:v>6</c:v>
                </c:pt>
                <c:pt idx="1">
                  <c:v>9</c:v>
                </c:pt>
                <c:pt idx="2">
                  <c:v>8</c:v>
                </c:pt>
                <c:pt idx="3">
                  <c:v>12</c:v>
                </c:pt>
                <c:pt idx="4">
                  <c:v>16</c:v>
                </c:pt>
                <c:pt idx="5">
                  <c:v>12</c:v>
                </c:pt>
                <c:pt idx="6">
                  <c:v>8</c:v>
                </c:pt>
                <c:pt idx="7">
                  <c:v>9</c:v>
                </c:pt>
                <c:pt idx="8">
                  <c:v>9</c:v>
                </c:pt>
                <c:pt idx="9">
                  <c:v>11</c:v>
                </c:pt>
                <c:pt idx="10">
                  <c:v>7</c:v>
                </c:pt>
                <c:pt idx="11">
                  <c:v>6</c:v>
                </c:pt>
                <c:pt idx="12">
                  <c:v>9</c:v>
                </c:pt>
                <c:pt idx="13">
                  <c:v>7</c:v>
                </c:pt>
                <c:pt idx="14">
                  <c:v>7</c:v>
                </c:pt>
                <c:pt idx="15">
                  <c:v>5</c:v>
                </c:pt>
                <c:pt idx="16">
                  <c:v>4</c:v>
                </c:pt>
                <c:pt idx="17">
                  <c:v>9</c:v>
                </c:pt>
              </c:numCache>
            </c:numRef>
          </c:val>
        </c:ser>
        <c:ser>
          <c:idx val="6"/>
          <c:order val="6"/>
          <c:tx>
            <c:strRef>
              <c:f>'RAID Summary'!$B$11</c:f>
              <c:strCache>
                <c:ptCount val="1"/>
                <c:pt idx="0">
                  <c:v>Pending</c:v>
                </c:pt>
              </c:strCache>
            </c:strRef>
          </c:tx>
          <c:marker>
            <c:symbol val="none"/>
          </c:marker>
          <c:cat>
            <c:numRef>
              <c:f>'RAID Summary'!$AS$1:$BO$1</c:f>
              <c:numCache>
                <c:formatCode>dd\-mmm\-yy</c:formatCode>
                <c:ptCount val="18"/>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numCache>
            </c:numRef>
          </c:cat>
          <c:val>
            <c:numRef>
              <c:f>'RAID Summary'!$AS$11:$BO$11</c:f>
              <c:numCache>
                <c:formatCode>General</c:formatCode>
                <c:ptCount val="18"/>
                <c:pt idx="0">
                  <c:v>16</c:v>
                </c:pt>
                <c:pt idx="1">
                  <c:v>19</c:v>
                </c:pt>
                <c:pt idx="2">
                  <c:v>19</c:v>
                </c:pt>
                <c:pt idx="3">
                  <c:v>25</c:v>
                </c:pt>
                <c:pt idx="4">
                  <c:v>23</c:v>
                </c:pt>
                <c:pt idx="5">
                  <c:v>19</c:v>
                </c:pt>
                <c:pt idx="6">
                  <c:v>19</c:v>
                </c:pt>
                <c:pt idx="7">
                  <c:v>16</c:v>
                </c:pt>
                <c:pt idx="8">
                  <c:v>16</c:v>
                </c:pt>
                <c:pt idx="9">
                  <c:v>17</c:v>
                </c:pt>
                <c:pt idx="10">
                  <c:v>17</c:v>
                </c:pt>
                <c:pt idx="11">
                  <c:v>17</c:v>
                </c:pt>
                <c:pt idx="12">
                  <c:v>17</c:v>
                </c:pt>
                <c:pt idx="13">
                  <c:v>18</c:v>
                </c:pt>
                <c:pt idx="14">
                  <c:v>18</c:v>
                </c:pt>
                <c:pt idx="15">
                  <c:v>15</c:v>
                </c:pt>
                <c:pt idx="16">
                  <c:v>15</c:v>
                </c:pt>
                <c:pt idx="17">
                  <c:v>19</c:v>
                </c:pt>
              </c:numCache>
            </c:numRef>
          </c:val>
        </c:ser>
        <c:marker val="1"/>
        <c:axId val="92374144"/>
        <c:axId val="92375680"/>
      </c:lineChart>
      <c:dateAx>
        <c:axId val="92374144"/>
        <c:scaling>
          <c:orientation val="minMax"/>
        </c:scaling>
        <c:axPos val="b"/>
        <c:numFmt formatCode="dd\-mmm\-yy" sourceLinked="1"/>
        <c:tickLblPos val="nextTo"/>
        <c:txPr>
          <a:bodyPr/>
          <a:lstStyle/>
          <a:p>
            <a:pPr>
              <a:defRPr sz="800"/>
            </a:pPr>
            <a:endParaRPr lang="en-US"/>
          </a:p>
        </c:txPr>
        <c:crossAx val="92375680"/>
        <c:crosses val="autoZero"/>
        <c:auto val="1"/>
        <c:lblOffset val="100"/>
      </c:dateAx>
      <c:valAx>
        <c:axId val="92375680"/>
        <c:scaling>
          <c:orientation val="minMax"/>
        </c:scaling>
        <c:axPos val="l"/>
        <c:majorGridlines/>
        <c:numFmt formatCode="General" sourceLinked="1"/>
        <c:tickLblPos val="nextTo"/>
        <c:txPr>
          <a:bodyPr/>
          <a:lstStyle/>
          <a:p>
            <a:pPr>
              <a:defRPr sz="800"/>
            </a:pPr>
            <a:endParaRPr lang="en-US"/>
          </a:p>
        </c:txPr>
        <c:crossAx val="92374144"/>
        <c:crosses val="autoZero"/>
        <c:crossBetween val="between"/>
      </c:valAx>
    </c:plotArea>
    <c:legend>
      <c:legendPos val="r"/>
      <c:txPr>
        <a:bodyPr/>
        <a:lstStyle/>
        <a:p>
          <a:pPr>
            <a:defRPr sz="900"/>
          </a:pPr>
          <a:endParaRPr lang="en-US"/>
        </a:p>
      </c:txPr>
    </c:legend>
    <c:plotVisOnly val="1"/>
  </c:chart>
  <c:printSettings>
    <c:headerFooter/>
    <c:pageMargins b="0.7500000000000081" l="0.70000000000000062" r="0.70000000000000062" t="0.750000000000008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Risks</a:t>
            </a:r>
          </a:p>
        </c:rich>
      </c:tx>
    </c:title>
    <c:plotArea>
      <c:layout/>
      <c:barChart>
        <c:barDir val="col"/>
        <c:grouping val="stacked"/>
        <c:ser>
          <c:idx val="0"/>
          <c:order val="0"/>
          <c:tx>
            <c:strRef>
              <c:f>'RAID Summary'!$B$3</c:f>
              <c:strCache>
                <c:ptCount val="1"/>
                <c:pt idx="0">
                  <c:v>Critical</c:v>
                </c:pt>
              </c:strCache>
            </c:strRef>
          </c:tx>
          <c:spPr>
            <a:ln w="19050" cmpd="sng"/>
          </c:spP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Summary'!$C$3:$BR$3</c:f>
              <c:numCache>
                <c:formatCode>General</c:formatCode>
                <c:ptCount val="21"/>
                <c:pt idx="0">
                  <c:v>10</c:v>
                </c:pt>
                <c:pt idx="1">
                  <c:v>11</c:v>
                </c:pt>
                <c:pt idx="2">
                  <c:v>11</c:v>
                </c:pt>
                <c:pt idx="3">
                  <c:v>12</c:v>
                </c:pt>
                <c:pt idx="4">
                  <c:v>11</c:v>
                </c:pt>
                <c:pt idx="5">
                  <c:v>12</c:v>
                </c:pt>
                <c:pt idx="6">
                  <c:v>12</c:v>
                </c:pt>
                <c:pt idx="7">
                  <c:v>12</c:v>
                </c:pt>
                <c:pt idx="8">
                  <c:v>12</c:v>
                </c:pt>
                <c:pt idx="9">
                  <c:v>10</c:v>
                </c:pt>
                <c:pt idx="10">
                  <c:v>12</c:v>
                </c:pt>
                <c:pt idx="11">
                  <c:v>11</c:v>
                </c:pt>
                <c:pt idx="12">
                  <c:v>10</c:v>
                </c:pt>
                <c:pt idx="13">
                  <c:v>10</c:v>
                </c:pt>
                <c:pt idx="14">
                  <c:v>9</c:v>
                </c:pt>
                <c:pt idx="15">
                  <c:v>7</c:v>
                </c:pt>
                <c:pt idx="16">
                  <c:v>7</c:v>
                </c:pt>
                <c:pt idx="17">
                  <c:v>6</c:v>
                </c:pt>
                <c:pt idx="18">
                  <c:v>5</c:v>
                </c:pt>
                <c:pt idx="19">
                  <c:v>5</c:v>
                </c:pt>
                <c:pt idx="20">
                  <c:v>4</c:v>
                </c:pt>
              </c:numCache>
            </c:numRef>
          </c:val>
        </c:ser>
        <c:ser>
          <c:idx val="2"/>
          <c:order val="2"/>
          <c:tx>
            <c:strRef>
              <c:f>'RAID Summary'!$B$5</c:f>
              <c:strCache>
                <c:ptCount val="1"/>
                <c:pt idx="0">
                  <c:v>Open </c:v>
                </c:pt>
              </c:strCache>
            </c:strRef>
          </c:tx>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Summary'!$C$5:$BR$5</c:f>
              <c:numCache>
                <c:formatCode>General</c:formatCode>
                <c:ptCount val="21"/>
                <c:pt idx="0">
                  <c:v>24</c:v>
                </c:pt>
                <c:pt idx="1">
                  <c:v>25</c:v>
                </c:pt>
                <c:pt idx="2">
                  <c:v>25</c:v>
                </c:pt>
                <c:pt idx="3">
                  <c:v>33</c:v>
                </c:pt>
                <c:pt idx="4">
                  <c:v>28</c:v>
                </c:pt>
                <c:pt idx="5">
                  <c:v>27</c:v>
                </c:pt>
                <c:pt idx="6">
                  <c:v>27</c:v>
                </c:pt>
                <c:pt idx="7">
                  <c:v>32</c:v>
                </c:pt>
                <c:pt idx="8">
                  <c:v>31</c:v>
                </c:pt>
                <c:pt idx="9">
                  <c:v>31</c:v>
                </c:pt>
                <c:pt idx="10">
                  <c:v>32</c:v>
                </c:pt>
                <c:pt idx="11">
                  <c:v>33</c:v>
                </c:pt>
                <c:pt idx="12">
                  <c:v>35</c:v>
                </c:pt>
                <c:pt idx="13">
                  <c:v>36</c:v>
                </c:pt>
                <c:pt idx="14">
                  <c:v>39</c:v>
                </c:pt>
                <c:pt idx="15">
                  <c:v>36</c:v>
                </c:pt>
                <c:pt idx="16">
                  <c:v>39</c:v>
                </c:pt>
                <c:pt idx="17">
                  <c:v>38</c:v>
                </c:pt>
                <c:pt idx="18">
                  <c:v>36</c:v>
                </c:pt>
                <c:pt idx="19">
                  <c:v>34</c:v>
                </c:pt>
                <c:pt idx="20">
                  <c:v>35</c:v>
                </c:pt>
              </c:numCache>
            </c:numRef>
          </c:val>
        </c:ser>
        <c:gapWidth val="55"/>
        <c:overlap val="100"/>
        <c:axId val="93018368"/>
        <c:axId val="93020160"/>
      </c:barChart>
      <c:lineChart>
        <c:grouping val="standard"/>
        <c:ser>
          <c:idx val="1"/>
          <c:order val="1"/>
          <c:tx>
            <c:strRef>
              <c:f>'RAID Summary'!$B$4</c:f>
              <c:strCache>
                <c:ptCount val="1"/>
                <c:pt idx="0">
                  <c:v>Missed Trigger Date</c:v>
                </c:pt>
              </c:strCache>
            </c:strRef>
          </c:tx>
          <c:marker>
            <c:symbol val="none"/>
          </c:marke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Summary'!$C$4:$BR$4</c:f>
              <c:numCache>
                <c:formatCode>General</c:formatCode>
                <c:ptCount val="21"/>
                <c:pt idx="0">
                  <c:v>10</c:v>
                </c:pt>
                <c:pt idx="1">
                  <c:v>10</c:v>
                </c:pt>
                <c:pt idx="2">
                  <c:v>7</c:v>
                </c:pt>
                <c:pt idx="3">
                  <c:v>7</c:v>
                </c:pt>
                <c:pt idx="4">
                  <c:v>8</c:v>
                </c:pt>
                <c:pt idx="5">
                  <c:v>5</c:v>
                </c:pt>
                <c:pt idx="6">
                  <c:v>6</c:v>
                </c:pt>
                <c:pt idx="7">
                  <c:v>4</c:v>
                </c:pt>
                <c:pt idx="8">
                  <c:v>2</c:v>
                </c:pt>
                <c:pt idx="9">
                  <c:v>9</c:v>
                </c:pt>
                <c:pt idx="10">
                  <c:v>5</c:v>
                </c:pt>
                <c:pt idx="11">
                  <c:v>2</c:v>
                </c:pt>
                <c:pt idx="12">
                  <c:v>5</c:v>
                </c:pt>
                <c:pt idx="13">
                  <c:v>11</c:v>
                </c:pt>
                <c:pt idx="14">
                  <c:v>15</c:v>
                </c:pt>
                <c:pt idx="15">
                  <c:v>13</c:v>
                </c:pt>
                <c:pt idx="16">
                  <c:v>5</c:v>
                </c:pt>
                <c:pt idx="17">
                  <c:v>8</c:v>
                </c:pt>
                <c:pt idx="18">
                  <c:v>3</c:v>
                </c:pt>
                <c:pt idx="19">
                  <c:v>3</c:v>
                </c:pt>
                <c:pt idx="20">
                  <c:v>9</c:v>
                </c:pt>
              </c:numCache>
            </c:numRef>
          </c:val>
        </c:ser>
        <c:marker val="1"/>
        <c:axId val="93018368"/>
        <c:axId val="93020160"/>
      </c:lineChart>
      <c:dateAx>
        <c:axId val="93018368"/>
        <c:scaling>
          <c:orientation val="minMax"/>
        </c:scaling>
        <c:axPos val="b"/>
        <c:numFmt formatCode="dd\-mmm\-yy" sourceLinked="1"/>
        <c:majorTickMark val="none"/>
        <c:tickLblPos val="nextTo"/>
        <c:txPr>
          <a:bodyPr rot="2700000" vert="horz" anchor="b" anchorCtr="1"/>
          <a:lstStyle/>
          <a:p>
            <a:pPr>
              <a:defRPr/>
            </a:pPr>
            <a:endParaRPr lang="en-US"/>
          </a:p>
        </c:txPr>
        <c:crossAx val="93020160"/>
        <c:crosses val="autoZero"/>
        <c:auto val="1"/>
        <c:lblOffset val="100"/>
        <c:majorUnit val="7"/>
        <c:majorTimeUnit val="days"/>
      </c:dateAx>
      <c:valAx>
        <c:axId val="93020160"/>
        <c:scaling>
          <c:orientation val="minMax"/>
        </c:scaling>
        <c:axPos val="l"/>
        <c:majorGridlines>
          <c:spPr>
            <a:ln>
              <a:solidFill>
                <a:schemeClr val="bg1">
                  <a:lumMod val="85000"/>
                </a:schemeClr>
              </a:solidFill>
            </a:ln>
          </c:spPr>
        </c:majorGridlines>
        <c:numFmt formatCode="General" sourceLinked="1"/>
        <c:majorTickMark val="none"/>
        <c:tickLblPos val="nextTo"/>
        <c:crossAx val="93018368"/>
        <c:crosses val="autoZero"/>
        <c:crossBetween val="between"/>
      </c:valAx>
      <c:spPr>
        <a:solidFill>
          <a:schemeClr val="bg1">
            <a:lumMod val="95000"/>
          </a:schemeClr>
        </a:solidFill>
      </c:spPr>
    </c:plotArea>
    <c:legend>
      <c:legendPos val="r"/>
      <c:txPr>
        <a:bodyPr/>
        <a:lstStyle/>
        <a:p>
          <a:pPr>
            <a:defRPr sz="800"/>
          </a:pPr>
          <a:endParaRPr lang="en-US"/>
        </a:p>
      </c:txPr>
    </c:legend>
    <c:plotVisOnly val="1"/>
    <c:dispBlanksAs val="gap"/>
  </c:chart>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Decisions</a:t>
            </a:r>
          </a:p>
        </c:rich>
      </c:tx>
    </c:title>
    <c:plotArea>
      <c:layout/>
      <c:areaChart>
        <c:grouping val="standard"/>
        <c:ser>
          <c:idx val="0"/>
          <c:order val="0"/>
          <c:tx>
            <c:strRef>
              <c:f>'RAID Summary'!$B$10</c:f>
              <c:strCache>
                <c:ptCount val="1"/>
                <c:pt idx="0">
                  <c:v>Validated</c:v>
                </c:pt>
              </c:strCache>
            </c:strRef>
          </c:tx>
          <c:spPr>
            <a:solidFill>
              <a:schemeClr val="accent1">
                <a:lumMod val="20000"/>
                <a:lumOff val="80000"/>
              </a:schemeClr>
            </a:solidFill>
          </c:spP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Summary'!$C$10:$BR$10</c:f>
              <c:numCache>
                <c:formatCode>General</c:formatCode>
                <c:ptCount val="21"/>
                <c:pt idx="0">
                  <c:v>140</c:v>
                </c:pt>
                <c:pt idx="1">
                  <c:v>142</c:v>
                </c:pt>
                <c:pt idx="2">
                  <c:v>143</c:v>
                </c:pt>
                <c:pt idx="3">
                  <c:v>147</c:v>
                </c:pt>
                <c:pt idx="4">
                  <c:v>149</c:v>
                </c:pt>
                <c:pt idx="5">
                  <c:v>153</c:v>
                </c:pt>
                <c:pt idx="6">
                  <c:v>154</c:v>
                </c:pt>
                <c:pt idx="7">
                  <c:v>154</c:v>
                </c:pt>
                <c:pt idx="8">
                  <c:v>154</c:v>
                </c:pt>
                <c:pt idx="9">
                  <c:v>172</c:v>
                </c:pt>
                <c:pt idx="10">
                  <c:v>174</c:v>
                </c:pt>
                <c:pt idx="11">
                  <c:v>175</c:v>
                </c:pt>
                <c:pt idx="12">
                  <c:v>175</c:v>
                </c:pt>
                <c:pt idx="13">
                  <c:v>176</c:v>
                </c:pt>
                <c:pt idx="14">
                  <c:v>176</c:v>
                </c:pt>
                <c:pt idx="15">
                  <c:v>177</c:v>
                </c:pt>
                <c:pt idx="16">
                  <c:v>177</c:v>
                </c:pt>
                <c:pt idx="17">
                  <c:v>177</c:v>
                </c:pt>
                <c:pt idx="18">
                  <c:v>177</c:v>
                </c:pt>
                <c:pt idx="19">
                  <c:v>177</c:v>
                </c:pt>
                <c:pt idx="20">
                  <c:v>177</c:v>
                </c:pt>
              </c:numCache>
            </c:numRef>
          </c:val>
        </c:ser>
        <c:axId val="93098752"/>
        <c:axId val="93092480"/>
      </c:areaChart>
      <c:barChart>
        <c:barDir val="col"/>
        <c:grouping val="clustered"/>
        <c:ser>
          <c:idx val="1"/>
          <c:order val="1"/>
          <c:tx>
            <c:strRef>
              <c:f>'RAID Summary'!$B$11</c:f>
              <c:strCache>
                <c:ptCount val="1"/>
                <c:pt idx="0">
                  <c:v>Pending</c:v>
                </c:pt>
              </c:strCache>
            </c:strRef>
          </c:tx>
          <c:spPr>
            <a:solidFill>
              <a:srgbClr val="92D050"/>
            </a:solidFill>
          </c:spP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Summary'!$C$11:$BR$11</c:f>
              <c:numCache>
                <c:formatCode>General</c:formatCode>
                <c:ptCount val="21"/>
                <c:pt idx="0">
                  <c:v>16</c:v>
                </c:pt>
                <c:pt idx="1">
                  <c:v>19</c:v>
                </c:pt>
                <c:pt idx="2">
                  <c:v>19</c:v>
                </c:pt>
                <c:pt idx="3">
                  <c:v>25</c:v>
                </c:pt>
                <c:pt idx="4">
                  <c:v>23</c:v>
                </c:pt>
                <c:pt idx="5">
                  <c:v>19</c:v>
                </c:pt>
                <c:pt idx="6">
                  <c:v>19</c:v>
                </c:pt>
                <c:pt idx="7">
                  <c:v>16</c:v>
                </c:pt>
                <c:pt idx="8">
                  <c:v>16</c:v>
                </c:pt>
                <c:pt idx="9">
                  <c:v>17</c:v>
                </c:pt>
                <c:pt idx="10">
                  <c:v>17</c:v>
                </c:pt>
                <c:pt idx="11">
                  <c:v>17</c:v>
                </c:pt>
                <c:pt idx="12">
                  <c:v>17</c:v>
                </c:pt>
                <c:pt idx="13">
                  <c:v>18</c:v>
                </c:pt>
                <c:pt idx="14">
                  <c:v>18</c:v>
                </c:pt>
                <c:pt idx="15">
                  <c:v>15</c:v>
                </c:pt>
                <c:pt idx="16">
                  <c:v>15</c:v>
                </c:pt>
                <c:pt idx="17">
                  <c:v>19</c:v>
                </c:pt>
                <c:pt idx="18">
                  <c:v>19</c:v>
                </c:pt>
                <c:pt idx="19">
                  <c:v>19</c:v>
                </c:pt>
                <c:pt idx="20">
                  <c:v>19</c:v>
                </c:pt>
              </c:numCache>
            </c:numRef>
          </c:val>
        </c:ser>
        <c:gapWidth val="0"/>
        <c:overlap val="100"/>
        <c:axId val="93076480"/>
        <c:axId val="93090560"/>
      </c:barChart>
      <c:lineChart>
        <c:grouping val="standard"/>
        <c:ser>
          <c:idx val="2"/>
          <c:order val="2"/>
          <c:tx>
            <c:strRef>
              <c:f>'RAID Summary'!$B$12</c:f>
              <c:strCache>
                <c:ptCount val="1"/>
                <c:pt idx="0">
                  <c:v>Past Due</c:v>
                </c:pt>
              </c:strCache>
            </c:strRef>
          </c:tx>
          <c:spPr>
            <a:ln>
              <a:solidFill>
                <a:srgbClr val="C00000"/>
              </a:solidFill>
            </a:ln>
          </c:spPr>
          <c:marker>
            <c:symbol val="none"/>
          </c:marke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Summary'!$C$12:$BR$12</c:f>
              <c:numCache>
                <c:formatCode>General</c:formatCode>
                <c:ptCount val="21"/>
                <c:pt idx="0">
                  <c:v>3</c:v>
                </c:pt>
                <c:pt idx="1">
                  <c:v>11</c:v>
                </c:pt>
                <c:pt idx="2">
                  <c:v>7</c:v>
                </c:pt>
                <c:pt idx="3">
                  <c:v>17</c:v>
                </c:pt>
                <c:pt idx="4">
                  <c:v>16</c:v>
                </c:pt>
                <c:pt idx="5">
                  <c:v>9</c:v>
                </c:pt>
                <c:pt idx="6">
                  <c:v>10</c:v>
                </c:pt>
                <c:pt idx="7">
                  <c:v>9</c:v>
                </c:pt>
                <c:pt idx="8">
                  <c:v>9</c:v>
                </c:pt>
                <c:pt idx="9">
                  <c:v>10</c:v>
                </c:pt>
                <c:pt idx="10">
                  <c:v>2</c:v>
                </c:pt>
                <c:pt idx="11">
                  <c:v>1</c:v>
                </c:pt>
                <c:pt idx="12">
                  <c:v>1</c:v>
                </c:pt>
                <c:pt idx="13">
                  <c:v>2</c:v>
                </c:pt>
                <c:pt idx="14">
                  <c:v>2</c:v>
                </c:pt>
                <c:pt idx="15">
                  <c:v>0</c:v>
                </c:pt>
                <c:pt idx="16">
                  <c:v>0</c:v>
                </c:pt>
                <c:pt idx="17">
                  <c:v>6</c:v>
                </c:pt>
                <c:pt idx="18">
                  <c:v>6</c:v>
                </c:pt>
                <c:pt idx="19">
                  <c:v>0</c:v>
                </c:pt>
                <c:pt idx="20">
                  <c:v>0</c:v>
                </c:pt>
              </c:numCache>
            </c:numRef>
          </c:val>
        </c:ser>
        <c:marker val="1"/>
        <c:axId val="93076480"/>
        <c:axId val="93090560"/>
      </c:lineChart>
      <c:dateAx>
        <c:axId val="93076480"/>
        <c:scaling>
          <c:orientation val="minMax"/>
        </c:scaling>
        <c:axPos val="b"/>
        <c:numFmt formatCode="dd\-mmm\-yy" sourceLinked="1"/>
        <c:majorTickMark val="none"/>
        <c:tickLblPos val="nextTo"/>
        <c:txPr>
          <a:bodyPr rot="2700000"/>
          <a:lstStyle/>
          <a:p>
            <a:pPr>
              <a:defRPr/>
            </a:pPr>
            <a:endParaRPr lang="en-US"/>
          </a:p>
        </c:txPr>
        <c:crossAx val="93090560"/>
        <c:crosses val="autoZero"/>
        <c:auto val="1"/>
        <c:lblOffset val="100"/>
        <c:majorUnit val="7"/>
        <c:majorTimeUnit val="days"/>
      </c:dateAx>
      <c:valAx>
        <c:axId val="93090560"/>
        <c:scaling>
          <c:orientation val="minMax"/>
        </c:scaling>
        <c:axPos val="l"/>
        <c:majorGridlines>
          <c:spPr>
            <a:ln>
              <a:solidFill>
                <a:schemeClr val="bg1">
                  <a:lumMod val="85000"/>
                </a:schemeClr>
              </a:solidFill>
            </a:ln>
          </c:spPr>
        </c:majorGridlines>
        <c:title>
          <c:tx>
            <c:rich>
              <a:bodyPr/>
              <a:lstStyle/>
              <a:p>
                <a:pPr>
                  <a:defRPr/>
                </a:pPr>
                <a:r>
                  <a:rPr lang="en-US"/>
                  <a:t>Pending</a:t>
                </a:r>
              </a:p>
            </c:rich>
          </c:tx>
        </c:title>
        <c:numFmt formatCode="General" sourceLinked="1"/>
        <c:majorTickMark val="none"/>
        <c:tickLblPos val="nextTo"/>
        <c:crossAx val="93076480"/>
        <c:crosses val="autoZero"/>
        <c:crossBetween val="between"/>
      </c:valAx>
      <c:valAx>
        <c:axId val="93092480"/>
        <c:scaling>
          <c:orientation val="minMax"/>
        </c:scaling>
        <c:axPos val="r"/>
        <c:title>
          <c:tx>
            <c:rich>
              <a:bodyPr rot="-5400000" vert="horz"/>
              <a:lstStyle/>
              <a:p>
                <a:pPr>
                  <a:defRPr/>
                </a:pPr>
                <a:r>
                  <a:rPr lang="en-US"/>
                  <a:t>Validated</a:t>
                </a:r>
              </a:p>
            </c:rich>
          </c:tx>
        </c:title>
        <c:numFmt formatCode="General" sourceLinked="1"/>
        <c:tickLblPos val="nextTo"/>
        <c:crossAx val="93098752"/>
        <c:crosses val="max"/>
        <c:crossBetween val="between"/>
      </c:valAx>
      <c:dateAx>
        <c:axId val="93098752"/>
        <c:scaling>
          <c:orientation val="minMax"/>
        </c:scaling>
        <c:delete val="1"/>
        <c:axPos val="b"/>
        <c:numFmt formatCode="dd\-mmm\-yy" sourceLinked="1"/>
        <c:tickLblPos val="none"/>
        <c:crossAx val="93092480"/>
        <c:crosses val="autoZero"/>
        <c:auto val="1"/>
        <c:lblOffset val="100"/>
      </c:dateAx>
      <c:spPr>
        <a:solidFill>
          <a:schemeClr val="bg1">
            <a:lumMod val="95000"/>
          </a:schemeClr>
        </a:solidFill>
      </c:spPr>
    </c:plotArea>
    <c:legend>
      <c:legendPos val="r"/>
      <c:layout>
        <c:manualLayout>
          <c:xMode val="edge"/>
          <c:yMode val="edge"/>
          <c:x val="0.84286022282928952"/>
          <c:y val="0.26557013706620008"/>
          <c:w val="0.15502169371685681"/>
          <c:h val="0.42244787109944643"/>
        </c:manualLayout>
      </c:layout>
      <c:txPr>
        <a:bodyPr/>
        <a:lstStyle/>
        <a:p>
          <a:pPr>
            <a:defRPr sz="800"/>
          </a:pPr>
          <a:endParaRPr lang="en-US"/>
        </a:p>
      </c:txPr>
    </c:legend>
    <c:plotVisOnly val="1"/>
    <c:dispBlanksAs val="gap"/>
  </c:chart>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Assumptions</a:t>
            </a:r>
          </a:p>
        </c:rich>
      </c:tx>
    </c:title>
    <c:plotArea>
      <c:layout/>
      <c:areaChart>
        <c:grouping val="standard"/>
        <c:ser>
          <c:idx val="0"/>
          <c:order val="0"/>
          <c:tx>
            <c:strRef>
              <c:f>'RAID Summary'!$B$13</c:f>
              <c:strCache>
                <c:ptCount val="1"/>
                <c:pt idx="0">
                  <c:v>Validated</c:v>
                </c:pt>
              </c:strCache>
            </c:strRef>
          </c:tx>
          <c:spPr>
            <a:solidFill>
              <a:schemeClr val="accent1">
                <a:lumMod val="20000"/>
                <a:lumOff val="80000"/>
              </a:schemeClr>
            </a:solidFill>
          </c:spP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Summary'!$C$13:$BR$13</c:f>
              <c:numCache>
                <c:formatCode>General</c:formatCode>
                <c:ptCount val="21"/>
                <c:pt idx="0">
                  <c:v>83</c:v>
                </c:pt>
                <c:pt idx="1">
                  <c:v>83</c:v>
                </c:pt>
                <c:pt idx="2">
                  <c:v>86</c:v>
                </c:pt>
                <c:pt idx="3">
                  <c:v>86</c:v>
                </c:pt>
                <c:pt idx="4">
                  <c:v>86</c:v>
                </c:pt>
                <c:pt idx="5">
                  <c:v>86</c:v>
                </c:pt>
                <c:pt idx="6">
                  <c:v>88</c:v>
                </c:pt>
                <c:pt idx="7">
                  <c:v>88</c:v>
                </c:pt>
                <c:pt idx="8">
                  <c:v>88</c:v>
                </c:pt>
                <c:pt idx="9">
                  <c:v>90</c:v>
                </c:pt>
                <c:pt idx="10">
                  <c:v>90</c:v>
                </c:pt>
                <c:pt idx="11">
                  <c:v>90</c:v>
                </c:pt>
                <c:pt idx="12">
                  <c:v>90</c:v>
                </c:pt>
                <c:pt idx="13">
                  <c:v>90</c:v>
                </c:pt>
                <c:pt idx="14">
                  <c:v>90</c:v>
                </c:pt>
                <c:pt idx="15">
                  <c:v>90</c:v>
                </c:pt>
                <c:pt idx="16">
                  <c:v>90</c:v>
                </c:pt>
                <c:pt idx="17">
                  <c:v>90</c:v>
                </c:pt>
                <c:pt idx="18">
                  <c:v>90</c:v>
                </c:pt>
                <c:pt idx="19">
                  <c:v>90</c:v>
                </c:pt>
                <c:pt idx="20">
                  <c:v>90</c:v>
                </c:pt>
              </c:numCache>
            </c:numRef>
          </c:val>
        </c:ser>
        <c:axId val="92968064"/>
        <c:axId val="92953600"/>
      </c:areaChart>
      <c:barChart>
        <c:barDir val="col"/>
        <c:grouping val="clustered"/>
        <c:ser>
          <c:idx val="1"/>
          <c:order val="1"/>
          <c:tx>
            <c:strRef>
              <c:f>'RAID Summary'!$B$14</c:f>
              <c:strCache>
                <c:ptCount val="1"/>
                <c:pt idx="0">
                  <c:v>Pending</c:v>
                </c:pt>
              </c:strCache>
            </c:strRef>
          </c:tx>
          <c:spPr>
            <a:solidFill>
              <a:srgbClr val="92D050"/>
            </a:solidFill>
          </c:spP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Summary'!$C$14:$BR$14</c:f>
              <c:numCache>
                <c:formatCode>General</c:formatCode>
                <c:ptCount val="21"/>
                <c:pt idx="0">
                  <c:v>7</c:v>
                </c:pt>
                <c:pt idx="1">
                  <c:v>6</c:v>
                </c:pt>
                <c:pt idx="2">
                  <c:v>3</c:v>
                </c:pt>
                <c:pt idx="3">
                  <c:v>2</c:v>
                </c:pt>
                <c:pt idx="4">
                  <c:v>2</c:v>
                </c:pt>
                <c:pt idx="5">
                  <c:v>2</c:v>
                </c:pt>
                <c:pt idx="6">
                  <c:v>3</c:v>
                </c:pt>
                <c:pt idx="7">
                  <c:v>3</c:v>
                </c:pt>
                <c:pt idx="8">
                  <c:v>3</c:v>
                </c:pt>
                <c:pt idx="9">
                  <c:v>1</c:v>
                </c:pt>
                <c:pt idx="10">
                  <c:v>1</c:v>
                </c:pt>
                <c:pt idx="11">
                  <c:v>1</c:v>
                </c:pt>
                <c:pt idx="12">
                  <c:v>1</c:v>
                </c:pt>
                <c:pt idx="13">
                  <c:v>1</c:v>
                </c:pt>
                <c:pt idx="14">
                  <c:v>1</c:v>
                </c:pt>
                <c:pt idx="15">
                  <c:v>1</c:v>
                </c:pt>
                <c:pt idx="16">
                  <c:v>1</c:v>
                </c:pt>
                <c:pt idx="17">
                  <c:v>1</c:v>
                </c:pt>
                <c:pt idx="18">
                  <c:v>1</c:v>
                </c:pt>
                <c:pt idx="19">
                  <c:v>1</c:v>
                </c:pt>
                <c:pt idx="20">
                  <c:v>1</c:v>
                </c:pt>
              </c:numCache>
            </c:numRef>
          </c:val>
        </c:ser>
        <c:gapWidth val="0"/>
        <c:overlap val="100"/>
        <c:axId val="92937600"/>
        <c:axId val="92951680"/>
      </c:barChart>
      <c:lineChart>
        <c:grouping val="standard"/>
        <c:ser>
          <c:idx val="2"/>
          <c:order val="2"/>
          <c:tx>
            <c:strRef>
              <c:f>'RAID Summary'!$B$15</c:f>
              <c:strCache>
                <c:ptCount val="1"/>
                <c:pt idx="0">
                  <c:v>Past Due</c:v>
                </c:pt>
              </c:strCache>
            </c:strRef>
          </c:tx>
          <c:spPr>
            <a:ln>
              <a:solidFill>
                <a:srgbClr val="C00000"/>
              </a:solidFill>
            </a:ln>
          </c:spPr>
          <c:marker>
            <c:symbol val="none"/>
          </c:marke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Summary'!$C$15:$BR$15</c:f>
              <c:numCache>
                <c:formatCode>General</c:formatCode>
                <c:ptCount val="21"/>
                <c:pt idx="0">
                  <c:v>3</c:v>
                </c:pt>
                <c:pt idx="1">
                  <c:v>2</c:v>
                </c:pt>
                <c:pt idx="2">
                  <c:v>1</c:v>
                </c:pt>
                <c:pt idx="3">
                  <c:v>0</c:v>
                </c:pt>
                <c:pt idx="4">
                  <c:v>0</c:v>
                </c:pt>
                <c:pt idx="5">
                  <c:v>0</c:v>
                </c:pt>
                <c:pt idx="6">
                  <c:v>1</c:v>
                </c:pt>
                <c:pt idx="7">
                  <c:v>1</c:v>
                </c:pt>
                <c:pt idx="8">
                  <c:v>1</c:v>
                </c:pt>
                <c:pt idx="9">
                  <c:v>0</c:v>
                </c:pt>
                <c:pt idx="10">
                  <c:v>0</c:v>
                </c:pt>
                <c:pt idx="11">
                  <c:v>0</c:v>
                </c:pt>
                <c:pt idx="12">
                  <c:v>0</c:v>
                </c:pt>
                <c:pt idx="13">
                  <c:v>0</c:v>
                </c:pt>
                <c:pt idx="14">
                  <c:v>0</c:v>
                </c:pt>
                <c:pt idx="15">
                  <c:v>0</c:v>
                </c:pt>
                <c:pt idx="16">
                  <c:v>0</c:v>
                </c:pt>
                <c:pt idx="17">
                  <c:v>1</c:v>
                </c:pt>
                <c:pt idx="18">
                  <c:v>1</c:v>
                </c:pt>
                <c:pt idx="19">
                  <c:v>1</c:v>
                </c:pt>
                <c:pt idx="20">
                  <c:v>1</c:v>
                </c:pt>
              </c:numCache>
            </c:numRef>
          </c:val>
        </c:ser>
        <c:marker val="1"/>
        <c:axId val="92937600"/>
        <c:axId val="92951680"/>
      </c:lineChart>
      <c:dateAx>
        <c:axId val="92937600"/>
        <c:scaling>
          <c:orientation val="minMax"/>
        </c:scaling>
        <c:axPos val="b"/>
        <c:numFmt formatCode="dd\-mmm\-yy" sourceLinked="1"/>
        <c:majorTickMark val="none"/>
        <c:tickLblPos val="nextTo"/>
        <c:txPr>
          <a:bodyPr rot="2700000"/>
          <a:lstStyle/>
          <a:p>
            <a:pPr>
              <a:defRPr/>
            </a:pPr>
            <a:endParaRPr lang="en-US"/>
          </a:p>
        </c:txPr>
        <c:crossAx val="92951680"/>
        <c:crosses val="autoZero"/>
        <c:auto val="1"/>
        <c:lblOffset val="100"/>
        <c:majorUnit val="7"/>
        <c:majorTimeUnit val="days"/>
      </c:dateAx>
      <c:valAx>
        <c:axId val="92951680"/>
        <c:scaling>
          <c:orientation val="minMax"/>
        </c:scaling>
        <c:axPos val="l"/>
        <c:majorGridlines>
          <c:spPr>
            <a:ln>
              <a:solidFill>
                <a:schemeClr val="bg1">
                  <a:lumMod val="85000"/>
                </a:schemeClr>
              </a:solidFill>
            </a:ln>
          </c:spPr>
        </c:majorGridlines>
        <c:title>
          <c:tx>
            <c:rich>
              <a:bodyPr/>
              <a:lstStyle/>
              <a:p>
                <a:pPr>
                  <a:defRPr/>
                </a:pPr>
                <a:r>
                  <a:rPr lang="en-US"/>
                  <a:t>Pending</a:t>
                </a:r>
              </a:p>
            </c:rich>
          </c:tx>
        </c:title>
        <c:numFmt formatCode="General" sourceLinked="1"/>
        <c:majorTickMark val="none"/>
        <c:tickLblPos val="nextTo"/>
        <c:crossAx val="92937600"/>
        <c:crosses val="autoZero"/>
        <c:crossBetween val="between"/>
      </c:valAx>
      <c:valAx>
        <c:axId val="92953600"/>
        <c:scaling>
          <c:orientation val="minMax"/>
        </c:scaling>
        <c:axPos val="r"/>
        <c:title>
          <c:tx>
            <c:rich>
              <a:bodyPr rot="-5400000" vert="horz"/>
              <a:lstStyle/>
              <a:p>
                <a:pPr>
                  <a:defRPr/>
                </a:pPr>
                <a:r>
                  <a:rPr lang="en-US"/>
                  <a:t>Validated</a:t>
                </a:r>
              </a:p>
            </c:rich>
          </c:tx>
        </c:title>
        <c:numFmt formatCode="General" sourceLinked="1"/>
        <c:tickLblPos val="nextTo"/>
        <c:crossAx val="92968064"/>
        <c:crosses val="max"/>
        <c:crossBetween val="between"/>
      </c:valAx>
      <c:dateAx>
        <c:axId val="92968064"/>
        <c:scaling>
          <c:orientation val="minMax"/>
        </c:scaling>
        <c:delete val="1"/>
        <c:axPos val="b"/>
        <c:numFmt formatCode="dd\-mmm\-yy" sourceLinked="1"/>
        <c:tickLblPos val="none"/>
        <c:crossAx val="92953600"/>
        <c:crosses val="autoZero"/>
        <c:auto val="1"/>
        <c:lblOffset val="100"/>
      </c:dateAx>
      <c:spPr>
        <a:solidFill>
          <a:schemeClr val="bg1">
            <a:lumMod val="95000"/>
          </a:schemeClr>
        </a:solidFill>
      </c:spPr>
    </c:plotArea>
    <c:legend>
      <c:legendPos val="r"/>
      <c:layout>
        <c:manualLayout>
          <c:xMode val="edge"/>
          <c:yMode val="edge"/>
          <c:x val="0.84286022282928963"/>
          <c:y val="0.26557013706620008"/>
          <c:w val="0.15502169371685681"/>
          <c:h val="0.42244787109944676"/>
        </c:manualLayout>
      </c:layout>
      <c:txPr>
        <a:bodyPr/>
        <a:lstStyle/>
        <a:p>
          <a:pPr>
            <a:defRPr sz="800"/>
          </a:pPr>
          <a:endParaRPr lang="en-US"/>
        </a:p>
      </c:txPr>
    </c:legend>
    <c:plotVisOnly val="1"/>
    <c:dispBlanksAs val="gap"/>
  </c:chart>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Issues</a:t>
            </a:r>
          </a:p>
        </c:rich>
      </c:tx>
    </c:title>
    <c:plotArea>
      <c:layout>
        <c:manualLayout>
          <c:layoutTarget val="inner"/>
          <c:xMode val="edge"/>
          <c:yMode val="edge"/>
          <c:x val="4.7992271799358444E-2"/>
          <c:y val="0.17218759113444151"/>
          <c:w val="0.71888990959463439"/>
          <c:h val="0.5904148439778355"/>
        </c:manualLayout>
      </c:layout>
      <c:barChart>
        <c:barDir val="col"/>
        <c:grouping val="stacked"/>
        <c:ser>
          <c:idx val="0"/>
          <c:order val="0"/>
          <c:tx>
            <c:strRef>
              <c:f>'RAID Summary'!$B$7</c:f>
              <c:strCache>
                <c:ptCount val="1"/>
                <c:pt idx="0">
                  <c:v>High Impact</c:v>
                </c:pt>
              </c:strCache>
            </c:strRef>
          </c:tx>
          <c:spPr>
            <a:ln w="19050" cmpd="sng"/>
          </c:spP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Summary'!$C$7:$BR$7</c:f>
              <c:numCache>
                <c:formatCode>General</c:formatCode>
                <c:ptCount val="21"/>
                <c:pt idx="0">
                  <c:v>17</c:v>
                </c:pt>
                <c:pt idx="1">
                  <c:v>15</c:v>
                </c:pt>
                <c:pt idx="2">
                  <c:v>15</c:v>
                </c:pt>
                <c:pt idx="3">
                  <c:v>13</c:v>
                </c:pt>
                <c:pt idx="4">
                  <c:v>13</c:v>
                </c:pt>
                <c:pt idx="5">
                  <c:v>16</c:v>
                </c:pt>
                <c:pt idx="6">
                  <c:v>15</c:v>
                </c:pt>
                <c:pt idx="7">
                  <c:v>15</c:v>
                </c:pt>
                <c:pt idx="8">
                  <c:v>15</c:v>
                </c:pt>
                <c:pt idx="9">
                  <c:v>13</c:v>
                </c:pt>
                <c:pt idx="10">
                  <c:v>14</c:v>
                </c:pt>
                <c:pt idx="11">
                  <c:v>14</c:v>
                </c:pt>
                <c:pt idx="12">
                  <c:v>14</c:v>
                </c:pt>
                <c:pt idx="13">
                  <c:v>9</c:v>
                </c:pt>
                <c:pt idx="14">
                  <c:v>11</c:v>
                </c:pt>
                <c:pt idx="15">
                  <c:v>11</c:v>
                </c:pt>
                <c:pt idx="16">
                  <c:v>12</c:v>
                </c:pt>
                <c:pt idx="17">
                  <c:v>12</c:v>
                </c:pt>
                <c:pt idx="18">
                  <c:v>12</c:v>
                </c:pt>
                <c:pt idx="19">
                  <c:v>11</c:v>
                </c:pt>
                <c:pt idx="20">
                  <c:v>11</c:v>
                </c:pt>
              </c:numCache>
            </c:numRef>
          </c:val>
        </c:ser>
        <c:ser>
          <c:idx val="2"/>
          <c:order val="2"/>
          <c:tx>
            <c:strRef>
              <c:f>'RAID Summary'!$B$9</c:f>
              <c:strCache>
                <c:ptCount val="1"/>
                <c:pt idx="0">
                  <c:v>Open</c:v>
                </c:pt>
              </c:strCache>
            </c:strRef>
          </c:tx>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Summary'!$C$9:$BR$9</c:f>
              <c:numCache>
                <c:formatCode>General</c:formatCode>
                <c:ptCount val="21"/>
                <c:pt idx="0">
                  <c:v>15</c:v>
                </c:pt>
                <c:pt idx="1">
                  <c:v>16</c:v>
                </c:pt>
                <c:pt idx="2">
                  <c:v>15</c:v>
                </c:pt>
                <c:pt idx="3">
                  <c:v>19</c:v>
                </c:pt>
                <c:pt idx="4">
                  <c:v>16</c:v>
                </c:pt>
                <c:pt idx="5">
                  <c:v>14</c:v>
                </c:pt>
                <c:pt idx="6">
                  <c:v>13</c:v>
                </c:pt>
                <c:pt idx="7">
                  <c:v>11</c:v>
                </c:pt>
                <c:pt idx="8">
                  <c:v>11</c:v>
                </c:pt>
                <c:pt idx="9">
                  <c:v>12</c:v>
                </c:pt>
                <c:pt idx="10">
                  <c:v>9</c:v>
                </c:pt>
                <c:pt idx="11">
                  <c:v>8</c:v>
                </c:pt>
                <c:pt idx="12">
                  <c:v>9</c:v>
                </c:pt>
                <c:pt idx="13">
                  <c:v>9</c:v>
                </c:pt>
                <c:pt idx="14">
                  <c:v>9</c:v>
                </c:pt>
                <c:pt idx="15">
                  <c:v>9</c:v>
                </c:pt>
                <c:pt idx="16">
                  <c:v>10</c:v>
                </c:pt>
                <c:pt idx="17">
                  <c:v>8</c:v>
                </c:pt>
                <c:pt idx="18">
                  <c:v>8</c:v>
                </c:pt>
                <c:pt idx="19">
                  <c:v>10</c:v>
                </c:pt>
                <c:pt idx="20">
                  <c:v>10</c:v>
                </c:pt>
              </c:numCache>
            </c:numRef>
          </c:val>
        </c:ser>
        <c:gapWidth val="55"/>
        <c:overlap val="100"/>
        <c:axId val="93072000"/>
        <c:axId val="93135232"/>
      </c:barChart>
      <c:lineChart>
        <c:grouping val="standard"/>
        <c:ser>
          <c:idx val="1"/>
          <c:order val="1"/>
          <c:tx>
            <c:strRef>
              <c:f>'RAID Summary'!$B$8</c:f>
              <c:strCache>
                <c:ptCount val="1"/>
                <c:pt idx="0">
                  <c:v>Past Due</c:v>
                </c:pt>
              </c:strCache>
            </c:strRef>
          </c:tx>
          <c:marker>
            <c:symbol val="none"/>
          </c:marker>
          <c:cat>
            <c:numRef>
              <c:f>'RAID Summary'!$C$1:$BR$1</c:f>
              <c:numCache>
                <c:formatCode>dd\-mmm\-yy</c:formatCode>
                <c:ptCount val="21"/>
                <c:pt idx="0">
                  <c:v>41096</c:v>
                </c:pt>
                <c:pt idx="1">
                  <c:v>41103</c:v>
                </c:pt>
                <c:pt idx="2">
                  <c:v>41110</c:v>
                </c:pt>
                <c:pt idx="3">
                  <c:v>41117</c:v>
                </c:pt>
                <c:pt idx="4">
                  <c:v>41124</c:v>
                </c:pt>
                <c:pt idx="5">
                  <c:v>41131</c:v>
                </c:pt>
                <c:pt idx="6">
                  <c:v>41138</c:v>
                </c:pt>
                <c:pt idx="7">
                  <c:v>41145</c:v>
                </c:pt>
                <c:pt idx="8">
                  <c:v>41152</c:v>
                </c:pt>
                <c:pt idx="9">
                  <c:v>41159</c:v>
                </c:pt>
                <c:pt idx="10">
                  <c:v>41166</c:v>
                </c:pt>
                <c:pt idx="11">
                  <c:v>41173</c:v>
                </c:pt>
                <c:pt idx="12">
                  <c:v>41180</c:v>
                </c:pt>
                <c:pt idx="13">
                  <c:v>41187</c:v>
                </c:pt>
                <c:pt idx="14">
                  <c:v>41194</c:v>
                </c:pt>
                <c:pt idx="15">
                  <c:v>41201</c:v>
                </c:pt>
                <c:pt idx="16">
                  <c:v>41208</c:v>
                </c:pt>
                <c:pt idx="17">
                  <c:v>41215</c:v>
                </c:pt>
                <c:pt idx="18">
                  <c:v>41222</c:v>
                </c:pt>
                <c:pt idx="19">
                  <c:v>41229</c:v>
                </c:pt>
                <c:pt idx="20">
                  <c:v>41236</c:v>
                </c:pt>
              </c:numCache>
            </c:numRef>
          </c:cat>
          <c:val>
            <c:numRef>
              <c:f>'RAID Summary'!$C$8:$BR$8</c:f>
              <c:numCache>
                <c:formatCode>General</c:formatCode>
                <c:ptCount val="21"/>
                <c:pt idx="0">
                  <c:v>6</c:v>
                </c:pt>
                <c:pt idx="1">
                  <c:v>9</c:v>
                </c:pt>
                <c:pt idx="2">
                  <c:v>8</c:v>
                </c:pt>
                <c:pt idx="3">
                  <c:v>12</c:v>
                </c:pt>
                <c:pt idx="4">
                  <c:v>16</c:v>
                </c:pt>
                <c:pt idx="5">
                  <c:v>12</c:v>
                </c:pt>
                <c:pt idx="6">
                  <c:v>8</c:v>
                </c:pt>
                <c:pt idx="7">
                  <c:v>9</c:v>
                </c:pt>
                <c:pt idx="8">
                  <c:v>9</c:v>
                </c:pt>
                <c:pt idx="9">
                  <c:v>11</c:v>
                </c:pt>
                <c:pt idx="10">
                  <c:v>7</c:v>
                </c:pt>
                <c:pt idx="11">
                  <c:v>6</c:v>
                </c:pt>
                <c:pt idx="12">
                  <c:v>9</c:v>
                </c:pt>
                <c:pt idx="13">
                  <c:v>7</c:v>
                </c:pt>
                <c:pt idx="14">
                  <c:v>7</c:v>
                </c:pt>
                <c:pt idx="15">
                  <c:v>5</c:v>
                </c:pt>
                <c:pt idx="16">
                  <c:v>4</c:v>
                </c:pt>
                <c:pt idx="17">
                  <c:v>9</c:v>
                </c:pt>
                <c:pt idx="18">
                  <c:v>4</c:v>
                </c:pt>
                <c:pt idx="19">
                  <c:v>5</c:v>
                </c:pt>
                <c:pt idx="20">
                  <c:v>5</c:v>
                </c:pt>
              </c:numCache>
            </c:numRef>
          </c:val>
        </c:ser>
        <c:marker val="1"/>
        <c:axId val="93072000"/>
        <c:axId val="93135232"/>
      </c:lineChart>
      <c:dateAx>
        <c:axId val="93072000"/>
        <c:scaling>
          <c:orientation val="minMax"/>
        </c:scaling>
        <c:axPos val="b"/>
        <c:numFmt formatCode="dd\-mmm\-yy" sourceLinked="1"/>
        <c:majorTickMark val="none"/>
        <c:tickLblPos val="nextTo"/>
        <c:txPr>
          <a:bodyPr rot="2700000"/>
          <a:lstStyle/>
          <a:p>
            <a:pPr>
              <a:defRPr/>
            </a:pPr>
            <a:endParaRPr lang="en-US"/>
          </a:p>
        </c:txPr>
        <c:crossAx val="93135232"/>
        <c:crosses val="autoZero"/>
        <c:auto val="1"/>
        <c:lblOffset val="100"/>
        <c:majorUnit val="7"/>
        <c:majorTimeUnit val="days"/>
      </c:dateAx>
      <c:valAx>
        <c:axId val="93135232"/>
        <c:scaling>
          <c:orientation val="minMax"/>
        </c:scaling>
        <c:axPos val="l"/>
        <c:majorGridlines>
          <c:spPr>
            <a:ln>
              <a:solidFill>
                <a:schemeClr val="bg1">
                  <a:lumMod val="85000"/>
                </a:schemeClr>
              </a:solidFill>
            </a:ln>
          </c:spPr>
        </c:majorGridlines>
        <c:numFmt formatCode="General" sourceLinked="1"/>
        <c:majorTickMark val="none"/>
        <c:tickLblPos val="nextTo"/>
        <c:crossAx val="93072000"/>
        <c:crosses val="autoZero"/>
        <c:crossBetween val="between"/>
      </c:valAx>
      <c:spPr>
        <a:solidFill>
          <a:schemeClr val="bg1">
            <a:lumMod val="95000"/>
          </a:schemeClr>
        </a:solidFill>
      </c:spPr>
    </c:plotArea>
    <c:legend>
      <c:legendPos val="r"/>
      <c:txPr>
        <a:bodyPr/>
        <a:lstStyle/>
        <a:p>
          <a:pPr>
            <a:defRPr sz="800"/>
          </a:pPr>
          <a:endParaRPr lang="en-US"/>
        </a:p>
      </c:txPr>
    </c:legend>
    <c:plotVisOnly val="1"/>
    <c:dispBlanksAs val="gap"/>
  </c:chart>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GB"/>
  <c:chart>
    <c:plotArea>
      <c:layout/>
      <c:lineChart>
        <c:grouping val="standard"/>
        <c:ser>
          <c:idx val="0"/>
          <c:order val="0"/>
          <c:tx>
            <c:strRef>
              <c:f>'Cross-Org'!$A$2</c:f>
              <c:strCache>
                <c:ptCount val="1"/>
                <c:pt idx="0">
                  <c:v>Decisions</c:v>
                </c:pt>
              </c:strCache>
            </c:strRef>
          </c:tx>
          <c:marker>
            <c:symbol val="none"/>
          </c:marker>
          <c:cat>
            <c:strRef>
              <c:f>'Cross-Org'!$B$1:$AS$1</c:f>
              <c:strCache>
                <c:ptCount val="44"/>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pt idx="42">
                  <c:v>09-Nov-12</c:v>
                </c:pt>
                <c:pt idx="43">
                  <c:v>16-Nov-12</c:v>
                </c:pt>
              </c:strCache>
            </c:strRef>
          </c:cat>
          <c:val>
            <c:numRef>
              <c:f>'Cross-Org'!$B$2:$AS$2</c:f>
              <c:numCache>
                <c:formatCode>General</c:formatCode>
                <c:ptCount val="44"/>
                <c:pt idx="0">
                  <c:v>14</c:v>
                </c:pt>
                <c:pt idx="1">
                  <c:v>161</c:v>
                </c:pt>
                <c:pt idx="2">
                  <c:v>182</c:v>
                </c:pt>
                <c:pt idx="3">
                  <c:v>183</c:v>
                </c:pt>
                <c:pt idx="4">
                  <c:v>174</c:v>
                </c:pt>
                <c:pt idx="5">
                  <c:v>179</c:v>
                </c:pt>
                <c:pt idx="6">
                  <c:v>179</c:v>
                </c:pt>
                <c:pt idx="7">
                  <c:v>194</c:v>
                </c:pt>
                <c:pt idx="8">
                  <c:v>191</c:v>
                </c:pt>
                <c:pt idx="9">
                  <c:v>176</c:v>
                </c:pt>
                <c:pt idx="10">
                  <c:v>178</c:v>
                </c:pt>
                <c:pt idx="11">
                  <c:v>178</c:v>
                </c:pt>
                <c:pt idx="12">
                  <c:v>179</c:v>
                </c:pt>
                <c:pt idx="13">
                  <c:v>178</c:v>
                </c:pt>
                <c:pt idx="14">
                  <c:v>177</c:v>
                </c:pt>
                <c:pt idx="15">
                  <c:v>172</c:v>
                </c:pt>
                <c:pt idx="16">
                  <c:v>172</c:v>
                </c:pt>
                <c:pt idx="17">
                  <c:v>135</c:v>
                </c:pt>
                <c:pt idx="18">
                  <c:v>145</c:v>
                </c:pt>
                <c:pt idx="19">
                  <c:v>149</c:v>
                </c:pt>
                <c:pt idx="20">
                  <c:v>143</c:v>
                </c:pt>
                <c:pt idx="21">
                  <c:v>144</c:v>
                </c:pt>
                <c:pt idx="22">
                  <c:v>137</c:v>
                </c:pt>
                <c:pt idx="23">
                  <c:v>134</c:v>
                </c:pt>
                <c:pt idx="24">
                  <c:v>140</c:v>
                </c:pt>
                <c:pt idx="25">
                  <c:v>142</c:v>
                </c:pt>
                <c:pt idx="26">
                  <c:v>143</c:v>
                </c:pt>
                <c:pt idx="27">
                  <c:v>146</c:v>
                </c:pt>
                <c:pt idx="28">
                  <c:v>149</c:v>
                </c:pt>
                <c:pt idx="29">
                  <c:v>152</c:v>
                </c:pt>
                <c:pt idx="30">
                  <c:v>154</c:v>
                </c:pt>
                <c:pt idx="31">
                  <c:v>154</c:v>
                </c:pt>
                <c:pt idx="32">
                  <c:v>154</c:v>
                </c:pt>
                <c:pt idx="33">
                  <c:v>172</c:v>
                </c:pt>
                <c:pt idx="34">
                  <c:v>173</c:v>
                </c:pt>
                <c:pt idx="35">
                  <c:v>175</c:v>
                </c:pt>
                <c:pt idx="36">
                  <c:v>175</c:v>
                </c:pt>
                <c:pt idx="37">
                  <c:v>176</c:v>
                </c:pt>
                <c:pt idx="38">
                  <c:v>176</c:v>
                </c:pt>
                <c:pt idx="39">
                  <c:v>177</c:v>
                </c:pt>
                <c:pt idx="40">
                  <c:v>177</c:v>
                </c:pt>
                <c:pt idx="41">
                  <c:v>177</c:v>
                </c:pt>
                <c:pt idx="42">
                  <c:v>177</c:v>
                </c:pt>
                <c:pt idx="43">
                  <c:v>177</c:v>
                </c:pt>
              </c:numCache>
            </c:numRef>
          </c:val>
        </c:ser>
        <c:ser>
          <c:idx val="1"/>
          <c:order val="1"/>
          <c:tx>
            <c:strRef>
              <c:f>'Cross-Org'!$A$3</c:f>
              <c:strCache>
                <c:ptCount val="1"/>
                <c:pt idx="0">
                  <c:v>Critical Assumptions</c:v>
                </c:pt>
              </c:strCache>
            </c:strRef>
          </c:tx>
          <c:marker>
            <c:symbol val="none"/>
          </c:marker>
          <c:cat>
            <c:strRef>
              <c:f>'Cross-Org'!$B$1:$AS$1</c:f>
              <c:strCache>
                <c:ptCount val="44"/>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pt idx="42">
                  <c:v>09-Nov-12</c:v>
                </c:pt>
                <c:pt idx="43">
                  <c:v>16-Nov-12</c:v>
                </c:pt>
              </c:strCache>
            </c:strRef>
          </c:cat>
          <c:val>
            <c:numRef>
              <c:f>'Cross-Org'!$B$3:$AS$3</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ser>
          <c:idx val="2"/>
          <c:order val="2"/>
          <c:tx>
            <c:strRef>
              <c:f>'Cross-Org'!$A$4</c:f>
              <c:strCache>
                <c:ptCount val="1"/>
                <c:pt idx="0">
                  <c:v>Critical Risks</c:v>
                </c:pt>
              </c:strCache>
            </c:strRef>
          </c:tx>
          <c:marker>
            <c:symbol val="none"/>
          </c:marker>
          <c:cat>
            <c:strRef>
              <c:f>'Cross-Org'!$B$1:$AS$1</c:f>
              <c:strCache>
                <c:ptCount val="44"/>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pt idx="42">
                  <c:v>09-Nov-12</c:v>
                </c:pt>
                <c:pt idx="43">
                  <c:v>16-Nov-12</c:v>
                </c:pt>
              </c:strCache>
            </c:strRef>
          </c:cat>
          <c:val>
            <c:numRef>
              <c:f>'Cross-Org'!$B$4:$AS$4</c:f>
              <c:numCache>
                <c:formatCode>General</c:formatCode>
                <c:ptCount val="44"/>
                <c:pt idx="0">
                  <c:v>15</c:v>
                </c:pt>
                <c:pt idx="1">
                  <c:v>14</c:v>
                </c:pt>
                <c:pt idx="2">
                  <c:v>14</c:v>
                </c:pt>
                <c:pt idx="3">
                  <c:v>16</c:v>
                </c:pt>
                <c:pt idx="4">
                  <c:v>16</c:v>
                </c:pt>
                <c:pt idx="5">
                  <c:v>21</c:v>
                </c:pt>
                <c:pt idx="6">
                  <c:v>28</c:v>
                </c:pt>
                <c:pt idx="7">
                  <c:v>16</c:v>
                </c:pt>
                <c:pt idx="8">
                  <c:v>16</c:v>
                </c:pt>
                <c:pt idx="9">
                  <c:v>15</c:v>
                </c:pt>
                <c:pt idx="10">
                  <c:v>17</c:v>
                </c:pt>
                <c:pt idx="11">
                  <c:v>20</c:v>
                </c:pt>
                <c:pt idx="12">
                  <c:v>20</c:v>
                </c:pt>
                <c:pt idx="13">
                  <c:v>19</c:v>
                </c:pt>
                <c:pt idx="14">
                  <c:v>22</c:v>
                </c:pt>
                <c:pt idx="15">
                  <c:v>21</c:v>
                </c:pt>
                <c:pt idx="16">
                  <c:v>20</c:v>
                </c:pt>
                <c:pt idx="17">
                  <c:v>11</c:v>
                </c:pt>
                <c:pt idx="18">
                  <c:v>11</c:v>
                </c:pt>
                <c:pt idx="19">
                  <c:v>11</c:v>
                </c:pt>
                <c:pt idx="20">
                  <c:v>11</c:v>
                </c:pt>
                <c:pt idx="21">
                  <c:v>11</c:v>
                </c:pt>
                <c:pt idx="22">
                  <c:v>11</c:v>
                </c:pt>
                <c:pt idx="23">
                  <c:v>11</c:v>
                </c:pt>
                <c:pt idx="24">
                  <c:v>10</c:v>
                </c:pt>
                <c:pt idx="25">
                  <c:v>11</c:v>
                </c:pt>
                <c:pt idx="26">
                  <c:v>11</c:v>
                </c:pt>
                <c:pt idx="27">
                  <c:v>11</c:v>
                </c:pt>
                <c:pt idx="28">
                  <c:v>12</c:v>
                </c:pt>
                <c:pt idx="29">
                  <c:v>11</c:v>
                </c:pt>
                <c:pt idx="30">
                  <c:v>12</c:v>
                </c:pt>
                <c:pt idx="31">
                  <c:v>12</c:v>
                </c:pt>
                <c:pt idx="32">
                  <c:v>12</c:v>
                </c:pt>
                <c:pt idx="33">
                  <c:v>10</c:v>
                </c:pt>
                <c:pt idx="34">
                  <c:v>11</c:v>
                </c:pt>
                <c:pt idx="35">
                  <c:v>11</c:v>
                </c:pt>
                <c:pt idx="36">
                  <c:v>10</c:v>
                </c:pt>
                <c:pt idx="37">
                  <c:v>10</c:v>
                </c:pt>
                <c:pt idx="38">
                  <c:v>9</c:v>
                </c:pt>
                <c:pt idx="39">
                  <c:v>7</c:v>
                </c:pt>
                <c:pt idx="40">
                  <c:v>7</c:v>
                </c:pt>
                <c:pt idx="41">
                  <c:v>6</c:v>
                </c:pt>
                <c:pt idx="42">
                  <c:v>5</c:v>
                </c:pt>
                <c:pt idx="43">
                  <c:v>5</c:v>
                </c:pt>
              </c:numCache>
            </c:numRef>
          </c:val>
        </c:ser>
        <c:ser>
          <c:idx val="3"/>
          <c:order val="3"/>
          <c:tx>
            <c:strRef>
              <c:f>'Cross-Org'!$A$5</c:f>
              <c:strCache>
                <c:ptCount val="1"/>
                <c:pt idx="0">
                  <c:v>Assumptions (Total)</c:v>
                </c:pt>
              </c:strCache>
            </c:strRef>
          </c:tx>
          <c:marker>
            <c:symbol val="none"/>
          </c:marker>
          <c:cat>
            <c:strRef>
              <c:f>'Cross-Org'!$B$1:$AS$1</c:f>
              <c:strCache>
                <c:ptCount val="44"/>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pt idx="42">
                  <c:v>09-Nov-12</c:v>
                </c:pt>
                <c:pt idx="43">
                  <c:v>16-Nov-12</c:v>
                </c:pt>
              </c:strCache>
            </c:strRef>
          </c:cat>
          <c:val>
            <c:numRef>
              <c:f>'Cross-Org'!$B$5:$AS$5</c:f>
              <c:numCache>
                <c:formatCode>General</c:formatCode>
                <c:ptCount val="44"/>
                <c:pt idx="0">
                  <c:v>71</c:v>
                </c:pt>
                <c:pt idx="1">
                  <c:v>68</c:v>
                </c:pt>
                <c:pt idx="2">
                  <c:v>69</c:v>
                </c:pt>
                <c:pt idx="3">
                  <c:v>69</c:v>
                </c:pt>
                <c:pt idx="4">
                  <c:v>69</c:v>
                </c:pt>
                <c:pt idx="5">
                  <c:v>63</c:v>
                </c:pt>
                <c:pt idx="6">
                  <c:v>63</c:v>
                </c:pt>
                <c:pt idx="7">
                  <c:v>63</c:v>
                </c:pt>
                <c:pt idx="8">
                  <c:v>62</c:v>
                </c:pt>
                <c:pt idx="9">
                  <c:v>54</c:v>
                </c:pt>
                <c:pt idx="10">
                  <c:v>54</c:v>
                </c:pt>
                <c:pt idx="11">
                  <c:v>99</c:v>
                </c:pt>
                <c:pt idx="12">
                  <c:v>102</c:v>
                </c:pt>
                <c:pt idx="13">
                  <c:v>103</c:v>
                </c:pt>
                <c:pt idx="14">
                  <c:v>103</c:v>
                </c:pt>
                <c:pt idx="15">
                  <c:v>100</c:v>
                </c:pt>
                <c:pt idx="16">
                  <c:v>103</c:v>
                </c:pt>
                <c:pt idx="17">
                  <c:v>92</c:v>
                </c:pt>
                <c:pt idx="18">
                  <c:v>92</c:v>
                </c:pt>
                <c:pt idx="19">
                  <c:v>93</c:v>
                </c:pt>
                <c:pt idx="20">
                  <c:v>93</c:v>
                </c:pt>
                <c:pt idx="21">
                  <c:v>93</c:v>
                </c:pt>
                <c:pt idx="22">
                  <c:v>93</c:v>
                </c:pt>
                <c:pt idx="23">
                  <c:v>93</c:v>
                </c:pt>
                <c:pt idx="24">
                  <c:v>83</c:v>
                </c:pt>
                <c:pt idx="25">
                  <c:v>83</c:v>
                </c:pt>
                <c:pt idx="26">
                  <c:v>85</c:v>
                </c:pt>
                <c:pt idx="27">
                  <c:v>86</c:v>
                </c:pt>
                <c:pt idx="28">
                  <c:v>86</c:v>
                </c:pt>
                <c:pt idx="29">
                  <c:v>86</c:v>
                </c:pt>
                <c:pt idx="30">
                  <c:v>88</c:v>
                </c:pt>
                <c:pt idx="31">
                  <c:v>88</c:v>
                </c:pt>
                <c:pt idx="32">
                  <c:v>88</c:v>
                </c:pt>
                <c:pt idx="33">
                  <c:v>90</c:v>
                </c:pt>
                <c:pt idx="34">
                  <c:v>90</c:v>
                </c:pt>
                <c:pt idx="35">
                  <c:v>90</c:v>
                </c:pt>
                <c:pt idx="36">
                  <c:v>90</c:v>
                </c:pt>
                <c:pt idx="37">
                  <c:v>90</c:v>
                </c:pt>
                <c:pt idx="38">
                  <c:v>90</c:v>
                </c:pt>
                <c:pt idx="39">
                  <c:v>90</c:v>
                </c:pt>
                <c:pt idx="40">
                  <c:v>90</c:v>
                </c:pt>
                <c:pt idx="41">
                  <c:v>90</c:v>
                </c:pt>
                <c:pt idx="42">
                  <c:v>90</c:v>
                </c:pt>
                <c:pt idx="43">
                  <c:v>90</c:v>
                </c:pt>
              </c:numCache>
            </c:numRef>
          </c:val>
        </c:ser>
        <c:ser>
          <c:idx val="4"/>
          <c:order val="4"/>
          <c:tx>
            <c:strRef>
              <c:f>'Cross-Org'!$A$6</c:f>
              <c:strCache>
                <c:ptCount val="1"/>
                <c:pt idx="0">
                  <c:v>Issues (Total)</c:v>
                </c:pt>
              </c:strCache>
            </c:strRef>
          </c:tx>
          <c:marker>
            <c:symbol val="none"/>
          </c:marker>
          <c:cat>
            <c:strRef>
              <c:f>'Cross-Org'!$B$1:$AS$1</c:f>
              <c:strCache>
                <c:ptCount val="44"/>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pt idx="42">
                  <c:v>09-Nov-12</c:v>
                </c:pt>
                <c:pt idx="43">
                  <c:v>16-Nov-12</c:v>
                </c:pt>
              </c:strCache>
            </c:strRef>
          </c:cat>
          <c:val>
            <c:numRef>
              <c:f>'Cross-Org'!$B$6:$AS$6</c:f>
              <c:numCache>
                <c:formatCode>General</c:formatCode>
                <c:ptCount val="44"/>
                <c:pt idx="0">
                  <c:v>30</c:v>
                </c:pt>
                <c:pt idx="1">
                  <c:v>45</c:v>
                </c:pt>
                <c:pt idx="2">
                  <c:v>48</c:v>
                </c:pt>
                <c:pt idx="3">
                  <c:v>52</c:v>
                </c:pt>
                <c:pt idx="4">
                  <c:v>43</c:v>
                </c:pt>
                <c:pt idx="5">
                  <c:v>49</c:v>
                </c:pt>
                <c:pt idx="6">
                  <c:v>51</c:v>
                </c:pt>
                <c:pt idx="7">
                  <c:v>53</c:v>
                </c:pt>
                <c:pt idx="8">
                  <c:v>42</c:v>
                </c:pt>
                <c:pt idx="9">
                  <c:v>37</c:v>
                </c:pt>
                <c:pt idx="10">
                  <c:v>33</c:v>
                </c:pt>
                <c:pt idx="11">
                  <c:v>30</c:v>
                </c:pt>
                <c:pt idx="12">
                  <c:v>30</c:v>
                </c:pt>
                <c:pt idx="13">
                  <c:v>24</c:v>
                </c:pt>
                <c:pt idx="14">
                  <c:v>27</c:v>
                </c:pt>
                <c:pt idx="15">
                  <c:v>35</c:v>
                </c:pt>
                <c:pt idx="16">
                  <c:v>37</c:v>
                </c:pt>
                <c:pt idx="17">
                  <c:v>35</c:v>
                </c:pt>
                <c:pt idx="18">
                  <c:v>33</c:v>
                </c:pt>
                <c:pt idx="19">
                  <c:v>32</c:v>
                </c:pt>
                <c:pt idx="20">
                  <c:v>26</c:v>
                </c:pt>
                <c:pt idx="21">
                  <c:v>28</c:v>
                </c:pt>
                <c:pt idx="22">
                  <c:v>27</c:v>
                </c:pt>
                <c:pt idx="23">
                  <c:v>33</c:v>
                </c:pt>
                <c:pt idx="24">
                  <c:v>32</c:v>
                </c:pt>
                <c:pt idx="25">
                  <c:v>31</c:v>
                </c:pt>
                <c:pt idx="26">
                  <c:v>29</c:v>
                </c:pt>
                <c:pt idx="27">
                  <c:v>33</c:v>
                </c:pt>
                <c:pt idx="28">
                  <c:v>29</c:v>
                </c:pt>
                <c:pt idx="29">
                  <c:v>31</c:v>
                </c:pt>
                <c:pt idx="30">
                  <c:v>28</c:v>
                </c:pt>
                <c:pt idx="31">
                  <c:v>26</c:v>
                </c:pt>
                <c:pt idx="32">
                  <c:v>26</c:v>
                </c:pt>
                <c:pt idx="33">
                  <c:v>25</c:v>
                </c:pt>
                <c:pt idx="34">
                  <c:v>23</c:v>
                </c:pt>
                <c:pt idx="35">
                  <c:v>22</c:v>
                </c:pt>
                <c:pt idx="36">
                  <c:v>23</c:v>
                </c:pt>
                <c:pt idx="37">
                  <c:v>18</c:v>
                </c:pt>
                <c:pt idx="38">
                  <c:v>20</c:v>
                </c:pt>
                <c:pt idx="39">
                  <c:v>20</c:v>
                </c:pt>
                <c:pt idx="40">
                  <c:v>22</c:v>
                </c:pt>
                <c:pt idx="41">
                  <c:v>20</c:v>
                </c:pt>
                <c:pt idx="42">
                  <c:v>20</c:v>
                </c:pt>
                <c:pt idx="43">
                  <c:v>22</c:v>
                </c:pt>
              </c:numCache>
            </c:numRef>
          </c:val>
        </c:ser>
        <c:ser>
          <c:idx val="5"/>
          <c:order val="5"/>
          <c:tx>
            <c:strRef>
              <c:f>'Cross-Org'!$A$7</c:f>
              <c:strCache>
                <c:ptCount val="1"/>
                <c:pt idx="0">
                  <c:v>Risks (Total)</c:v>
                </c:pt>
              </c:strCache>
            </c:strRef>
          </c:tx>
          <c:marker>
            <c:symbol val="none"/>
          </c:marker>
          <c:cat>
            <c:strRef>
              <c:f>'Cross-Org'!$B$1:$AS$1</c:f>
              <c:strCache>
                <c:ptCount val="44"/>
                <c:pt idx="0">
                  <c:v>Wk 31-Oct</c:v>
                </c:pt>
                <c:pt idx="1">
                  <c:v>25-Jan-12</c:v>
                </c:pt>
                <c:pt idx="2">
                  <c:v>03-Feb-12</c:v>
                </c:pt>
                <c:pt idx="3">
                  <c:v>10-Feb-12</c:v>
                </c:pt>
                <c:pt idx="4">
                  <c:v>17-Feb-12</c:v>
                </c:pt>
                <c:pt idx="5">
                  <c:v>24-Feb-12</c:v>
                </c:pt>
                <c:pt idx="6">
                  <c:v>02-Mar-12</c:v>
                </c:pt>
                <c:pt idx="7">
                  <c:v>09-Mar-12</c:v>
                </c:pt>
                <c:pt idx="8">
                  <c:v>16-Mar-12</c:v>
                </c:pt>
                <c:pt idx="9">
                  <c:v>23-Mar-12</c:v>
                </c:pt>
                <c:pt idx="10">
                  <c:v>30-Mar-12</c:v>
                </c:pt>
                <c:pt idx="11">
                  <c:v>06-Apr-12</c:v>
                </c:pt>
                <c:pt idx="12">
                  <c:v>13-Apr-12</c:v>
                </c:pt>
                <c:pt idx="13">
                  <c:v>20-Apr-12</c:v>
                </c:pt>
                <c:pt idx="14">
                  <c:v>27-Apr-12</c:v>
                </c:pt>
                <c:pt idx="15">
                  <c:v>04-May-12</c:v>
                </c:pt>
                <c:pt idx="16">
                  <c:v>11-May-12</c:v>
                </c:pt>
                <c:pt idx="17">
                  <c:v>18-May-12</c:v>
                </c:pt>
                <c:pt idx="18">
                  <c:v>25-May-12</c:v>
                </c:pt>
                <c:pt idx="19">
                  <c:v>01-Jun-12</c:v>
                </c:pt>
                <c:pt idx="20">
                  <c:v>08-Jun-12</c:v>
                </c:pt>
                <c:pt idx="21">
                  <c:v>15-Jun-12</c:v>
                </c:pt>
                <c:pt idx="22">
                  <c:v>22-Jun-12</c:v>
                </c:pt>
                <c:pt idx="23">
                  <c:v>29-Jun-12</c:v>
                </c:pt>
                <c:pt idx="24">
                  <c:v>06-Jul-12</c:v>
                </c:pt>
                <c:pt idx="25">
                  <c:v>13-Jul-12</c:v>
                </c:pt>
                <c:pt idx="26">
                  <c:v>20-Jul-12</c:v>
                </c:pt>
                <c:pt idx="27">
                  <c:v>27-Jul-12</c:v>
                </c:pt>
                <c:pt idx="28">
                  <c:v>03-Aug-12</c:v>
                </c:pt>
                <c:pt idx="29">
                  <c:v>10-Aug-12</c:v>
                </c:pt>
                <c:pt idx="30">
                  <c:v>17-Aug-12</c:v>
                </c:pt>
                <c:pt idx="31">
                  <c:v>24-Aug-12</c:v>
                </c:pt>
                <c:pt idx="32">
                  <c:v>31-Aug-12</c:v>
                </c:pt>
                <c:pt idx="33">
                  <c:v>07-Sep-12</c:v>
                </c:pt>
                <c:pt idx="34">
                  <c:v>14-Sep-12</c:v>
                </c:pt>
                <c:pt idx="35">
                  <c:v>21-Sep-12</c:v>
                </c:pt>
                <c:pt idx="36">
                  <c:v>28-Sep-12</c:v>
                </c:pt>
                <c:pt idx="37">
                  <c:v>05-Oct-12</c:v>
                </c:pt>
                <c:pt idx="38">
                  <c:v>12-Oct-12</c:v>
                </c:pt>
                <c:pt idx="39">
                  <c:v>19-Oct-12</c:v>
                </c:pt>
                <c:pt idx="40">
                  <c:v>26-Oct-12</c:v>
                </c:pt>
                <c:pt idx="41">
                  <c:v>02-Nov-12</c:v>
                </c:pt>
                <c:pt idx="42">
                  <c:v>09-Nov-12</c:v>
                </c:pt>
                <c:pt idx="43">
                  <c:v>16-Nov-12</c:v>
                </c:pt>
              </c:strCache>
            </c:strRef>
          </c:cat>
          <c:val>
            <c:numRef>
              <c:f>'Cross-Org'!$B$7:$AS$7</c:f>
              <c:numCache>
                <c:formatCode>General</c:formatCode>
                <c:ptCount val="44"/>
                <c:pt idx="0">
                  <c:v>36</c:v>
                </c:pt>
                <c:pt idx="1">
                  <c:v>32</c:v>
                </c:pt>
                <c:pt idx="2">
                  <c:v>32</c:v>
                </c:pt>
                <c:pt idx="3">
                  <c:v>30</c:v>
                </c:pt>
                <c:pt idx="4">
                  <c:v>30</c:v>
                </c:pt>
                <c:pt idx="5">
                  <c:v>32</c:v>
                </c:pt>
                <c:pt idx="6">
                  <c:v>39</c:v>
                </c:pt>
                <c:pt idx="7">
                  <c:v>37</c:v>
                </c:pt>
                <c:pt idx="8">
                  <c:v>32</c:v>
                </c:pt>
                <c:pt idx="9">
                  <c:v>35</c:v>
                </c:pt>
                <c:pt idx="10">
                  <c:v>35</c:v>
                </c:pt>
                <c:pt idx="11">
                  <c:v>35</c:v>
                </c:pt>
                <c:pt idx="12">
                  <c:v>37</c:v>
                </c:pt>
                <c:pt idx="13">
                  <c:v>37</c:v>
                </c:pt>
                <c:pt idx="14">
                  <c:v>41</c:v>
                </c:pt>
                <c:pt idx="15">
                  <c:v>37</c:v>
                </c:pt>
                <c:pt idx="16">
                  <c:v>36</c:v>
                </c:pt>
                <c:pt idx="17">
                  <c:v>34</c:v>
                </c:pt>
                <c:pt idx="18">
                  <c:v>34</c:v>
                </c:pt>
                <c:pt idx="19">
                  <c:v>33</c:v>
                </c:pt>
                <c:pt idx="20">
                  <c:v>34</c:v>
                </c:pt>
                <c:pt idx="21">
                  <c:v>36</c:v>
                </c:pt>
                <c:pt idx="22">
                  <c:v>34</c:v>
                </c:pt>
                <c:pt idx="23">
                  <c:v>35</c:v>
                </c:pt>
                <c:pt idx="24">
                  <c:v>34</c:v>
                </c:pt>
                <c:pt idx="25">
                  <c:v>36</c:v>
                </c:pt>
                <c:pt idx="26">
                  <c:v>36</c:v>
                </c:pt>
                <c:pt idx="27">
                  <c:v>44</c:v>
                </c:pt>
                <c:pt idx="28">
                  <c:v>40</c:v>
                </c:pt>
                <c:pt idx="29">
                  <c:v>38</c:v>
                </c:pt>
                <c:pt idx="30">
                  <c:v>39</c:v>
                </c:pt>
                <c:pt idx="31">
                  <c:v>43</c:v>
                </c:pt>
                <c:pt idx="32">
                  <c:v>43</c:v>
                </c:pt>
                <c:pt idx="33">
                  <c:v>41</c:v>
                </c:pt>
                <c:pt idx="34">
                  <c:v>42</c:v>
                </c:pt>
                <c:pt idx="35">
                  <c:v>44</c:v>
                </c:pt>
                <c:pt idx="36">
                  <c:v>44</c:v>
                </c:pt>
                <c:pt idx="37">
                  <c:v>46</c:v>
                </c:pt>
                <c:pt idx="38">
                  <c:v>48</c:v>
                </c:pt>
                <c:pt idx="39">
                  <c:v>43</c:v>
                </c:pt>
                <c:pt idx="40">
                  <c:v>46</c:v>
                </c:pt>
                <c:pt idx="41">
                  <c:v>44</c:v>
                </c:pt>
                <c:pt idx="42">
                  <c:v>41</c:v>
                </c:pt>
                <c:pt idx="43">
                  <c:v>39</c:v>
                </c:pt>
              </c:numCache>
            </c:numRef>
          </c:val>
        </c:ser>
        <c:marker val="1"/>
        <c:axId val="93269376"/>
        <c:axId val="93275264"/>
      </c:lineChart>
      <c:catAx>
        <c:axId val="93269376"/>
        <c:scaling>
          <c:orientation val="minMax"/>
        </c:scaling>
        <c:axPos val="b"/>
        <c:tickLblPos val="nextTo"/>
        <c:crossAx val="93275264"/>
        <c:crosses val="autoZero"/>
        <c:auto val="1"/>
        <c:lblAlgn val="ctr"/>
        <c:lblOffset val="100"/>
      </c:catAx>
      <c:valAx>
        <c:axId val="93275264"/>
        <c:scaling>
          <c:orientation val="minMax"/>
        </c:scaling>
        <c:axPos val="l"/>
        <c:majorGridlines/>
        <c:numFmt formatCode="General" sourceLinked="1"/>
        <c:tickLblPos val="nextTo"/>
        <c:crossAx val="93269376"/>
        <c:crosses val="autoZero"/>
        <c:crossBetween val="between"/>
      </c:valAx>
    </c:plotArea>
    <c:legend>
      <c:legendPos val="r"/>
    </c:legend>
    <c:plotVisOnly val="1"/>
  </c:chart>
  <c:printSettings>
    <c:headerFooter/>
    <c:pageMargins b="0.7500000000000081" l="0.70000000000000062" r="0.70000000000000062" t="0.7500000000000081"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161925</xdr:colOff>
      <xdr:row>20</xdr:row>
      <xdr:rowOff>85725</xdr:rowOff>
    </xdr:from>
    <xdr:to>
      <xdr:col>1</xdr:col>
      <xdr:colOff>2085974</xdr:colOff>
      <xdr:row>42</xdr:row>
      <xdr:rowOff>57149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209551</xdr:colOff>
      <xdr:row>18</xdr:row>
      <xdr:rowOff>28575</xdr:rowOff>
    </xdr:from>
    <xdr:to>
      <xdr:col>64</xdr:col>
      <xdr:colOff>257176</xdr:colOff>
      <xdr:row>34</xdr:row>
      <xdr:rowOff>104775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65</xdr:col>
      <xdr:colOff>297655</xdr:colOff>
      <xdr:row>36</xdr:row>
      <xdr:rowOff>90487</xdr:rowOff>
    </xdr:from>
    <xdr:to>
      <xdr:col>78</xdr:col>
      <xdr:colOff>369093</xdr:colOff>
      <xdr:row>53</xdr:row>
      <xdr:rowOff>-1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65</xdr:col>
      <xdr:colOff>285750</xdr:colOff>
      <xdr:row>18</xdr:row>
      <xdr:rowOff>28575</xdr:rowOff>
    </xdr:from>
    <xdr:to>
      <xdr:col>78</xdr:col>
      <xdr:colOff>357188</xdr:colOff>
      <xdr:row>34</xdr:row>
      <xdr:rowOff>104775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180976</xdr:colOff>
      <xdr:row>36</xdr:row>
      <xdr:rowOff>95250</xdr:rowOff>
    </xdr:from>
    <xdr:to>
      <xdr:col>64</xdr:col>
      <xdr:colOff>228601</xdr:colOff>
      <xdr:row>53</xdr:row>
      <xdr:rowOff>4762</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400050</xdr:colOff>
      <xdr:row>11</xdr:row>
      <xdr:rowOff>0</xdr:rowOff>
    </xdr:from>
    <xdr:to>
      <xdr:col>17</xdr:col>
      <xdr:colOff>342900</xdr:colOff>
      <xdr:row>33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Laura Murphy" refreshedDate="41234.363079629627" createdVersion="3" refreshedVersion="3" minRefreshableVersion="3" recordCount="39">
  <cacheSource type="worksheet">
    <worksheetSource name="Table1[#All]"/>
  </cacheSource>
  <cacheFields count="12">
    <cacheField name="ID" numFmtId="0">
      <sharedItems containsSemiMixedTypes="0" containsString="0" containsNumber="1" containsInteger="1" minValue="19" maxValue="356" count="40">
        <n v="21"/>
        <n v="22"/>
        <n v="23"/>
        <n v="206"/>
        <n v="301"/>
        <n v="74"/>
        <n v="76"/>
        <n v="78"/>
        <n v="181"/>
        <n v="32"/>
        <n v="208"/>
        <n v="211"/>
        <n v="212"/>
        <n v="251"/>
        <n v="252"/>
        <n v="253"/>
        <n v="254"/>
        <n v="288"/>
        <n v="356"/>
        <n v="19"/>
        <n v="27"/>
        <n v="34"/>
        <n v="36"/>
        <n v="144"/>
        <n v="213"/>
        <n v="222"/>
        <n v="259"/>
        <n v="279"/>
        <n v="286"/>
        <n v="287"/>
        <n v="311"/>
        <n v="329"/>
        <n v="139"/>
        <n v="242"/>
        <n v="336"/>
        <n v="47"/>
        <n v="109"/>
        <n v="142"/>
        <n v="318"/>
        <n v="324" u="1"/>
      </sharedItems>
    </cacheField>
    <cacheField name="Workstream" numFmtId="0">
      <sharedItems count="7">
        <s v="IAM"/>
        <s v="LNDR"/>
        <s v="Lync"/>
        <s v="M&amp;C Program"/>
        <s v="Outlook/Exchange"/>
        <s v="SharePoint"/>
        <s v="Transition"/>
      </sharedItems>
    </cacheField>
    <cacheField name="Assigned To" numFmtId="0">
      <sharedItems count="19">
        <s v="Ted Balfour"/>
        <s v="Christian Driver"/>
        <s v="Stephen McCartney"/>
        <s v="Neil Sahdev"/>
        <s v="David Bingham"/>
        <s v="Geoff Thompson"/>
        <s v="Rachel Phillips"/>
        <s v="Gavin Bell"/>
        <s v="Anthony Firmin"/>
        <s v="Paul Thomas"/>
        <s v="Alexa Briggs"/>
        <s v="Charles Sclater"/>
        <s v="Rewa Bouji"/>
        <s v="Shaun Bradley"/>
        <s v="Dave Fraser"/>
        <s v="Sherry Martin"/>
        <s v="Andy Ioannou"/>
        <s v="Nick Coburn"/>
        <s v="Ian.McGeachie" u="1"/>
      </sharedItems>
    </cacheField>
    <cacheField name="Profile" numFmtId="0">
      <sharedItems/>
    </cacheField>
    <cacheField name="Priority" numFmtId="0">
      <sharedItems containsSemiMixedTypes="0" containsString="0" containsNumber="1" containsInteger="1" minValue="0" maxValue="9" count="6">
        <n v="9"/>
        <n v="6"/>
        <n v="2"/>
        <n v="4"/>
        <n v="0"/>
        <n v="3"/>
      </sharedItems>
    </cacheField>
    <cacheField name="Title" numFmtId="0">
      <sharedItems count="41">
        <s v="Application Remediation"/>
        <s v="AD Remediation - Complete the attribute cleansing"/>
        <s v="ID SYNC - AD Attribute population &amp; Standardazation.  "/>
        <s v="Onshore Notes developers are not secured for the duration of the plan."/>
        <s v="Later than planned deployment of EYAA may reduce number of deactivations in FY13"/>
        <s v="Inter-operability of Lync and existing softphones"/>
        <s v="Parallel phases and programs may cause resource issues"/>
        <s v="Offices' bandwidths may not support all Lync functionality"/>
        <s v="Lync Performance Testing Approach Unresolved"/>
        <s v="Mechanisms for creating, storing and reusing components and other assets do not exist"/>
        <s v="Test schedule does not allow for effective Integration Testing between O/E &amp; Lync"/>
        <s v="Lack of a consolidated deployment strategy for Lync &amp; OE"/>
        <s v="Delivery compromised through poor resource management"/>
        <s v="Business Case - M&amp;C Support Organization resources"/>
        <s v="Business Case  - Existing Domino Storage &amp; Hosting Costs"/>
        <s v="Business Case - Migration/transformation of Lotus Notes applications"/>
        <s v="Business Case - alignment with current scope and timelines"/>
        <s v="It is not known how programs which are targeting FY13 release to users will be prioritised in deployment windows or how I&amp;O are required to prioritise deployments given limited resources"/>
        <s v="No nominated one point of contact for Active directory for the programme"/>
        <s v="Delays in confirming deployment velocity"/>
        <s v="There is a risk that end user experience will be impacted if Exchange deploys prior to, or at the same time as, Lync"/>
        <s v="There is a risk that we cannot determine the total duration of Outlook migrations or the impact on the FY13 budget and effort required from program and I&amp;O resource, nor ability to confirm that we can complete the migrations to O365 in the required 34 wks"/>
        <s v="Unconfirmed how 3-way lookup will work across O365, on-prem and LN."/>
        <s v="Dependency on JD&amp;A for application readiness in preparation for rollout/deployment to Pilot countries"/>
        <s v="Commitment for O365 and On-premises services to be consistent gives rise to cost impact for upgrading on-premises infrastructure and undertaking further on-premises migrations when O365 moves to Exchange 2013. This is not budgeted for in FY13."/>
        <s v="Risk the build of On-Prem countries in scope of DCC will slip (china and austraila)"/>
        <s v="Outlook/Exchange Delivery will proceed without the 8 &quot;TBC&quot; countries being included in scope"/>
        <s v="MSP Vendor Business case could be eroded if further on prem countries cannot be supported offshore"/>
        <s v="Approval/Budget for all Cross Org Application Remediation"/>
        <s v="There is a risk that program delivery milestones will be impacted by resource availability constraints over the Christmas period"/>
        <s v="Risk hardware ordered for on prem countries prior to country buy-in and design being proved will be incorrect and further duplicate spend needed for implementation"/>
        <s v="Countries not aware of the financial or operational impact of going On-Prem, so risk they won’t order required hardware on time"/>
        <s v="SP15 Key Delivery Dates"/>
        <s v="Risk that will not deliver extranet capability in SP in time per business need"/>
        <s v="Beta Pilot Deploment Schedule at Risk, concern regarding risks to &quot;happy path&quot; deployment schedule"/>
        <s v="Complex deployment of Outlook and SharePoint"/>
        <s v="Cross programme release management"/>
        <s v="The current I&amp;O Change Management process does not support the planed rollout velocity for Lync and Outlook."/>
        <s v="I/O may not sign off deployment plan without IT Services as early adopters"/>
        <s v="UAT may not cover end-to-end business scenarios including processes, policies and integrated apps" u="1"/>
        <s v="Beta Pilot Deploment Schedule at Risk" u="1"/>
      </sharedItems>
    </cacheField>
    <cacheField name="Trigger_Date" numFmtId="0">
      <sharedItems/>
    </cacheField>
    <cacheField name="Countdown" numFmtId="0">
      <sharedItems containsSemiMixedTypes="0" containsString="0" containsNumber="1" containsInteger="1" minValue="-41" maxValue="166" count="32">
        <n v="5"/>
        <n v="-41"/>
        <n v="9"/>
        <n v="16"/>
        <n v="41"/>
        <n v="40"/>
        <n v="161"/>
        <n v="-14"/>
        <n v="22"/>
        <n v="-2"/>
        <n v="4"/>
        <n v="-5"/>
        <n v="2"/>
        <n v="37"/>
        <n v="-21"/>
        <n v="10"/>
        <n v="86"/>
        <n v="0" u="1"/>
        <n v="13" u="1"/>
        <n v="14" u="1"/>
        <n v="42" u="1"/>
        <n v="91" u="1"/>
        <n v="15" u="1"/>
        <n v="-9" u="1"/>
        <n v="46" u="1"/>
        <n v="7" u="1"/>
        <n v="21" u="1"/>
        <n v="3" u="1"/>
        <n v="-36" u="1"/>
        <n v="45" u="1"/>
        <n v="166" u="1"/>
        <n v="-16" u="1"/>
      </sharedItems>
    </cacheField>
    <cacheField name="Days Open" numFmtId="0">
      <sharedItems containsSemiMixedTypes="0" containsString="0" containsNumber="1" containsInteger="1" minValue="0" maxValue="274"/>
    </cacheField>
    <cacheField name="Update Log" numFmtId="0">
      <sharedItems containsBlank="1" longText="1"/>
    </cacheField>
    <cacheField name="PMO Check" numFmtId="0">
      <sharedItems containsBlank="1"/>
    </cacheField>
    <cacheField name="URL" numFmtId="0">
      <sharedItems count="1">
        <s v="http://sp.ey.net/msibm/Lists/Program%20Risks%20%20TEST/DispForm.aspx?ID=&amp;RootFolder=*"/>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Laura Murphy" refreshedDate="41234.363265972221" createdVersion="3" refreshedVersion="3" minRefreshableVersion="3" recordCount="21">
  <cacheSource type="worksheet">
    <worksheetSource name="Table2[#All]"/>
  </cacheSource>
  <cacheFields count="12">
    <cacheField name="ID" numFmtId="0">
      <sharedItems containsSemiMixedTypes="0" containsString="0" containsNumber="1" containsInteger="1" minValue="18" maxValue="202" count="22">
        <n v="18"/>
        <n v="98"/>
        <n v="190"/>
        <n v="26"/>
        <n v="116"/>
        <n v="150"/>
        <n v="33"/>
        <n v="75"/>
        <n v="84"/>
        <n v="96"/>
        <n v="118"/>
        <n v="154"/>
        <n v="182"/>
        <n v="187"/>
        <n v="193"/>
        <n v="194"/>
        <n v="199"/>
        <n v="37"/>
        <n v="202"/>
        <n v="24"/>
        <n v="71"/>
        <n v="198" u="1"/>
      </sharedItems>
    </cacheField>
    <cacheField name="Workstream" numFmtId="0">
      <sharedItems count="7">
        <s v="IAM"/>
        <s v="LNDR"/>
        <s v="Lync"/>
        <s v="M&amp;C Program"/>
        <s v="Outlook/Exchange"/>
        <s v="SharePoint"/>
        <s v="Transition"/>
      </sharedItems>
    </cacheField>
    <cacheField name="Assigned to" numFmtId="0">
      <sharedItems count="15">
        <s v="Ted Balfour"/>
        <s v="Christian Driver"/>
        <s v="Neil Sahdev"/>
        <s v="Steven Jelf"/>
        <s v="Laura Murphy"/>
        <s v="David Bingham"/>
        <s v="Rewa Bouji"/>
        <s v="Nick Coburn"/>
        <s v="Charles Sclater"/>
        <s v="Rachel Phillips"/>
        <s v="Yvonne McGrory"/>
        <s v="Simon Rutherford"/>
        <s v="Nicola Cooper"/>
        <s v="Ian.McGeachie" u="1"/>
        <s v="Joshua Jackson" u="1"/>
      </sharedItems>
    </cacheField>
    <cacheField name="Profile" numFmtId="0">
      <sharedItems/>
    </cacheField>
    <cacheField name="Impact" numFmtId="0">
      <sharedItems count="4">
        <s v="3) High"/>
        <s v="2) Medium"/>
        <s v="0) Under review"/>
        <s v="1) Low"/>
      </sharedItems>
    </cacheField>
    <cacheField name="Title" numFmtId="0">
      <sharedItems count="22">
        <s v="No policies or procedures have been provided by M&amp;C for Group Management"/>
        <s v="No decom/archive capability within I&amp;O"/>
        <s v="ATT Plan does not support FY13 'go-live' for Lync"/>
        <s v="Limited traction being made on reducing the outstanding dependencies."/>
        <s v="Exceeded item threshold limit for M&amp;C Program library in SP"/>
        <s v="Current plans (L0,L1&amp;L3) are outdated without the extent of slippages being known."/>
        <s v="Countries which will have email hosting on-premise are unclear"/>
        <s v="Lack of a confirmed DCC schedule is impacting planning for On-prem build and deployment"/>
        <s v="BAU service model and operation remit for Microland not yet defined"/>
        <s v="Outlook Installations currently existing on user machines"/>
        <s v="No identified country based business approval defined for MIA"/>
        <s v="Policies and processes for re-imbursement of countries purchasing assets for M&amp;C are not in place and are leading to delays in the ordering of hardware, risking O365 and On-prem timelines"/>
        <s v="Unclear roles and responsibilities between engineering and architecture and lack of an overall technical &quot;lead&quot; for all technology areas impacting O/E"/>
        <s v="Network Assessment impact on deployment schedule"/>
        <s v="Infrastructure Engineering resources are constrained, resulting in delays to activities across all workstreams"/>
        <s v="Document management following move to Outlook"/>
        <s v="Rogue AD Organization"/>
        <s v="Need for new governance responsible for communications (maintenance, outages)"/>
        <s v="Test AD Accounts: There is a lack of a formalised or agreed process for creation of Test AD Accounts."/>
        <s v="Realignment of IT Transition group and Transition Managers"/>
        <s v="Tier 3 level support is not defined for virtual desktops"/>
        <s v="O365 Simulated Cloud not available in time to configure CIDE4 and QA3 environments" u="1"/>
      </sharedItems>
    </cacheField>
    <cacheField name="Required_Resolution" numFmtId="0">
      <sharedItems/>
    </cacheField>
    <cacheField name="Countdown" numFmtId="0">
      <sharedItems containsSemiMixedTypes="0" containsString="0" containsNumber="1" containsInteger="1" minValue="-82" maxValue="76" count="22">
        <n v="20"/>
        <n v="2"/>
        <n v="-82"/>
        <n v="28"/>
        <n v="21"/>
        <n v="9"/>
        <n v="-21"/>
        <n v="-5"/>
        <n v="16"/>
        <n v="22"/>
        <n v="71"/>
        <n v="0" u="1"/>
        <n v="33" u="1"/>
        <n v="-16" u="1"/>
        <n v="26" u="1"/>
        <n v="-57" u="1"/>
        <n v="14" u="1"/>
        <n v="7" u="1"/>
        <n v="76" u="1"/>
        <n v="-77" u="1"/>
        <n v="-7" u="1"/>
        <n v="5" u="1"/>
      </sharedItems>
    </cacheField>
    <cacheField name="Days Open" numFmtId="0">
      <sharedItems containsSemiMixedTypes="0" containsString="0" containsNumber="1" containsInteger="1" minValue="0" maxValue="443"/>
    </cacheField>
    <cacheField name="Update Log" numFmtId="0">
      <sharedItems containsBlank="1" longText="1"/>
    </cacheField>
    <cacheField name="PMO Check" numFmtId="0">
      <sharedItems containsNonDate="0" containsString="0" containsBlank="1"/>
    </cacheField>
    <cacheField name="URL" numFmtId="0">
      <sharedItems count="1">
        <s v="http://sp.ey.net/msibm/Lists/RAID%20%20Issues%20TEST/DispForm.aspx?ID=&amp;RootFolder=*"/>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refreshedBy="Laura Murphy" refreshedDate="41234.363457638887" createdVersion="3" refreshedVersion="3" minRefreshableVersion="3" recordCount="97">
  <cacheSource type="worksheet">
    <worksheetSource name="Table3[#All]"/>
  </cacheSource>
  <cacheFields count="13">
    <cacheField name="ID" numFmtId="0">
      <sharedItems containsSemiMixedTypes="0" containsString="0" containsNumber="1" containsInteger="1" minValue="6" maxValue="219" count="97">
        <n v="218"/>
        <n v="219"/>
        <n v="93"/>
        <n v="94"/>
        <n v="95"/>
        <n v="96"/>
        <n v="21"/>
        <n v="22"/>
        <n v="23"/>
        <n v="10"/>
        <n v="182"/>
        <n v="183"/>
        <n v="187"/>
        <n v="189"/>
        <n v="97"/>
        <n v="98"/>
        <n v="6"/>
        <n v="16"/>
        <n v="17"/>
        <n v="18"/>
        <n v="19"/>
        <n v="20"/>
        <n v="89"/>
        <n v="185"/>
        <n v="188"/>
        <n v="190"/>
        <n v="191"/>
        <n v="15"/>
        <n v="99"/>
        <n v="100"/>
        <n v="101"/>
        <n v="102"/>
        <n v="103"/>
        <n v="104"/>
        <n v="105"/>
        <n v="106"/>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4"/>
        <n v="192"/>
        <n v="193"/>
        <n v="194"/>
        <n v="195"/>
      </sharedItems>
    </cacheField>
    <cacheField name="Workstream" numFmtId="0">
      <sharedItems count="7">
        <s v="A&amp;DM"/>
        <s v="Business Change"/>
        <s v="LNDR"/>
        <s v="Lync"/>
        <s v="M&amp;C Program"/>
        <s v="Outlook/Exchange"/>
        <s v="SharePoint"/>
      </sharedItems>
    </cacheField>
    <cacheField name="Assigned to" numFmtId="0">
      <sharedItems count="16">
        <s v="Alan Guthrie"/>
        <s v="Sophie Boiron"/>
        <s v="Christian Driver"/>
        <s v="Stephen McCartney"/>
        <s v="Paul Neave"/>
        <s v="James Harrup-Brook"/>
        <s v="John Lawler"/>
        <s v="Rewa Bouji"/>
        <s v="Yvonne McGrory"/>
        <s v="Charles Sclater"/>
        <s v="Brett van Gelder"/>
        <s v="Michelle Edmonds"/>
        <s v="Adrian Mickleson"/>
        <s v="Gregory Van Valkenburgh"/>
        <s v="Michael Cliffel"/>
        <s v="Nicola Cooper"/>
      </sharedItems>
    </cacheField>
    <cacheField name="Profile" numFmtId="0">
      <sharedItems/>
    </cacheField>
    <cacheField name="Status" numFmtId="0">
      <sharedItems count="3">
        <s v="3) Validated"/>
        <s v="2) Active Risk/Issue"/>
        <s v="1) Not yet validated"/>
      </sharedItems>
    </cacheField>
    <cacheField name="Title" numFmtId="0">
      <sharedItems count="97">
        <s v="A&amp;DM Program budget assumes the use of India-based resources"/>
        <s v="Industry standard ratios for Lotus Notes Migrations"/>
        <s v="The change network is ready on time."/>
        <s v="Learning materials will only be provided in English"/>
        <s v="Senior Leadership will support implementation/behavioural changes"/>
        <s v="No end user learning in budget other than base learning resource"/>
        <s v="Development resource available from IT SD teams to support D&amp;ME toolset development"/>
        <s v="I&amp;O will support rollout of D&amp;ME toolset and decom inactive/migrated applications​"/>
        <s v="DCC Program will perform the archiving of the agreed applications"/>
        <s v="For Lync go-live, business started transition to GCL5"/>
        <s v="Assumption that the required permanent network links to MS data centre's for O365 / SharePoint  can be configured and delivered by the GNP Program in line with the revised delivery dates "/>
        <s v="The vendor will start work on a LOI  and start work before the MSA has been signed"/>
        <s v="No data conversion is required to turn on Lync"/>
        <s v="Users will be able to operate Lync and Sametime simultaneously,"/>
        <s v="Sufficient capacity in global data centers"/>
        <s v="The scope of this effort will include all knowledge of the firm "/>
        <s v="Both Lync and Outlook will have a Business Pilot Phase"/>
        <s v="The email conversion process can convert 15K boxes per week."/>
        <s v="Window for migration is 15 hours per weekend"/>
        <s v="Email conversions only on Weekdays and the plan follows the sun"/>
        <s v="Migrating from Lotus Notes to Microsoft Outlook"/>
        <s v="GOOD are upgrading their product to support EWS by Q2 2012"/>
        <s v="Supported languages in Outlook"/>
        <s v="Countries where a DR site exists will have a DR solution for messaging, and countries which do not currently have a DR site will not have one implemented by the DCC or M&amp;C Programs. "/>
        <s v="Blackberry and iPhone users will be re-provisioned as part of the move to Exchange"/>
        <s v="CRM integration with Outlook is not expected to be delivered in Phase 1. "/>
        <s v="Outlook packages can be deployed before hand and left inactive and be activated on desktops at the time of Migration"/>
        <s v="No SharePoint integration with Imanami GroupID"/>
        <s v="This SP POC effort does not include document management"/>
        <s v="SP POC effort does not need to document collaboration requirements"/>
        <s v="The functionality of this SP POC effort will be dependent upon 2010 "/>
        <s v="Decisions from the Design Authority will be received in 1 week"/>
        <s v=" Code must be able to be used by other SP solutions, where applicable"/>
        <s v="Phase 1 Delivery - the project team is responsible for developing development, architecture and design standards for the SP platform "/>
        <s v="The team will use OOB, then 3rd party and then customizations to meet the business need "/>
        <s v="Work completed by the Embedded Knowledge team should be used to expedite the processes"/>
        <s v="Data in files shares across EY will not be moved into SharePoint (Fusion) in an automated fashion"/>
        <s v="Approximate sizes of the Content management solutions and engagement data"/>
        <s v="No development changes will be made to the Taxonomy manager or the Auto classifier product"/>
        <s v="Autoclassifier and taxonomy manager products can be installed at different times"/>
        <s v="Both the term store and the existing Taxi system will be kept up to date by the business"/>
        <s v="One view of EY externally that is consistent "/>
        <s v="Ovitas only receives taxonomy; does not update. "/>
        <s v="The candidate workloads for implmenting on BPOS for SharePoint"/>
        <s v="The ELM process of linking TFS to HP QC will meet the BA/PM needs"/>
        <s v=" Only 3rd party products over $50K will be required to go to formal RFP"/>
        <s v="CMS Vision &amp; Scope document is meant to obtain a common understanding of the vision of a global content management solution"/>
        <s v="Existing ARC data will not be moved into SP"/>
        <s v="Existing SP sites that were built on 2007 will not be converted into SharePoint "/>
        <s v="Anything in front end needs to be available in CMS / preview environment"/>
        <s v="CMS does not need to be released this calendar year. "/>
        <s v="Infrastructure can be provided in the time on the plan"/>
        <s v="Must deliver in calendar year 12"/>
        <s v="Scope provided in the detailed drafts will be the scope desired by BPO"/>
        <s v="SP Cloud infrastructure will be delivererd in 30 or less weeks"/>
        <s v="Release 1 UX will be OOB SharePoint with only minor branding"/>
        <s v="People Profiles, My Sites and Communities will be hosted in the cloud"/>
        <s v="No performance testing of cloud workloads"/>
        <s v="Delivery of the project will be done in smaller releases of functinoality"/>
        <s v="SP Governance decisions will be defined and agreed to before needed by the SP workstreams"/>
        <s v="Social data is not replicated between O365 &amp; on-Prem"/>
        <s v="Existing Communities platforms (e.g., Connections) cannot be retired until all relevant communities on that platform are migrated to SharePoint"/>
        <s v="MS Developers will be used to help guide with EY Technopark  offshore resources assisting with development"/>
        <s v="Hexaware onshore / offshore model will be used for testing"/>
        <s v="Only configuration work would be done in Release 1 with the development effort focused mainly on packaging those configurations for deployment"/>
        <s v="BA Leads from EY and MS would be used across the Blueprint and SharePoint "/>
        <s v="Cost of Concept Searching would be approximately $1.2M"/>
        <s v="Average MS contractor rate for planning would be $300 / per hour"/>
        <s v="The machine translation tool is owned by the CMS workstream and is needed for Release 1"/>
        <s v="The HTML editor is owned by the CMS workstream and is needed for Release 1"/>
        <s v="The requirements for searching content within the CMS will be devleoped by the CMS team and ijmplemented by the Search team"/>
        <s v="No customizations to the OOB tranlsation tool software offering are in scope for release 1"/>
        <s v="All core CMS capabilities are required for Release 1"/>
        <s v="CMS Release 1 delivery wil not have content available"/>
        <s v="The quick hits developed by frog wil not be used by the CMS."/>
        <s v="The following known unknowns have not be included in the ROMS. "/>
        <s v="The CMS solution will replace the ey.com web content management solution"/>
        <s v="Mass content updates are in the scope of CMS release 1"/>
        <s v="CMS translation tool POC will follow behind the blueprint work"/>
        <s v="HLD / DA will accept the plan to synchronize the metadata with only 40 hours of additional work needed"/>
        <s v="As content is migrated to SP, it wil be searchable"/>
        <s v="The Concept searching Taxonomy manager product will be hosted on premise"/>
        <s v="Relevance tuning will be done after dpeloyment as content is added"/>
        <s v="OOTB SharePoint decommissioning, without archival will be enabaled for release 1"/>
        <s v="One community template will be developed for release 1"/>
        <s v="Release 1 will include a community landing page"/>
        <s v="Profiles will be data sourced from English sources"/>
        <s v="Connections Profiles will continue to remain in place until all the current communities are completed migrated to SP"/>
        <s v="Initiate storage quota for MySite will be set at 250MB"/>
        <s v="IT involvement in the data migration of exisitng CV applications is out of scope for release 1"/>
        <s v="No customizations to the OOB edit profile page"/>
        <s v="business requirement teams will be smaller and more nimble than the earlier model"/>
        <s v="Release 1 -- Integration between the cloud SP and Imanami group management solution"/>
        <s v="The goal of the POC is to validate that Workflow processes and metadata come together as expected for a sub-set of content"/>
        <s v="NewsGator selection is not included in the current plan for Release 1"/>
        <s v="Holiday impact on availability"/>
        <s v="GAAIT replacement work has not yet been added to the plan"/>
      </sharedItems>
    </cacheField>
    <cacheField name="Validated by" numFmtId="0">
      <sharedItems/>
    </cacheField>
    <cacheField name="Validation_Due" numFmtId="0">
      <sharedItems/>
    </cacheField>
    <cacheField name="Countdown" numFmtId="0">
      <sharedItems containsSemiMixedTypes="0" containsString="0" containsNumber="1" containsInteger="1" minValue="-267" maxValue="35" count="9">
        <n v="0"/>
        <n v="-20"/>
        <n v="-165"/>
        <n v="-267"/>
        <n v="30"/>
        <n v="-15" u="1"/>
        <n v="35" u="1"/>
        <n v="-160" u="1"/>
        <n v="-262" u="1"/>
      </sharedItems>
    </cacheField>
    <cacheField name="Days Open" numFmtId="0">
      <sharedItems containsSemiMixedTypes="0" containsString="0" containsNumber="1" containsInteger="1" minValue="0" maxValue="211"/>
    </cacheField>
    <cacheField name="Update Log" numFmtId="0">
      <sharedItems containsBlank="1" longText="1"/>
    </cacheField>
    <cacheField name="PMO Check" numFmtId="0">
      <sharedItems containsBlank="1"/>
    </cacheField>
    <cacheField name="URL" numFmtId="0">
      <sharedItems count="3">
        <s v="http://sp.ey.net/msibm/Lists/RAID%20%20Assumptions%20TEST/DispForm.aspx?ID=&amp;RootFolder=*"/>
        <s v="http://sp.ey.net/msibm/Lists/RAID%20%20Assumptions%20TEST/DispForm.aspx?ID=6&amp;RootFolder=*"/>
        <s v="http://sp.ey.net/msibm/Lists/RAID%20%20Assumptions%20TEST/DispForm.aspx?ID=17&amp;RootFolder=*"/>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refreshedBy="Laura Murphy" refreshedDate="41234.363561921295" createdVersion="3" refreshedVersion="3" minRefreshableVersion="3" recordCount="196">
  <cacheSource type="worksheet">
    <worksheetSource name="Table4[#All]"/>
  </cacheSource>
  <cacheFields count="12">
    <cacheField name="ID" numFmtId="0">
      <sharedItems containsSemiMixedTypes="0" containsString="0" containsNumber="1" containsInteger="1" minValue="13" maxValue="262" count="196">
        <n v="63"/>
        <n v="117"/>
        <n v="256"/>
        <n v="13"/>
        <n v="196"/>
        <n v="15"/>
        <n v="55"/>
        <n v="59"/>
        <n v="64"/>
        <n v="65"/>
        <n v="66"/>
        <n v="68"/>
        <n v="118"/>
        <n v="206"/>
        <n v="210"/>
        <n v="211"/>
        <n v="216"/>
        <n v="217"/>
        <n v="220"/>
        <n v="258"/>
        <n v="16"/>
        <n v="18"/>
        <n v="69"/>
        <n v="70"/>
        <n v="71"/>
        <n v="72"/>
        <n v="73"/>
        <n v="88"/>
        <n v="189"/>
        <n v="190"/>
        <n v="14"/>
        <n v="19"/>
        <n v="21"/>
        <n v="22"/>
        <n v="24"/>
        <n v="25"/>
        <n v="33"/>
        <n v="77"/>
        <n v="78"/>
        <n v="82"/>
        <n v="83"/>
        <n v="87"/>
        <n v="90"/>
        <n v="91"/>
        <n v="92"/>
        <n v="93"/>
        <n v="94"/>
        <n v="96"/>
        <n v="97"/>
        <n v="98"/>
        <n v="99"/>
        <n v="100"/>
        <n v="101"/>
        <n v="102"/>
        <n v="103"/>
        <n v="104"/>
        <n v="105"/>
        <n v="108"/>
        <n v="109"/>
        <n v="110"/>
        <n v="111"/>
        <n v="112"/>
        <n v="203"/>
        <n v="212"/>
        <n v="213"/>
        <n v="214"/>
        <n v="223"/>
        <n v="224"/>
        <n v="226"/>
        <n v="227"/>
        <n v="228"/>
        <n v="229"/>
        <n v="230"/>
        <n v="231"/>
        <n v="232"/>
        <n v="233"/>
        <n v="234"/>
        <n v="235"/>
        <n v="236"/>
        <n v="237"/>
        <n v="238"/>
        <n v="239"/>
        <n v="240"/>
        <n v="241"/>
        <n v="242"/>
        <n v="243"/>
        <n v="244"/>
        <n v="245"/>
        <n v="246"/>
        <n v="247"/>
        <n v="248"/>
        <n v="249"/>
        <n v="250"/>
        <n v="251"/>
        <n v="252"/>
        <n v="254"/>
        <n v="255"/>
        <n v="259"/>
        <n v="261"/>
        <n v="262"/>
        <n v="141"/>
        <n v="17"/>
        <n v="28"/>
        <n v="29"/>
        <n v="30"/>
        <n v="34"/>
        <n v="36"/>
        <n v="37"/>
        <n v="39"/>
        <n v="40"/>
        <n v="41"/>
        <n v="43"/>
        <n v="44"/>
        <n v="45"/>
        <n v="46"/>
        <n v="47"/>
        <n v="49"/>
        <n v="51"/>
        <n v="113"/>
        <n v="115"/>
        <n v="116"/>
        <n v="119"/>
        <n v="120"/>
        <n v="121"/>
        <n v="122"/>
        <n v="123"/>
        <n v="124"/>
        <n v="125"/>
        <n v="126"/>
        <n v="127"/>
        <n v="128"/>
        <n v="129"/>
        <n v="130"/>
        <n v="131"/>
        <n v="132"/>
        <n v="133"/>
        <n v="134"/>
        <n v="135"/>
        <n v="136"/>
        <n v="137"/>
        <n v="138"/>
        <n v="139"/>
        <n v="140"/>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5"/>
        <n v="186"/>
        <n v="187"/>
        <n v="188"/>
        <n v="191"/>
        <n v="192"/>
        <n v="194"/>
        <n v="195"/>
        <n v="197"/>
        <n v="209"/>
        <n v="184"/>
      </sharedItems>
    </cacheField>
    <cacheField name="Workstream" numFmtId="0">
      <sharedItems count="9">
        <s v="Business Change"/>
        <s v="Business Deployment"/>
        <s v="LNDR"/>
        <s v="Lync"/>
        <s v="M&amp;C Program"/>
        <s v="Outlook/Exchange"/>
        <s v="PMO"/>
        <s v="SharePoint"/>
        <s v="Transition"/>
      </sharedItems>
    </cacheField>
    <cacheField name="Assigned To" numFmtId="0">
      <sharedItems count="33">
        <s v="Sophie Boiron"/>
        <s v="Martin Kremmer"/>
        <s v="Ian.McGeachie"/>
        <s v="Christian Driver"/>
        <s v="Steven Jelf"/>
        <s v="Stephen McCartney"/>
        <s v="James Harrup-Brook"/>
        <s v="Martin Versteeg NL010015178"/>
        <s v="Neil Sahdev"/>
        <s v="Ian Bourne"/>
        <s v="Gregory Van Valkenburgh"/>
        <s v="Alan Guthrie"/>
        <s v="Irfan Rashid"/>
        <s v="Nick Coburn"/>
        <s v="Punit Shah"/>
        <s v="Craig Burnside"/>
        <s v="Rewa Bouji"/>
        <s v="Paul Neave"/>
        <s v="Juan Torres"/>
        <s v="Nicholas Wood"/>
        <s v="Chris Rae"/>
        <s v="David Bingham"/>
        <s v="Yvonne McGrory"/>
        <s v="Andy Ioannou"/>
        <s v="Norman Beard"/>
        <s v="Michelle Edmonds"/>
        <s v="Jeremy Brown"/>
        <s v="Nicola Cooper"/>
        <s v="Joshua Jackson"/>
        <s v="Leonard Cardinal"/>
        <s v="Brett van Gelder"/>
        <s v="Norm Lambert"/>
        <s v="Blaine Pardoe"/>
      </sharedItems>
    </cacheField>
    <cacheField name="Status" numFmtId="0">
      <sharedItems count="2">
        <s v="4) Validated"/>
        <s v="1) Pending"/>
      </sharedItems>
    </cacheField>
    <cacheField name="Title" numFmtId="0">
      <sharedItems count="196">
        <s v="Generic Knowledge renamed to User Experience"/>
        <s v="Business engagement via the ITSD teams for Mail-Integrated Applications"/>
        <s v="On-premises countries will be migrated to Outlook Exchange in a 3 month window between August and October 2013"/>
        <s v="A&amp;DM to build EYAA"/>
        <s v="A&amp;DM renamed Decommission and Migration Enablement, to reflect revised scope for FY13."/>
        <s v="Voicemail retention period for auto deletion set to 30, 45 or 60days"/>
        <s v="Dialling emergency service numbers with Lync"/>
        <s v="Lync device spend in FY13"/>
        <s v="Provisional agreement on Lync phases"/>
        <s v="Deployment of latest Msft Updates for Lync and Outlook Dormant Client Packages"/>
        <s v="Sametime groups will not be moved as part of the Lync go live. "/>
        <s v="Sametime client will be hidden from use once Lync activated"/>
        <s v="Lync Performance Testing"/>
        <s v="Wording of Legal Disclaimers (Lync)"/>
        <s v="Enabling / disabling viewing of calendar information (Presence) within Lync"/>
        <s v="Enabling the saving of Lync Chat Transcripts   "/>
        <s v="Who should pay for in-office SBAs"/>
        <s v="Confirmation required around who will pay for SBAs, which are required to enable Lync to be used for inbound / outbound dialling"/>
        <s v="Disablement of Lync softphone functionality for users already with existing softphone clients"/>
        <s v="Domain Controllers for use by Lync"/>
        <s v="Single/Central RAID Logs for entire Program"/>
        <s v="​Do not populate Manager Attributes in AD at this time"/>
        <s v="Each workstream will have its own project plan."/>
        <s v="There will be one Charter document for the entire program"/>
        <s v="FSG face-to-face meeting schedule"/>
        <s v="Regular FSG meeting schedule"/>
        <s v="Change Control Process"/>
        <s v="Cost of transition managers"/>
        <s v="Each workstream  will have its own charge code"/>
        <s v="Each workstream, in conjunction with the PMO, will validate hours and expenses"/>
        <s v="Email Deprovisioning"/>
        <s v="On-Prem and O365 migration strategy"/>
        <s v="Treatment of countries where only a portion of the population needs to remain in-country"/>
        <s v="DCC contractual scope to include buildout of Exchange Hardware"/>
        <s v="Migration of Static Mail Distribution Groups"/>
        <s v="Exact configuration of Day 1 Exchange features and inclusion of any mail-integrated apps"/>
        <s v="Outlook Exchange deployment during black-out periods"/>
        <s v="PR/DR site Replication method"/>
        <s v="DAS Storage for all On-Prem Exchange Sites"/>
        <s v="Ethical Walls "/>
        <s v="UAG vs ExtraWeb"/>
        <s v="Decision to be made as to whether GNP program or M&amp;C program will pick up cost of O365 circuit"/>
        <s v="Germany: on-premise"/>
        <s v="E-mail Archive"/>
        <s v="Users will have a 5gb mail file in Exchange"/>
        <s v="No backup of email data for Exchange"/>
        <s v="Deleted Item Retention"/>
        <s v="Do not require Mobile Data Service - Connection Service (MDS-CS) for day 1 "/>
        <s v="Decision to go O365 for Exchange"/>
        <s v="Russia's Blackberry servers will need to be hosted in-country. "/>
        <s v="Site Replication method for Exchange"/>
        <s v="RTO/RPO targets for Exchange solution"/>
        <s v="RBAC split permissions for Exchange"/>
        <s v="Exchange data classification still mixed"/>
        <s v="Storage: SAN in large and medium siates and JBOD/RAID in small sites"/>
        <s v="On-prem Exchange solution will be on SP2"/>
        <s v="DCC programme: On-Prem up to OS; 3rd Party: Application layer"/>
        <s v="User profile FIM filter section"/>
        <s v="Business users will execute UAT for Lync &amp; Outlook"/>
        <s v="CRM integration is not required for Day 1 of Outlook"/>
        <s v="We will not use Super Users."/>
        <s v="LN &gt; Outlook: email, calendar and contact migration"/>
        <s v="Decision required on whether to undertake IT SD Testing as part of the Outlook Dormant Deployment "/>
        <s v="Email Recall Request"/>
        <s v="Social Connector functionality"/>
        <s v="Publishing of Calendar info online (Microsoft.com)"/>
        <s v="Switzerland On-Prem Decision"/>
        <s v="Luxembourg On Prem Decision"/>
        <s v="Japan On Prem Decision"/>
        <s v="Russia On Prem decision"/>
        <s v="On Prem decision for UK"/>
        <s v="Indonesia On Prem decision"/>
        <s v="China on prem decision"/>
        <s v="Australia On Prem Decision"/>
        <s v="Canada On Prem Decision"/>
        <s v="Columbia on prem decision"/>
        <s v="Peru On Prem Decision"/>
        <s v="Armenia On prem decision"/>
        <s v="Azerbaijan on prem decision"/>
        <s v="Belarus on prem decision"/>
        <s v="Georgia on prem decision"/>
        <s v="Kazakstan on prem decision"/>
        <s v="Ukraine on prem decision"/>
        <s v="Uzbekistan on prem decision"/>
        <s v="Dominican republic on prem decision"/>
        <s v="Guatemala on prem decision"/>
        <s v="India on prem decision"/>
        <s v="Korea on prem decision"/>
        <s v="France On-Prem decision"/>
        <s v="Monaco on-prem decision"/>
        <s v="Mexico on prem decision"/>
        <s v="Thailand on prem decision"/>
        <s v="Viertnam on prem decision"/>
        <s v="Sri lanka on prem decision"/>
        <s v="Philippines on prem decision"/>
        <s v="Local based mail should be deployed to countries where there is no local backup solution in place so long as there is a server copy.  "/>
        <s v="Decision required to determine how encrypted mail migration will be managed when users are migrated to Outlook"/>
        <s v="Mobile migrations require device to be wiped, decision on if it should be automatically wiped or an end user has control to wipe. "/>
        <s v="On-Prem in country kit to be ordered in advance of design being proved through testing"/>
        <s v="Poland hosting status confirmation"/>
        <s v="SharePoint - User Profile, Social and My site data decomissioning"/>
        <s v="GAAIT replacement program now falls under FAS&amp;T"/>
        <s v="Extranet strategy for external authentication and content mgt"/>
        <s v="EY SharePoint Governance body"/>
        <s v="Scope and business requirements for client collaboration (ECMA)"/>
        <s v="Conversion of existing SP sites"/>
        <s v="Only new applications will be required to use the new taxonomy"/>
        <s v="Tier-A only specific archiving solution for //content and //communities only"/>
        <s v="Would like Service Applications to fit into Tier A"/>
        <s v="Tier A: plan for 50 TBs and may scale to 300 TBs in next couple yrs."/>
        <s v="CKRs (Community Knowledge Repository) will be migrated and searchable."/>
        <s v="Sharepoint/FAST will not search Fileshares"/>
        <s v="There will be one global enterprise search technology (FAST)"/>
        <s v="For in-country (&quot;SP in a box&quot;), search technology will always be FAST, "/>
        <s v="Plan FAST for x # of columns, docs and indexable content"/>
        <s v="AD is the primary source of User Profile data"/>
        <s v="People will provide their own photos into User Profile"/>
        <s v="Attributes needed by SharePoint will be available/managed in the Global AD Catalog"/>
        <s v="Mobile enablement will not be rolled out as part of Phase 1 SharePoint."/>
        <s v="Social Features RFP approval"/>
        <s v="Translation RFP will be modified to do art of the possible session "/>
        <s v="No delivery in Phase 1 for Managing Clients and Engaging Accounts "/>
        <s v="2 taxonomy solutions will be kept in synch, where approp., manually"/>
        <s v="Taxonomy - The business will update the tagging of the content as needed"/>
        <s v="The business will create it's own test cases for UAT"/>
        <s v="The business will administer the UAT and create their own data"/>
        <s v="The eRooms, etds, and Quickr conversions will begin post go-live"/>
        <s v="New team spaces will go through the formal provisioning process "/>
        <s v="BA will not re-document the functionaltiy that is OOB with SP"/>
        <s v="Ordering of hardware will occur before the design is complete"/>
        <s v="Convergence of EYD is now part of Phase 2 "/>
        <s v="Policies now removed from Phase 1 "/>
        <s v="Fusion will be renamed to SharePoint."/>
        <s v="Include Internal Team Sites in Phase 1"/>
        <s v="Will not show customization screen and process as part of the EK POC"/>
        <s v="SAML (Secure Assertion Markup Language) will not be needed for SP O365"/>
        <s v="External Facing content would not be stored in Office 365"/>
        <s v="Delivery Engine is an On Premise solution"/>
        <s v="Naming convention of URLs to be used for SharePoint O365 production environment"/>
        <s v="People and Communities Release 1 solutions will be hosted in Office 365"/>
        <s v="Initial storage quota for Communities in the cloud will be set at 2GB"/>
        <s v="The same metadata will be used on premise and in the cloud"/>
        <s v="3 products will be purchased from Concept Searching"/>
        <s v="SP solutions need to be designed to work on multiple devices "/>
        <s v="Adoption of Microsoft O365 cloud"/>
        <s v="Tier A definition"/>
        <s v="User Experience will be a Farm WSP."/>
        <s v="Criteria for falling outside of Tier A"/>
        <s v="BCS will only be used for User Profiles in Tier A for the GHRDB connection"/>
        <s v="Use Web Trends for Web Analytics"/>
        <s v="House cross-farm services in Frankfurt"/>
        <s v="All farms will need to consume a single, global MMSA "/>
        <s v="User Profile sync will occur in Office365; GHRDB data will be populated in AD"/>
        <s v="MySites will only live in Office 365."/>
        <s v="We will not use Power Pivot in the initial rollout"/>
        <s v="We will not include file shares in migration of business content"/>
        <s v="SharePoint will allow media as attachment, but will not support direct streaming"/>
        <s v="We will not migrate ARC (Archive Records Center) to SharePoint"/>
        <s v="No conversion of in-flight/active engagements"/>
        <s v="GETD will not be automatically converted/migrated"/>
        <s v="Archived data from eDocs does not need to move to SharePoint"/>
        <s v="Fusion will not be building the firm archiving tool"/>
        <s v="Collaboration (Fusion) is not delivering a Service Management Framework"/>
        <s v="Mobile access is limited to out of the box capabilities of SharePoint"/>
        <s v="Plan for 20 Queries Per Second (QPS) for 2013"/>
        <s v="Indexing Latency SLA for GAAIT once hosted in SP 2010 CMS"/>
        <s v="FAST will only search Published content as part of enterprise search"/>
        <s v="12-hour index latency SLA "/>
        <s v="Page rendering time in SP and query response time "/>
        <s v="My Site will not be the landing page for the initial rollout."/>
        <s v="Do not automatically populate peers as colleagues"/>
        <s v="Internally, there is 1 forest, 22 domains"/>
        <s v="Allow default behavior of SP for user to write wwwHomePage attribute in AD"/>
        <s v="There will not be infrastructure in Secaucus"/>
        <s v="SQL Server 2008 R2 will be the standard database"/>
        <s v="GAAIT does not have to be encrypted"/>
        <s v="Office 365 is a one-data center approach."/>
        <s v="All of Tier A requires DR"/>
        <s v="Design In-Country SharePoint Infrastructure for a minimum baseline high-availability farm leveraging standard branch office configuration"/>
        <s v="SPF design will not include an In-country DR solution"/>
        <s v="Requirements for Partnership are not part of this design and will fall in Tier C"/>
        <s v="Initial SPF Design will be based on the current two AD forest scenario "/>
        <s v="Solution to regulatory in-country is “SharePoint in a box” that lives 80% of time in the DMZ"/>
        <s v="SPF design will not leverage RBS"/>
        <s v="Summary of Engaging Clients Managing Accounts (ECMA) workstream"/>
        <s v="Monitoring of the existing resources will be an Operational task"/>
        <s v="Operations should monitor indexing time and content churn rate"/>
        <s v="Encryption is at the hardware level and outside the scope of the SharePoint architecture."/>
        <s v="Project teams outside of SharePoint Enablement will need to go through the CCB process to request environment resources"/>
        <s v="SP will support DA processes"/>
        <s v="Phase 1: No conversion of historical data"/>
        <s v="CVs will go to the cloud"/>
        <s v="Partners may need their own infrastructure when they move to SP"/>
        <s v="Authoritative content management system will not reside in the cloud"/>
        <s v="Data Privacy"/>
        <s v="IT Services will be early-adopter of SharePoint"/>
      </sharedItems>
    </cacheField>
    <cacheField name="Decision Forum" numFmtId="0">
      <sharedItems/>
    </cacheField>
    <cacheField name="Required_By" numFmtId="0">
      <sharedItems/>
    </cacheField>
    <cacheField name="Countdown" numFmtId="0">
      <sharedItems containsSemiMixedTypes="0" containsString="0" containsNumber="1" containsInteger="1" minValue="0" maxValue="77" count="15">
        <n v="0"/>
        <n v="2"/>
        <n v="15"/>
        <n v="39"/>
        <n v="40"/>
        <n v="23"/>
        <n v="9"/>
        <n v="72"/>
        <n v="28" u="1"/>
        <n v="14" u="1"/>
        <n v="7" u="1"/>
        <n v="45" u="1"/>
        <n v="77" u="1"/>
        <n v="20" u="1"/>
        <n v="44" u="1"/>
      </sharedItems>
    </cacheField>
    <cacheField name="Days Open" numFmtId="0">
      <sharedItems containsSemiMixedTypes="0" containsString="0" containsNumber="1" containsInteger="1" minValue="0" maxValue="373"/>
    </cacheField>
    <cacheField name="Update Log" numFmtId="0">
      <sharedItems containsBlank="1" longText="1"/>
    </cacheField>
    <cacheField name="PMO Check" numFmtId="0">
      <sharedItems containsBlank="1"/>
    </cacheField>
    <cacheField name="URL" numFmtId="0">
      <sharedItems count="95">
        <s v="http://sp.ey.net/msibm/Lists/RAID%20%20Decisions%20TEST/DispForm.aspx?ID=63&amp;RootFolder=*"/>
        <s v="http://sp.ey.net/msibm/Lists/RAID%20%20Decisions%20TEST/DispForm.aspx?ID=&amp;RootFolder=*"/>
        <s v="http://sp.ey.net/msibm/Lists/RAID%20%20Decisions%20TEST/DispForm.aspx?ID=55&amp;RootFolder=*"/>
        <s v="http://sp.ey.net/msibm/Lists/RAID%20%20Decisions%20TEST/DispForm.aspx?ID=65&amp;RootFolder=*"/>
        <s v="http://sp.ey.net/msibm/Lists/RAID%20%20Decisions%20TEST/DispForm.aspx?ID=66&amp;RootFolder=*"/>
        <s v="http://sp.ey.net/msibm/Lists/RAID%20%20Decisions%20TEST/DispForm.aspx?ID=68&amp;RootFolder=*"/>
        <s v="http://sp.ey.net/msibm/Lists/RAID%20%20Decisions%20TEST/DispForm.aspx?ID=16&amp;RootFolder=*"/>
        <s v="http://sp.ey.net/msibm/Lists/RAID%20%20Decisions%20TEST/DispForm.aspx?ID=69&amp;RootFolder=*"/>
        <s v="http://sp.ey.net/msibm/Lists/RAID%20%20Decisions%20TEST/DispForm.aspx?ID=70&amp;RootFolder=*"/>
        <s v="http://sp.ey.net/msibm/Lists/RAID%20%20Decisions%20TEST/DispForm.aspx?ID=71&amp;RootFolder=*"/>
        <s v="http://sp.ey.net/msibm/Lists/RAID%20%20Decisions%20TEST/DispForm.aspx?ID=72&amp;RootFolder=*"/>
        <s v="http://sp.ey.net/msibm/Lists/RAID%20%20Decisions%20TEST/DispForm.aspx?ID=73&amp;RootFolder=*"/>
        <s v="http://sp.ey.net/msibm/Lists/RAID%20%20Decisions%20TEST/DispForm.aspx?ID=88&amp;RootFolder=*"/>
        <s v="http://sp.ey.net/msibm/Lists/RAID%20%20Decisions%20TEST/DispForm.aspx?ID=189&amp;RootFolder=*"/>
        <s v="http://sp.ey.net/msibm/Lists/RAID%20%20Decisions%20TEST/DispForm.aspx?ID=190&amp;RootFolder=*"/>
        <s v="http://sp.ey.net/msibm/Lists/RAID%20%20Decisions%20TEST/DispForm.aspx?ID=83&amp;RootFolder=*"/>
        <s v="http://sp.ey.net/msibm/Lists/RAID%20%20Decisions%20TEST/DispForm.aspx?ID=91&amp;RootFolder=*"/>
        <s v="http://sp.ey.net/msibm/Lists/RAID%20%20Decisions%20TEST/DispForm.aspx?ID=96&amp;RootFolder=*"/>
        <s v="http://sp.ey.net/msibm/Lists/RAID%20%20Decisions%20TEST/DispForm.aspx?ID=97&amp;RootFolder=*"/>
        <s v="http://sp.ey.net/msibm/Lists/RAID%20%20Decisions%20TEST/DispForm.aspx?ID=99&amp;RootFolder=*"/>
        <s v="http://sp.ey.net/msibm/Lists/RAID%20%20Decisions%20TEST/DispForm.aspx?ID=101&amp;RootFolder=*"/>
        <s v="http://sp.ey.net/msibm/Lists/RAID%20%20Decisions%20TEST/DispForm.aspx?ID=104&amp;RootFolder=*"/>
        <s v="http://sp.ey.net/msibm/Lists/RAID%20%20Decisions%20TEST/DispForm.aspx?ID=108&amp;RootFolder=*"/>
        <s v="http://sp.ey.net/msibm/Lists/RAID%20%20Decisions%20TEST/DispForm.aspx?ID=111&amp;RootFolder=*"/>
        <s v="http://sp.ey.net/msibm/Lists/RAID%20%20Decisions%20TEST/DispForm.aspx?ID=36&amp;RootFolder=*"/>
        <s v="http://sp.ey.net/msibm/Lists/RAID%20%20Decisions%20TEST/DispForm.aspx?ID=113&amp;RootFolder=*"/>
        <s v="http://sp.ey.net/msibm/Lists/RAID%20%20Decisions%20TEST/DispForm.aspx?ID=115&amp;RootFolder=*"/>
        <s v="http://sp.ey.net/msibm/Lists/RAID%20%20Decisions%20TEST/DispForm.aspx?ID=116&amp;RootFolder=*"/>
        <s v="http://sp.ey.net/msibm/Lists/RAID%20%20Decisions%20TEST/DispForm.aspx?ID=119&amp;RootFolder=*"/>
        <s v="http://sp.ey.net/msibm/Lists/RAID%20%20Decisions%20TEST/DispForm.aspx?ID=120&amp;RootFolder=*"/>
        <s v="http://sp.ey.net/msibm/Lists/RAID%20%20Decisions%20TEST/DispForm.aspx?ID=121&amp;RootFolder=*"/>
        <s v="http://sp.ey.net/msibm/Lists/RAID%20%20Decisions%20TEST/DispForm.aspx?ID=122&amp;RootFolder=*"/>
        <s v="http://sp.ey.net/msibm/Lists/RAID%20%20Decisions%20TEST/DispForm.aspx?ID=123&amp;RootFolder=*"/>
        <s v="http://sp.ey.net/msibm/Lists/RAID%20%20Decisions%20TEST/DispForm.aspx?ID=124&amp;RootFolder=*"/>
        <s v="http://sp.ey.net/msibm/Lists/RAID%20%20Decisions%20TEST/DispForm.aspx?ID=125&amp;RootFolder=*"/>
        <s v="http://sp.ey.net/msibm/Lists/RAID%20%20Decisions%20TEST/DispForm.aspx?ID=126&amp;RootFolder=*"/>
        <s v="http://sp.ey.net/msibm/Lists/RAID%20%20Decisions%20TEST/DispForm.aspx?ID=127&amp;RootFolder=*"/>
        <s v="http://sp.ey.net/msibm/Lists/RAID%20%20Decisions%20TEST/DispForm.aspx?ID=128&amp;RootFolder=*"/>
        <s v="http://sp.ey.net/msibm/Lists/RAID%20%20Decisions%20TEST/DispForm.aspx?ID=129&amp;RootFolder=*"/>
        <s v="http://sp.ey.net/msibm/Lists/RAID%20%20Decisions%20TEST/DispForm.aspx?ID=130&amp;RootFolder=*"/>
        <s v="http://sp.ey.net/msibm/Lists/RAID%20%20Decisions%20TEST/DispForm.aspx?ID=131&amp;RootFolder=*"/>
        <s v="http://sp.ey.net/msibm/Lists/RAID%20%20Decisions%20TEST/DispForm.aspx?ID=132&amp;RootFolder=*"/>
        <s v="http://sp.ey.net/msibm/Lists/RAID%20%20Decisions%20TEST/DispForm.aspx?ID=133&amp;RootFolder=*"/>
        <s v="http://sp.ey.net/msibm/Lists/RAID%20%20Decisions%20TEST/DispForm.aspx?ID=134&amp;RootFolder=*"/>
        <s v="http://sp.ey.net/msibm/Lists/RAID%20%20Decisions%20TEST/DispForm.aspx?ID=135&amp;RootFolder=*"/>
        <s v="http://sp.ey.net/msibm/Lists/RAID%20%20Decisions%20TEST/DispForm.aspx?ID=136&amp;RootFolder=*"/>
        <s v="http://sp.ey.net/msibm/Lists/RAID%20%20Decisions%20TEST/DispForm.aspx?ID=138&amp;RootFolder=*"/>
        <s v="http://sp.ey.net/msibm/Lists/RAID%20%20Decisions%20TEST/DispForm.aspx?ID=139&amp;RootFolder=*"/>
        <s v="http://sp.ey.net/msibm/Lists/RAID%20%20Decisions%20TEST/DispForm.aspx?ID=140&amp;RootFolder=*"/>
        <s v="http://sp.ey.net/msibm/Lists/RAID%20%20Decisions%20TEST/DispForm.aspx?ID=142&amp;RootFolder=*"/>
        <s v="http://sp.ey.net/msibm/Lists/RAID%20%20Decisions%20TEST/DispForm.aspx?ID=143&amp;RootFolder=*"/>
        <s v="http://sp.ey.net/msibm/Lists/RAID%20%20Decisions%20TEST/DispForm.aspx?ID=144&amp;RootFolder=*"/>
        <s v="http://sp.ey.net/msibm/Lists/RAID%20%20Decisions%20TEST/DispForm.aspx?ID=145&amp;RootFolder=*"/>
        <s v="http://sp.ey.net/msibm/Lists/RAID%20%20Decisions%20TEST/DispForm.aspx?ID=146&amp;RootFolder=*"/>
        <s v="http://sp.ey.net/msibm/Lists/RAID%20%20Decisions%20TEST/DispForm.aspx?ID=147&amp;RootFolder=*"/>
        <s v="http://sp.ey.net/msibm/Lists/RAID%20%20Decisions%20TEST/DispForm.aspx?ID=148&amp;RootFolder=*"/>
        <s v="http://sp.ey.net/msibm/Lists/RAID%20%20Decisions%20TEST/DispForm.aspx?ID=149&amp;RootFolder=*"/>
        <s v="http://sp.ey.net/msibm/Lists/RAID%20%20Decisions%20TEST/DispForm.aspx?ID=150&amp;RootFolder=*"/>
        <s v="http://sp.ey.net/msibm/Lists/RAID%20%20Decisions%20TEST/DispForm.aspx?ID=151&amp;RootFolder=*"/>
        <s v="http://sp.ey.net/msibm/Lists/RAID%20%20Decisions%20TEST/DispForm.aspx?ID=152&amp;RootFolder=*"/>
        <s v="http://sp.ey.net/msibm/Lists/RAID%20%20Decisions%20TEST/DispForm.aspx?ID=153&amp;RootFolder=*"/>
        <s v="http://sp.ey.net/msibm/Lists/RAID%20%20Decisions%20TEST/DispForm.aspx?ID=154&amp;RootFolder=*"/>
        <s v="http://sp.ey.net/msibm/Lists/RAID%20%20Decisions%20TEST/DispForm.aspx?ID=155&amp;RootFolder=*"/>
        <s v="http://sp.ey.net/msibm/Lists/RAID%20%20Decisions%20TEST/DispForm.aspx?ID=156&amp;RootFolder=*"/>
        <s v="http://sp.ey.net/msibm/Lists/RAID%20%20Decisions%20TEST/DispForm.aspx?ID=157&amp;RootFolder=*"/>
        <s v="http://sp.ey.net/msibm/Lists/RAID%20%20Decisions%20TEST/DispForm.aspx?ID=158&amp;RootFolder=*"/>
        <s v="http://sp.ey.net/msibm/Lists/RAID%20%20Decisions%20TEST/DispForm.aspx?ID=159&amp;RootFolder=*"/>
        <s v="http://sp.ey.net/msibm/Lists/RAID%20%20Decisions%20TEST/DispForm.aspx?ID=160&amp;RootFolder=*"/>
        <s v="http://sp.ey.net/msibm/Lists/RAID%20%20Decisions%20TEST/DispForm.aspx?ID=161&amp;RootFolder=*"/>
        <s v="http://sp.ey.net/msibm/Lists/RAID%20%20Decisions%20TEST/DispForm.aspx?ID=162&amp;RootFolder=*"/>
        <s v="http://sp.ey.net/msibm/Lists/RAID%20%20Decisions%20TEST/DispForm.aspx?ID=163&amp;RootFolder=*"/>
        <s v="http://sp.ey.net/msibm/Lists/RAID%20%20Decisions%20TEST/DispForm.aspx?ID=164&amp;RootFolder=*"/>
        <s v="http://sp.ey.net/msibm/Lists/RAID%20%20Decisions%20TEST/DispForm.aspx?ID=165&amp;RootFolder=*"/>
        <s v="http://sp.ey.net/msibm/Lists/RAID%20%20Decisions%20TEST/DispForm.aspx?ID=166&amp;RootFolder=*"/>
        <s v="http://sp.ey.net/msibm/Lists/RAID%20%20Decisions%20TEST/DispForm.aspx?ID=167&amp;RootFolder=*"/>
        <s v="http://sp.ey.net/msibm/Lists/RAID%20%20Decisions%20TEST/DispForm.aspx?ID=168&amp;RootFolder=*"/>
        <s v="http://sp.ey.net/msibm/Lists/RAID%20%20Decisions%20TEST/DispForm.aspx?ID=169&amp;RootFolder=*"/>
        <s v="http://sp.ey.net/msibm/Lists/RAID%20%20Decisions%20TEST/DispForm.aspx?ID=170&amp;RootFolder=*"/>
        <s v="http://sp.ey.net/msibm/Lists/RAID%20%20Decisions%20TEST/DispForm.aspx?ID=171&amp;RootFolder=*"/>
        <s v="http://sp.ey.net/msibm/Lists/RAID%20%20Decisions%20TEST/DispForm.aspx?ID=172&amp;RootFolder=*"/>
        <s v="http://sp.ey.net/msibm/Lists/RAID%20%20Decisions%20TEST/DispForm.aspx?ID=173&amp;RootFolder=*"/>
        <s v="http://sp.ey.net/msibm/Lists/RAID%20%20Decisions%20TEST/DispForm.aspx?ID=174&amp;RootFolder=*"/>
        <s v="http://sp.ey.net/msibm/Lists/RAID%20%20Decisions%20TEST/DispForm.aspx?ID=175&amp;RootFolder=*"/>
        <s v="http://sp.ey.net/msibm/Lists/RAID%20%20Decisions%20TEST/DispForm.aspx?ID=176&amp;RootFolder=*"/>
        <s v="http://sp.ey.net/msibm/Lists/RAID%20%20Decisions%20TEST/DispForm.aspx?ID=177&amp;RootFolder=*"/>
        <s v="http://sp.ey.net/msibm/Lists/RAID%20%20Decisions%20TEST/DispForm.aspx?ID=178&amp;RootFolder=*"/>
        <s v="http://sp.ey.net/msibm/Lists/RAID%20%20Decisions%20TEST/DispForm.aspx?ID=179&amp;RootFolder=*"/>
        <s v="http://sp.ey.net/msibm/Lists/RAID%20%20Decisions%20TEST/DispForm.aspx?ID=180&amp;RootFolder=*"/>
        <s v="http://sp.ey.net/msibm/Lists/RAID%20%20Decisions%20TEST/DispForm.aspx?ID=181&amp;RootFolder=*"/>
        <s v="http://sp.ey.net/msibm/Lists/RAID%20%20Decisions%20TEST/DispForm.aspx?ID=182&amp;RootFolder=*"/>
        <s v="http://sp.ey.net/msibm/Lists/RAID%20%20Decisions%20TEST/DispForm.aspx?ID=185&amp;RootFolder=*"/>
        <s v="http://sp.ey.net/msibm/Lists/RAID%20%20Decisions%20TEST/DispForm.aspx?ID=186&amp;RootFolder=*"/>
        <s v="http://sp.ey.net/msibm/Lists/RAID%20%20Decisions%20TEST/DispForm.aspx?ID=187&amp;RootFolder=*"/>
        <s v="http://sp.ey.net/msibm/Lists/RAID%20%20Decisions%20TEST/DispForm.aspx?ID=188&amp;RootFolder=*"/>
        <s v="http://sp.ey.net/msibm/Lists/RAID%20%20Decisions%20TEST/DispForm.aspx?ID=184&amp;RootFolder=*"/>
      </sharedItems>
    </cacheField>
  </cacheFields>
</pivotCacheDefinition>
</file>

<file path=xl/pivotCache/pivotCacheRecords1.xml><?xml version="1.0" encoding="utf-8"?>
<pivotCacheRecords xmlns="http://schemas.openxmlformats.org/spreadsheetml/2006/main" xmlns:r="http://schemas.openxmlformats.org/officeDocument/2006/relationships" count="39">
  <r>
    <x v="0"/>
    <x v="0"/>
    <x v="0"/>
    <s v="4) Managing Sponsor"/>
    <x v="0"/>
    <x v="0"/>
    <s v="26-Nov-12"/>
    <x v="0"/>
    <n v="231"/>
    <s v="_x000a_14-Nov: Per Ted on fortnightly RAID call, this is tracking to the trigger date. 100K synced so far, no issues. Another 50K users to be moved from tonight._x000a_15 Oct: Approval for ID Sync deployment approved by CLT. JD&amp;A effort still under way and deployment plan willbe adjusted to reflect anticapated remediation schedule. This item will remin open until the roll out is complete._x000a_3-Oct: Per Ted, approx 11K apps analyzed, 19 require remediation, of those 8 are complete, 6 more with identified deployment dates. Ted presents to CLT today requesting approval to move forward with ID Sync and accept the risk that some apps may break. Ted will update thereafter._x000a_22-Aug (LM): On fortnightly call, Ted took action to move trigger date, as this will not be impact until mid-Oct._x000a_8-Aug (LM): Per Prog. RAID call, Ted said date will move out 2 months. Ted to add update and amend Trigger Date._x000a_25-Jul (LM): Per Ted, doing assessment to see if can pushout date to service ready and go-live. Looking at what will happen if sync with O365 with data in current state._x000a_20-Jul (SJ) Following 2 day Messaging / Lync workshop held 17/18th July the following updates were made during a deep dive on this point. _x000a_- Approx 4/5000 apps still need to be assessed - Now within the scope of the J&amp;DA program run by James Hartley._x000a_-IAM &amp; M&amp;C Program piloting standard attributes which will be required for Lync / Exchange / Outllok._x000a_- Process for Application Remendiation required_x000a_- Funding of remediation required_x000a_- Potential risk on SRT will occur_x000a_- Action David Bingham to setup meeting with C. Driver, R. Bouji, N Sahdev, A. Harper, J. Els, N, Wood, and T. Balfour to discuss JD&amp;A scope and Plan with James Hartley_x000a_- Better control on Process / rules for coupling programs together (dependency process)_x000a_- Ted to construct alternate plan_x000a_ _x000a_16-May: (LM) Ted on call: 20% of the 6,000 critical apps require remediation.Doing more detailed analysis now, following many avenues to resolve._x000a_9-May: Resource availability is the risk here; 6,000 critical apps to analyze which is dependent on resource availability._x000a_29-Mar: Added by Laura per Ted 29-Mar.​"/>
    <m/>
    <x v="0"/>
  </r>
  <r>
    <x v="1"/>
    <x v="0"/>
    <x v="0"/>
    <s v="3) Program Mgt Team"/>
    <x v="1"/>
    <x v="1"/>
    <s v="11-Oct-12"/>
    <x v="1"/>
    <n v="222"/>
    <s v="_x000a_5-Nov: All countries have now been sync'd with MMSSPP as far as im aware, but the error reports are currently going into no-mans land due to an addressing issue.  Marina from IAM Ops is also driving MMSSPP error reporting processes etc.  We have a meeting scheduled today on this topic._x000a_9-May: Tolerance level 1% and we are just over that. Some remediation is taking place now. Still critical in terms of timeline._x000a_28-Mar: Ted sent to Laura for addition to the log. LM emd Ted for details.​"/>
    <m/>
    <x v="0"/>
  </r>
  <r>
    <x v="2"/>
    <x v="0"/>
    <x v="0"/>
    <s v="3) Program Mgt Team"/>
    <x v="1"/>
    <x v="2"/>
    <s v="26-Nov-12"/>
    <x v="0"/>
    <n v="201"/>
    <s v="_x000a_15 Oct: Data Standardazation kicking off 18 Oct and continuing for 6 weeks. Will review and close at the end of the deployment period. 9-May: Linked to R141 - until apps are remediated, can't do attribute population and standardization._x000a_28-Mar: Ted sent to Laura for addition to the log. LM emd Ted for details.​"/>
    <m/>
    <x v="0"/>
  </r>
  <r>
    <x v="3"/>
    <x v="1"/>
    <x v="1"/>
    <s v="3) Program Mgt Team"/>
    <x v="2"/>
    <x v="3"/>
    <s v="30-Nov-12"/>
    <x v="2"/>
    <n v="71"/>
    <s v="_x000a_CD, 19-Jul-12: Risk created (downgraded from issue).​"/>
    <m/>
    <x v="0"/>
  </r>
  <r>
    <x v="4"/>
    <x v="1"/>
    <x v="1"/>
    <s v="3) Program Mgt Team"/>
    <x v="3"/>
    <x v="4"/>
    <s v="07-Dec-12"/>
    <x v="3"/>
    <n v="28"/>
    <s v="_x000a_CD, 18-Oct-12: Initial risk triggers not realised. Good progress on mitigating actions. Next review date moved back in line with next critical milestone/risk trigger._x000a_CD, 20-Sep-12: Risk created.​"/>
    <m/>
    <x v="0"/>
  </r>
  <r>
    <x v="5"/>
    <x v="2"/>
    <x v="2"/>
    <s v="3) Program Mgt Team"/>
    <x v="4"/>
    <x v="5"/>
    <s v="30-Nov-12"/>
    <x v="2"/>
    <n v="207"/>
    <s v="_x000a_31-Oct-12: SM - Waiting for final recommendation from the technical team as to which headsets are recommended._x000a_26/10 - Sandra to present options to DA w/e 09-Nov-12 ref options on how to handle the co-existence._x000a_14-Sep: SM - Have pushed back the trigger and project review date as the technical analysis is now almost complete, and will be going to the DA for review on the 27th Sep.  Following that meeting this will need to be updated with the outcome._x000a_3-aug: BvG - Struggling a little to see this as interoperability issue beyond the technical issue of multiple audio applications using audio devices especially on the XP platform. Beyond that this is a change management issue that will require training. Existing softphone is no different from exisitng physical phone other than contention issues with audio devices etc. surely._x000a_29-Jun: SM - Discussed in the Secaucus workshop.  Agreed that this decision will need to go to the business - but first Sandra to provide a write-up of the inter-operability investigation._x000a_Tests have shown there are some issues with inter-operability, awaiting final results."/>
    <m/>
    <x v="0"/>
  </r>
  <r>
    <x v="6"/>
    <x v="2"/>
    <x v="3"/>
    <s v="3) Program Mgt Team"/>
    <x v="1"/>
    <x v="6"/>
    <s v="30-Nov-12"/>
    <x v="2"/>
    <n v="204"/>
    <s v="_x000a_14-Sep: SM - Associated issue has been closed - reopening this as it will continue to be a risk throughout the project. Based on Sandra's update, I've updated this risk to push out the date of review until after Sandra's document has been seen by the DA. _x000a_11-Jul: SM - A recent call with John Murray has highlighted that he does not have enough time to complete work being assigned to him by Lync and O/E - he is going to have to prioritise one at the expense of the other.  Both sets ​of work are on the critical path."/>
    <m/>
    <x v="0"/>
  </r>
  <r>
    <x v="7"/>
    <x v="2"/>
    <x v="2"/>
    <s v="3) Program Mgt Team"/>
    <x v="5"/>
    <x v="7"/>
    <s v="01-Jan-13"/>
    <x v="4"/>
    <n v="175"/>
    <s v="_x000a_09-Nov-12: SM - John Murray has the action to finish collecting the local office data.  He is going to talk to Shaun Bradley to get more resource to get it completed._x000a_ _x000a_26/10 - Call setup with John Murray Fri 02-Nov-11 to understand network analysis performed to-date, next steps, 'buy-in' required from network ops etc._x000a_11-Jun: Deep dive will be done w/e 15-Jun to go futher into the infrastructure to try and make the bandwidth calculator more accurate."/>
    <m/>
    <x v="0"/>
  </r>
  <r>
    <x v="8"/>
    <x v="2"/>
    <x v="2"/>
    <s v="5) Steering Committee"/>
    <x v="3"/>
    <x v="8"/>
    <s v="31-Dec-12"/>
    <x v="5"/>
    <n v="123"/>
    <s v="_x000a_09-Nov-12: SM - Awaiting Sascha to update his strategy in line with the program managers requests._x000a_26-Oct-12: SM - Sascha Mcdonald has been brought in as the M&amp;C Performance Test Manager.  He is currently working through a proposal for Lync Performance Testing which will be discussed and agreed on."/>
    <m/>
    <x v="0"/>
  </r>
  <r>
    <x v="9"/>
    <x v="3"/>
    <x v="4"/>
    <s v="5) Steering Committee"/>
    <x v="0"/>
    <x v="9"/>
    <s v="01-May-13"/>
    <x v="6"/>
    <n v="154"/>
    <s v="_x000a_11-Sep: Per David, Trigger Date is May 2013; next monthly exec meeting to review after is 6-October_x000a_10-Sept (David): This is covered at the Exec meeting monthly. Therefore can I suggest we keep it at M&amp;C level and based on the Exec meeting update it accordingly - it will remain a risk until Sharepoint 1 is live at least ! LM&gt; David for trigger date, next review._x000a_10-Sept (Brett): Not to do with Enterprise Plan; Certainly it impacts our ability to execute an enterprise plan of interdependent programs using/building SharePoint but they key issue is that while we need to be able to share SharePoint components etc between programs there is currently nothing in place to actually allow/facilitate this beyond individual developers and delivery programs more broadly talking to each other, establishing what is being worked on and available etc. The issue therefore results in a situation where business cases are being approved for independent programs to proceed (SDET, GAAIT etc) on the basis that they will share components etc and where our leadership believes this is actually achievable at scale. It is not and would be entirely ad hoc causing either high overhead to achieve or causing it simply not to happen._x000a_4-Sept (LM): LM &gt; Ian for guidance; convo may be needed amongst Chris, David and Brett to align. Per Brett, &quot;This does not address the issue. The things Brian has linked to have always been there. The issue here is that in a practical way there is no real ability for programs to share code/components in the way that is expected by our leadership when they approve parallel efforts such as M&amp;C with GAAIT Replacement, SDET, Oceania Records Management etc. We don't have the internal disciplines or processes and the reality is that code is not shared or managed and is, on the ground, reinvented etc.&quot; Ian agreed, 6-Sept, LM &gt; Brett/David to gauge interest in such a call._x000a_29-Aug (LM): E-mailed Brett with details to confirm whether resolution is satisfied by the processes described in the documentation linked below._x000a_23-Aug (LM): Susan Pietretti discussed with Brian Blinco who confirmed that there is a process (documented) around reusable assets/components. He offered to discuss with someone from M&amp;C if needed. Laura &gt; David and Ian with this update; if satisfactory for the need specified in this risk, close. Links here: _x000a_http://connections.ey.net/wikis/home?lang=en#/wiki/Strategy%20%26%20Architecture%20Library/page/Standards%20%26%20Roadmaps%20-%20Platform%20Usage%20and%20Enablement_x000a__x000a_ http://quickr.ey.net/LotusQuickr/saea/PageLibrary852576A20065DF81.nsf/h_Toc/9816CEAF5A1BDD19852576A200661FB3/?OpenDocument&amp;ts=1319201730153#%7Btype=1&amp;unid=94C3A972E50260FDC12576DC007C5176%7D_x000a_ _x000a_http://quickr.ey.net/LotusQuickr/saea/PageLibrary852576A20065DF81.nsf/h_Toc/9816CEAF5A1BDD19852576A200661FB3/?OpenDocument&amp;ts=1319201730153#%7Btype=0&amp;unid=97E8331E4EF2649D852578B5006CC452%7D_x000a__x000a_22-Aug (LM): Followed-up with Chris; Susan Pietretti will be in touch to discuss._x000a_13-Aug (LM): Discussed with Ian and David and David suggested this would be more appropriately owned by Chris d'Arcy as it is really a risk broader than just M&amp;C. Laura emailed Chris for his input/agreement and update._x000a_18-July: Per Alan, reassigned to David Bingham. LM &gt; David to alert him of reassignment._x000a_23-May: Rewrote Risk extensively following Wall discussion and follow-up between Nick Coburn, Andy Ioannou and Brett van Gelder_x000a__x000a__x000a__x000a__x000a__x000a__x000a__x000a_16-May: This needs to be escalated to Alan &gt; IT Services leadership. Brett, Nick, and Andy MacRae to talk off-line and take to Alan by next week._x000a_27-Apr: Team determined this is really a risk, not an issue. 23-Apr Brett: This is something that falls mostly in Brian Blinco's Application Architecture function with some involvement from EA Standards Office (Andy Macrae). There is almost certainly need for commitment by IT Services CLT and possible implications from a Methodologies perspective. ​"/>
    <m/>
    <x v="0"/>
  </r>
  <r>
    <x v="10"/>
    <x v="3"/>
    <x v="5"/>
    <s v="3) Program Mgt Team"/>
    <x v="4"/>
    <x v="10"/>
    <s v="07-Nov-12"/>
    <x v="7"/>
    <n v="91"/>
    <s v="_x000a_17-Oct: Geoff - move this out till after 7/11 when we have a program wide test planning workshop which will look at this and other integration issues. _x000a_16 Oct (SB): updated re Test appriach - Simon Barkley_x000a_12 Sep CB: reassigned to Geoff_x000a_​09 Aug CB: under review by Brian Ford, revising review date to end Sept._x000a_ "/>
    <m/>
    <x v="0"/>
  </r>
  <r>
    <x v="11"/>
    <x v="3"/>
    <x v="6"/>
    <s v="3) Program Mgt Team"/>
    <x v="2"/>
    <x v="11"/>
    <s v="13-Dec-12"/>
    <x v="8"/>
    <n v="121"/>
    <s v="_x000a_26/10/12: RP: awaiting confirmation of final Lync dates and will work to ensure as much alignment as possible for the deployment of both tools._x000a_28/08 (IW) - Meeting scheduled for 30th Aug to discuss alignment further, continued discussion with Lync team on detailed deployment plan and approach which should be ready during the next week._x000a_14/08 (IW) - Regular meetings scheduled to discuss alignment between the teams and get clarity around the possible options. Next meeting 15th Aug._x000a_31/07/12 - Updated details and changed status to active.​"/>
    <m/>
    <x v="0"/>
  </r>
  <r>
    <x v="12"/>
    <x v="3"/>
    <x v="4"/>
    <s v="3) Program Mgt Team"/>
    <x v="4"/>
    <x v="12"/>
    <s v="30-Nov-12"/>
    <x v="2"/>
    <n v="107"/>
    <s v="_x000a_2-Nov: Per David, no current actions required. Date to end of November for checkpoint._x000a_17-Oct: Per Rewa, this was one of the items raised from the Messaging Workshop; ultimately it is down to resource constraint which is being looked at through a variety of channels currently._x000a_16-Oct Rewa: Rewa suggested David; David agreed assignment. 15-Oct: LM &gt; Rewa for assignee._x000a_09 Aug CB: resource planning is dependent on clear deliverables and planned activities t​o achieve these, with clear and agreed skill and effort estimates which drives the number of resources required to be available at a given time.  First step is to get these clear deliverables in the plans, with resources required documented - see mitigation plan"/>
    <m/>
    <x v="0"/>
  </r>
  <r>
    <x v="13"/>
    <x v="3"/>
    <x v="7"/>
    <s v="3) Program Mgt Team"/>
    <x v="3"/>
    <x v="13"/>
    <s v="19-Nov-12"/>
    <x v="9"/>
    <n v="63"/>
    <s v="_x000a_02/10/12 - Connection made with Andy Palfreyman, time scheduled with him to walk through existing assumptions and to understand how outputs of transition workstream can feed into business case update. Further session planned with Shaun Bradley to walk him through assumptions._x000a_22/10/12 - Met with Andy Palfreyman and Shaun Bradley, transition related inputs have been provided to them. Regular checkpoints setup to discuss business case update and alignment with Transition workstream plan._x000a_ "/>
    <m/>
    <x v="0"/>
  </r>
  <r>
    <x v="14"/>
    <x v="3"/>
    <x v="7"/>
    <s v="3) Program Mgt Team"/>
    <x v="3"/>
    <x v="14"/>
    <s v="26-Nov-12"/>
    <x v="0"/>
    <n v="63"/>
    <s v="_x000a_​02/10/12 - Have made request to EMEIA storage leads, but proving to be a very slow process to gather data. Looking to identify additional mechanism to get within shorter timescales._x000a_22/10/12 - Have highlighted risk to Shaun Bradley who suggested I connect with Andrea Cohnens-Mohns._x000a_ _x000a_ "/>
    <m/>
    <x v="0"/>
  </r>
  <r>
    <x v="15"/>
    <x v="3"/>
    <x v="7"/>
    <s v="3) Program Mgt Team"/>
    <x v="3"/>
    <x v="15"/>
    <s v="26-Nov-12"/>
    <x v="0"/>
    <n v="63"/>
    <s v="_x000a_02/10/12 - Have held call with James Hartley to understand work of JD&amp;A, further discussions may be required to ensure that there is not double counting of potential benefits in this area.​"/>
    <m/>
    <x v="0"/>
  </r>
  <r>
    <x v="16"/>
    <x v="3"/>
    <x v="7"/>
    <s v="3) Program Mgt Team"/>
    <x v="2"/>
    <x v="16"/>
    <s v="01-Jan-13"/>
    <x v="4"/>
    <n v="63"/>
    <s v="_x000a_02/10/12 - Alan Guthrie has spoken to Mo Osborne to confirm intention to update the M&amp;C business case in Nov/Dec to align with current deployment timescales. Plan to be developed to for data collection activities related to refresh.​_x000a_22/10/12 - Business Case update plan in development and set for review with Alan Guthrie on 26/10/12_x000a_ _x000a_ "/>
    <m/>
    <x v="0"/>
  </r>
  <r>
    <x v="17"/>
    <x v="3"/>
    <x v="8"/>
    <s v="3) Program Mgt Team"/>
    <x v="0"/>
    <x v="17"/>
    <s v="30-Nov-12"/>
    <x v="2"/>
    <n v="69"/>
    <s v="_x000a_14-Nov: reviewed on fortnightly RAID call; a number of actions underway to look at how deployment schedules line up and the challenge around user experience.A follow-up meeting has been scheduled for next week. Reassigned to Anthony who has taken on the Ent. Planning role for M&amp;C_x000a_12-Oct (LM): Combined risk 284 (related) into this. May need to split out based on effect (operational readiness / deployment schedules). Laura sent to Susan 12-Oct for input._x000a_25-Sep (SP): There is a need for guidance from I&amp;O and the Enterprise Planning function as regards the prioritization of deployments across IT Services to determine whether our deployment schedules need to be revised. ​ Escalated to C. D’Arcy_x000a_19-Sep (LM): Discussed on fortnightly RAID call; team suggested this be owned by Susan (in line with risk 284) as aren't sure if this is better driven by the Enterprise Planning team. Steve to inform Susan 19-Sep, Laura 20-Sep._x000a_08/09/12: RB logged risk. RB to seek guidance via S Pietretti in Enterprise Planning team, B Pardoe will also raise via J Pritchard. RB also flagged to S Bradley for discussion.​_x000a_History of Risk 284 (combined into this):_x000a_3-Oct: Susan and Rewa meeting today to develop approach to reviewing deployment schedules. Moving fwd; date should be set for end of Oct._x000a_19-Sep (LM): Discussed on fortnightly RAID call- Rewa scheduled a meeting (Monday) to increase understanding of overall enterprise plan and how will manage business impact of all planned change.The team suggested this should be owned by Susan Pietretti; Steve to inform Susan 19-Sep, Laura 20-Sep. _x000a_4-Sept (LM): Per Blaine, the current action on this is that he is working with Gil Levit to address the change impacts of the changes to the operating model, as they are defined​.    Gil has surfaced with the leaders of I&amp;O to get their input._x000a_ "/>
    <m/>
    <x v="0"/>
  </r>
  <r>
    <x v="18"/>
    <x v="3"/>
    <x v="9"/>
    <s v="3) Program Mgt Team"/>
    <x v="1"/>
    <x v="18"/>
    <s v="25-Nov-12"/>
    <x v="10"/>
    <n v="0"/>
    <m/>
    <m/>
    <x v="0"/>
  </r>
  <r>
    <x v="19"/>
    <x v="4"/>
    <x v="6"/>
    <s v="3) Program Mgt Team"/>
    <x v="0"/>
    <x v="19"/>
    <s v="16-Nov-12"/>
    <x v="11"/>
    <n v="238"/>
    <s v="_x000a_21-Nov (DB): Reassign to Rachel (inc. Rachel for awareness)_x000a_14-Nov: On fortnightly RAID call, action assigned to Laura to check in with Shaun - Shaun had taken an acction to set-up a task force to look at impact assessment. Neil suggested may either need a second related risk raised for Lync (and possibly Collaboration) or as an alternative make this a program-wide risk and assign to Shaun. 15-Nov: LM &gt; Shaun for his input._x000a_9-Nov IM - continuing to work with Gil through to network teams_x000a_ _x000a_1-Nov IM - Meeting arranged 8/Nov with I&amp;O Gil Levit for update on I&amp;O readiness and on Network Assessment validation. Updated trigger and review dates._x000a_ _x000a_29-Oct IM - Related risks 306, 307 and issue 187. Working with I&amp;O on support side for velocity through Shaun/Gil. Working with Network Operations to confirm network constraints before being able to confirm a true velocity that I&amp;O would be required to support._x000a_17-Oct: Reassigned to Ian McGeachie per Rewa on fortnightly RAID call._x000a_3-Oct (MK):  _x000a_&lt;&gt;&lt;&gt;&lt;&gt;&lt;&gt;&lt;&gt;&lt;&gt;&lt;&gt;&lt;&gt;&lt;&gt;&lt;&gt;with all the latest meetings we have had with Gil and the wider I&amp;O groups, we now have a good understanding of the issues that they see can/will impact the plan. We have one more meeting tonight (that I need to prepare for) that will conclude the schedule of meetings...after that we will get a consolidated view of issues from Gil...however - so far we are committed to meet the deployment plan milestone (baseline) on October 15_x000a__x000a_04-Sep (IW): Service design sessions continuing, briefing by deployment held, explaining deployment approach and drivers. Expect output from sessions over the next couple of weeks which will then be used to drive any updates to the deployment schedule._x000a_28-Aug (IW): Successful meeting held with I&amp;O leadership, strongly supported by Shaun Bradley. Acceptance of need for high velocity understood and details into I&amp;O/ST service design sessions, furthermore design sessions will be kicked off with deployment plan walkthrough presentation._x000a_14-Aug (IW): Action plan in place with Service transition and I&amp;O, aim to host meeting w/c 20th Aug with I&amp;O leadership to ensure common understanding acceptance of planning criteria and constraints driving the plan to date. Taking output into I&amp;O/ST design sessions. Changing next review to 24th August. Furthermore presentation of findings and latest plan will be made available to I&amp;O workshop w/c 27th August, changing trigger date to following week from workshop._x000a_8-Aug (LM): From Prog RAID call, Martin took action to update this item. Will review next week the impact of delaying confirmation of velocity._x000a__x000a_19 June 12: Updated impact and effect to match the latest info around delays from I&amp;O. They no longer expect to be able to meet the mid-august confirmation and don't have a new target date yet. We're meeting with Shaun and Nick to discuss on Monday 23rd. Moving the next review date accordingly to end of next week._x000a_07 June 12 : Socialization of draft plan continues under the assumption that I&amp;O will be able to support the velocity in the draft. Changed the review date and required resolution date as discussed with Martin Kremmer._x000a_16 May 12: Working to get the relevant people to review. Currently, it is expected that the review of I&amp;O team will take place on 30 May 12_x000a_​30 Apr 12: Discussed with Martin kremmer: To be reviewed with Sophie.Required resolution date - TBD"/>
    <m/>
    <x v="0"/>
  </r>
  <r>
    <x v="20"/>
    <x v="4"/>
    <x v="6"/>
    <s v="3) Program Mgt Team"/>
    <x v="1"/>
    <x v="20"/>
    <s v="23-Nov-12"/>
    <x v="12"/>
    <n v="190"/>
    <s v="_x000a_26/10/12: extended due date to when we have confirmed Lync timescales. Proposed management through comms and stakeholder engagement and will finalise this once the Lync timescales are confirmed._x000a_ _x000a_08/09/12: RB: Latest update from Lync team is: Pre-pilot Test - April; Pilot - May; Deployment - June. OE Pilot is March, Deployment is April. Change team will manage communications and learning but until there is further clarity on Lync service, further detailed planning to mitigate this risk may be limited._x000a_15/08: RB: Meeting rescheduled from 15/08 to 29/08 due to unavailability of participants. Review date deferred._x000a_31/07: Meeting planned for 19/07was rescheduled as a result of Messaging Workshop and holiday. Meeting to be held 02/08. Trigger date moved back to end September when Lync plan will be more concrete and when we have a clearer view as to I&amp;Os ability to support deployment schedules across Lync and Outlook._x000a_11/07: Two meetings already held with Lync, Transition and Business deployment team. Further updates required when M Kremmer and M Laci return from holiday. Meeting to be scheduled by RB for 19/07_x000a_13/06: Lync scope will not be confirmed until the end of June, after which it will be possible to determine what the timeline for deployment is. There are currently suggestions that deployment is being targeted for February 2013 which will be right up against the planned Outlook Pilot. Confirm with Neil and Martin K how deployment plan will factor this in, confirm with Service Transition if Ops can support it, and confirm with Business change that they can plan for managing impact of each outcome on users._x000a_23/05: Review again once Lync vendor in place and there is clarity on Lync delivery timescales​_x000a_19/04/12: RB: Risk created out of decision to close D223"/>
    <m/>
    <x v="0"/>
  </r>
  <r>
    <x v="21"/>
    <x v="4"/>
    <x v="6"/>
    <s v="3) Program Mgt Team"/>
    <x v="1"/>
    <x v="21"/>
    <s v="16-Nov-12"/>
    <x v="11"/>
    <n v="274"/>
    <s v="_x000a_21-Nov (DB): Reassign to Rachel (Rachel inc for her awareness)_x000a_9-Nov IM - continuing to work with Gil through to networks _x000a_1-Nov-2012 IM - Ownership taken. Working with I&amp;O to determine capacity to handle volume, and to re-validate Network Assessment on velocity. meeting scheduled 8/Nov, next update 9/Nov. Trigger and review dates updated._x000a_ _x000a_08/09/12: RB: Deployment schedule to be validated with Stakeholders by M Kremmer. Contract with MSFT now has 3-month on-prem migration window built into commercial structure, Microland contract will also embed this. Changes to contractually agreed timeline will incur additional cost, program must bear the risk of this. Decision 256 requested to be made by Business Sponsors. J Brown confirmed this should be for the EY executive, not M&amp;C EDG. As contracts now progressed, need to inform executive of risk of changes to migration schedule both for on-prem and O365 and request executive support in ensuring countries agree to migrate per schedule. Next review end of October per milestone for confirmed Business Deployment Schedule. _x000a_07/08: RB: Meeting held 02/08 to agree next steps. Nick Coburn to escalate via Service Transition on current I&amp;O plans to manage deployment velocity, Martin to continue to validate migration schedule with business. Follow up meeting to be held 16/08. Network bandwidth assessment outcomes still pending._x000a_20/07: RB: Wording of risk updated. Date moved back as further discussions need to be held with I&amp;O and Business deployment to resolve. Date revised to end of August._x000a_25/06/12: RB: Draft deployment schedule being circulated by Business Deployment team, ongoing discussions regarding what velocity operations can support. Meeting held 22/06 resulted in action for M Laci to secure from I&amp;O an indication of maximum velocity they could support to feed into plan. M Kremmer to provide feedback from business re deployment plan/schedule. Follow up meeting scheduled for 29/06_x000a_30 May 12: Martin: Still awaiting confirmation from operations on their ability to support the velocity in the draft deployment plan_x000a_18-Apr: Can now start to work with operations to determine what migration velocity will be. Target to have deployment plan baslined at end of May. Updated due date from 20-Apr to 30-May._x000a_02/04/12: RB: Draft pack developed by MK and RB with MK, needs to be presented for approval, already highlighted request for exception to black out periods._x000a_09/03/12: RB: Meeting scheduled for 21/03/12 to agree migration strategy and velocity, and determine how these will be agreed with Microsoft, Ops, and Business_x000a_27/02/12: RB: Wording amended. Further discussion needed with Business Deployment, Transition Management, TF and MSFT to agree how to resolve these_x000a_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_x000a_21/02/12: RB: Added as output from Assumptions log. Assumption cannot be revalidated​"/>
    <m/>
    <x v="0"/>
  </r>
  <r>
    <x v="22"/>
    <x v="4"/>
    <x v="10"/>
    <s v="3) Program Mgt Team"/>
    <x v="5"/>
    <x v="22"/>
    <s v="28-Dec-12"/>
    <x v="13"/>
    <n v="230"/>
    <s v="_x000a_8-Oct - SOW in place, confidence will not be increased until we start testing in December (earliest)_x000a_17-Sept - hardware now available and SOW approaching agreement. Risk will be closed once SOW is signed and microsoft is on the hook to deliver a working solution into test_x000a_08/08 (PN) - Migration &amp; coex signed off and agreed. Coex VMs ordered and implementation proceeding. Migration &amp; Coex SOW WIP to put Migration on the hook for making 3 way work. Nxt review when have hardware, SOW etc._x000a_22/06 (PN) - Migration &amp; Coexistence document still to be signed off expected final review 28/06_x000a_07/06 (PN) - Migration &amp; Coexistence document revisd and under review which will detail the design for the three way coexistence - need to resolve and prove the design before Service Ready for Exchange 13 Nov._x000a_16/05 (RB): Migration &amp; Coexistence document under review, aim is to complete in 3 review cycles rather than 5. With DA for review completion w/e 25/05_x000a_​01/05: - Migration &amp; Coexistence document expected 03_May, will include 3 way design from LN to Exch On_prem &amp; Cloud_x000a_15/03/12: RB: CR026 with CCB for approval. Risk downgraded to minor but not to be closed until design is delivered._x000a_12/03/12: RB: CR has been raised by TF Exchange to Microsoft to produce the design for 3-way coexistence. This has not been done before by Microsoft_x000a_27/02/12: RB: Update received from PN: &quot;The change request to introduce the work to define the 3-way coexistence into the exchange On-Prem SOW,  is still being drafted by Microsoft. We expect it to be delivered to us this week. We do know BinaryTree have a established POC of the threeway in their lab.&quot;_x000a_22-Feb: Paul and TF in conversations with Msft. Awaiting response from Msft._x000a_21/02/12: RB: Added as output from Assumptions log. Assumption cannot be revalidated (Legacy A72)"/>
    <m/>
    <x v="0"/>
  </r>
  <r>
    <x v="23"/>
    <x v="4"/>
    <x v="11"/>
    <s v="3) Program Mgt Team"/>
    <x v="1"/>
    <x v="23"/>
    <s v="30-Nov-12"/>
    <x v="2"/>
    <n v="147"/>
    <s v="_x000a_19 Nov - CS working with Deployment to re-plan ZA and DE To Be ExMIA Application Landscape.  ZA replanned to sign off 23 Nov,DE signed off 30 Dec._x000a_05/11/12 - CS working with JD&amp;A and SD to finalise/agree DE &amp; ZA As Is and To Be AppLandscapes. scheduled for 16/11/12_x000a_ 12/10/12 - Lock down on pilot countries South Africa, Germany and Ireland. Working with pilot ocuntries to work out remediation._x000a_Charlie Sclater 1 Oct South Africa and Germany have been identified as the two Pilot countries for Cloud and On Perm respectively_x000a_Charlie Sclater 25 Sep: Working with Deployment and JD&amp;A to idetify and prioritise remediation activities. Developed high level stage plan to manage/deliver rememediation for Pilot. _x000a_19-Sep (LM): Per Rewa on fortnightly RAID call, working through this with JD&amp;A team; have provided a high level plan and working with James H. to confirm can meet timelines. Trigger date moved out to close of next week._x000a__x000a_5-Sept (LM): Rewa will raise for wall call tomorrow._x000a__x000a_01-Aug: Steps being taken to resolve challenges surrounding D&amp;A to ensure that impact assessment is completed and applications start getting remediated through the Service Delivery 'channels' to allow impact applications to be reconfigured, enhanced and tested before the migration of users._x000a_25-Jul: ​Martin provided update on RAID call; plan in place which will bring to mid-Sept before will know impact on the on apps. Socialize mid-October. Martin will update further."/>
    <m/>
    <x v="0"/>
  </r>
  <r>
    <x v="24"/>
    <x v="4"/>
    <x v="12"/>
    <s v="3) Program Mgt Team"/>
    <x v="3"/>
    <x v="24"/>
    <s v="30-Nov-12"/>
    <x v="2"/>
    <n v="103"/>
    <s v="_x000a_04/11: RB: Microsoft have confirmed that Exchange 2013 is not an in-place upgrade and will require parallel infrastructure to be installed in all on-premises locations. No detail as yet around likely extent of infrastructure that can be re-used. Highlighted to Exec Sponsor Meeting on 06/11 as a watch item. RB working with BvG and DB to agree next steps._x000a_12/10/12 - RB - Further clartiy required date pushed._x000a_07/08: RB: Meeting held with Peter Li from Microsoft to explain scope of change and likely impact on infrastructure budget. Total value of investment required not yet known. Meeting to be held in two months to determine what financial planning needs to be undertaken. It is expected that at this point there will be further clarity on Microsoft's release dates for Exchange 13, for confirmation of the FY13 budget and also on the on-premises deployment timeline which may influence investment decisions._x000a_24/07: RB: Risk logged. Meeting to be held 01/08/12 with Peter Li to understand scope of impact as a result of upgrade. EY team to then discuss next steps and develop resolution/mitigation plan.​"/>
    <m/>
    <x v="0"/>
  </r>
  <r>
    <x v="25"/>
    <x v="4"/>
    <x v="12"/>
    <s v="3) Program Mgt Team"/>
    <x v="1"/>
    <x v="25"/>
    <s v="31-Oct-12"/>
    <x v="14"/>
    <n v="79"/>
    <s v="_x000a__x000a_16/10/12: RB: RB,  A Briggs &amp; D Bingham met with Gareth Thomas in the DCC program 15/10. DCC are working on responding to our request for confirmation of the DCC schedule per our requirements, and also on the cost of each on-prem site build so that we can raise a CR for the costs (logged under R258). The estimate Gareth gave was that they would have a response in the next 2-3 weeks, but we did not have any firm date for delivery._x000a_ _x000a_8-Oct - no response from DCC issue escalated to Rewa being managed in weekly calls with DCC and escalations"/>
    <m/>
    <x v="0"/>
  </r>
  <r>
    <x v="26"/>
    <x v="4"/>
    <x v="4"/>
    <s v="3) Program Mgt Team"/>
    <x v="2"/>
    <x v="26"/>
    <s v="07-Dec-12"/>
    <x v="3"/>
    <n v="90"/>
    <s v="_x000a_21-Nov (DB): meeting to arrange with Tim / Mo / Alan - to work through the options and the impact of the delay in decision making - likely to be first week in December_x000a_16/10/12 RB - Risk ownership reassigned to David Bingham from C Burnside. Ian McGeachie leading activity to confirm country status, working with Q&amp;RM. D Bingham has also escalated​ to J Murphy. Target is for resolution by mid November so that on-prem hardware orders can be submitted by 1 December_x000a_03-Sep-12 CB: risk accepted and explained to Q&amp;RM and EYGS Account Lead for EMEAI Richard Sheldon._x000a_12-Sep-12 CB: reduced Prob from Med to Low and Impact from High to Med.  Also set next review to end of the year as possible that decisions for these 8 countries will take to end of year so risk remains until that time."/>
    <m/>
    <x v="0"/>
  </r>
  <r>
    <x v="27"/>
    <x v="4"/>
    <x v="13"/>
    <s v="3) Program Mgt Team"/>
    <x v="4"/>
    <x v="27"/>
    <s v="16-Nov-12"/>
    <x v="11"/>
    <n v="45"/>
    <m/>
    <m/>
    <x v="0"/>
  </r>
  <r>
    <x v="28"/>
    <x v="4"/>
    <x v="11"/>
    <s v="3) Program Mgt Team"/>
    <x v="1"/>
    <x v="28"/>
    <s v="30-Nov-12"/>
    <x v="2"/>
    <n v="74"/>
    <s v="_x000a_19 Nov CS: ZA and DE To BE ExMIA Landscape Singoff delayed to 23 &amp; 30 Nov respectively.  Milestone will drive ExMIA Remediation scope, resource requirements and budgets_x000a_5 Nov CS: working with JD&amp;A and ZA&amp;DE to approve To Be App Landscape due 16 Nov, which will then drive ExMIA's App Remediation scope_x000a_12/10/12 - reviewed by CS at RAID call._x000a_Charlie Sclater 1 Oct: JD&amp;A has some budget to remediate priority applications, currently working with Deployment to prioritise EMIA applications. Current plan is to have assessment completed by 15 Oct_x000a_Jon Els Focus is align and prioritise app remediation to support Deployment Schedule, thus remedation of Pilot Country's apps will be highest priority"/>
    <m/>
    <x v="0"/>
  </r>
  <r>
    <x v="29"/>
    <x v="4"/>
    <x v="12"/>
    <s v="3) Program Mgt Team"/>
    <x v="4"/>
    <x v="29"/>
    <s v="23-Nov-12"/>
    <x v="12"/>
    <n v="68"/>
    <s v="_x000a_04/11: RB: OE plans under review to determine if any slippage will be caused by resource absence._x000a_15/10/12 - RB - No comms from Cross Org or I&amp;O. Resource gaps need to be identified in workstream plans as orginal timelines need to be adhered to. RB to continue to escalte with Alan/David._x000a_28/08/12 RB: Logged. RB raised with DB and IB. DB agreed to discuss with AG and SB as requires coordinated response across Cross Org, I&amp;O and other IT teams.​"/>
    <m/>
    <x v="0"/>
  </r>
  <r>
    <x v="30"/>
    <x v="4"/>
    <x v="4"/>
    <s v="3) Program Mgt Team"/>
    <x v="3"/>
    <x v="30"/>
    <s v="01-Dec-12"/>
    <x v="15"/>
    <n v="32"/>
    <s v="_x000a_2-Nov: Per David, no orders will be placed until BOM is defined and agreed - and country is cleared to be on prem - move out to December 1 for check point_x000a_​ "/>
    <m/>
    <x v="0"/>
  </r>
  <r>
    <x v="31"/>
    <x v="4"/>
    <x v="4"/>
    <s v="3) Program Mgt Team"/>
    <x v="1"/>
    <x v="31"/>
    <s v="16-Nov-12"/>
    <x v="11"/>
    <n v="30"/>
    <s v="_x000a_21-Nov (DB): Meeting held with Paula Bowie - to build the cross charge framework - need to take the message and use the area relationship managers, Sherry Martin and Paula Bowie, to cascade the approach. Remains overdue._x000a_21-Nov (DB): Assign to David._x000a_9-Nov IM - On Prem deadline escalated to Mo/Tim. Continues to be in focus._x000a_22-Oct - risk raised and managed by the ongoing work of Ian McGeachie.​"/>
    <m/>
    <x v="0"/>
  </r>
  <r>
    <x v="32"/>
    <x v="5"/>
    <x v="14"/>
    <s v="3) Program Mgt Team"/>
    <x v="1"/>
    <x v="32"/>
    <s v="15-Feb-13"/>
    <x v="16"/>
    <n v="138"/>
    <s v="_x000a_15 Oct - DF - MS has annouced RTM for SP 2013 and Office 2013 so the Dec data has been mitigated.  Our remaining risk is RTM for 2013 on O365.  This is scheduled for 1 April 2013 and EY has been identified to be included in the first wave of customers to upgrade.  There will be a pilot upgrade with another customer in February so that will be our next checkpoint on this risk.  See the  bullets below that were provided by O365:_x000a_ _x000a__x000a_Key point are as follows:_x000a_-         There was not a commitment by Dave or Bob E&amp;Y would be upgraded by 4/1/12_x000a_-         There are NO confirmed / committed upgrade dates yet._x000a_-         The first wave is TARGETED to start in the April / May timeframe_x000a_-         The duration of the wave and upgrading are unknown at this point_x000a_-         E&amp;Y is included in the first wave_x000a_-         The first pilot upgrade is targeted for February_x000a_-         After the first pilot is complete, a schedule will be determined_x000a_ _x000a_ _x000a_ _x000a_19 July (AI): Have adjusted required date and review date to align with RTM announcement._x000a_ _x000a_19-July (LM): Per Andy, keep status active to track mitigations as related to RTM and SR in O365. Andy will adjust due date to be closer to RTM date._x000a_18-July: Dave said he considers this closed but left for EY agreement. LM &gt; Brett, Andy and David to confirm closure. Brett confirmed as the risk has been acknowleged and team is activly mitigating. _x000a_10th July : See updates in Risk Triggers above for latest on the dates.  Participation in the TAP program which has started will give the team insight into the product quality throughout the pre-release cycle._x000a__x000a_3rd July : (NC)​ Dave to update to reflect the latest known dates. Please ensure you include the fundamental change in understanding of Beta 1/2_x000a__x000a__x000a__x000a__x000a__x000a__x000a__x000a__x000a__x000a__x000a_ "/>
    <m/>
    <x v="0"/>
  </r>
  <r>
    <x v="33"/>
    <x v="5"/>
    <x v="15"/>
    <s v="3) Program Mgt Team"/>
    <x v="1"/>
    <x v="33"/>
    <s v="30-Nov-12"/>
    <x v="2"/>
    <n v="85"/>
    <s v="_x000a_5-Nov (SM) This is definitely not in scope for R1.  As prioritization efforts for R2 are not likely to be concluded until end of November or mid December, this item will be re-evaluated to determine if the risk still exists.  It is planned that extranet would be included in R2 scope; however, there are no agreements on how data would be kept secure, how users would collaborate (inside or outside of extranet) - essentially, requirements have not been fully gathered._x000a_20-Sept (NC) Expectation is the Release 2 planning and scope prioritisatio will have been defined by 15th October. If the prioritised scope requires the extranet however the extranet itself is not part of the R2 scope mitigation will need to be considered._x000a_17-Sep: David provided desc update, prob. and impact info, trigger date. Trigger date will be scope for R2 sign-off. 18-Sep: Lauren&gt;Nicola for date. Laura to update once receive response._x000a_27-Aug (AI): without completing roadmap planning for future Collaboration releases - planned Oct 2012 - M&amp;C cannot commit to introducing extranet capability by Dec 2013._x000a_14-Aug: Added by Laura per call with David and Ian. Laura &gt; David for additional details.​"/>
    <s v="6-Nov: LM &gt; Sherry - new trigger date?"/>
    <x v="0"/>
  </r>
  <r>
    <x v="34"/>
    <x v="5"/>
    <x v="16"/>
    <s v="3) Program Mgt Team"/>
    <x v="1"/>
    <x v="34"/>
    <s v="25-Nov-12"/>
    <x v="10"/>
    <n v="25"/>
    <s v="_x000a_19-Nov(LS): Merged Risk 346 &quot;Concern regarding risks to &quot;happy path&quot; deployment schedule&quot; assigned to Cynthia into this risk._x000a_16-Nov (AI): black-out period from 17/12 - 04/01 being upheld by O365 team. HAve therefore had to rethink deployment approach and plan. Decision taken to split deployment into 2 batches:_x000a_Batch 1 (core functionality): plan to start deployment following CVS completion (27/11 - 28/11) and complete by Fri 14th Dec. Solution would then, technically, be live and available for user operation, although this is only expected from the New Year._x000a_Batch 2: (non-core functionality comprising profile sync of custom attributes and deployment of search crawl to update indexes): plan to execute 4/1 - 30/1. Impact on users operating Beta Pilot during Jan is inability to search for content or people using custom attributes. Risk deemed acceptable, however, decision to go live in this state will be governed by 'Go / No Go' process._x000a_29-Oct (AI): ​Awaiting repsonse from Howard as per contingency plan."/>
    <m/>
    <x v="0"/>
  </r>
  <r>
    <x v="35"/>
    <x v="6"/>
    <x v="17"/>
    <s v="3) Program Mgt Team"/>
    <x v="1"/>
    <x v="35"/>
    <s v="30-Nov-12"/>
    <x v="2"/>
    <n v="249"/>
    <s v="_x000a_04/04: Remain at high. Further information on impact following Service Design._x000a_7-Mar: Nick provided additional detail for this item. R107 closed as it is accounted for in this item.​_x000a_31/07 - Still open as a risk. We need to agree the deployment approach to determine what the impact will be. Sessions are planned with Martin Kremmer._x000a_18/09 - Nick Coburn - Still open - deployment schedule is still to be determined though I/O are working closely with deployment on this._x000a_19/10 - Remain open until deployment plan finalised. Likely to become an issue as overall cost will increase._x000a_ "/>
    <m/>
    <x v="0"/>
  </r>
  <r>
    <x v="36"/>
    <x v="6"/>
    <x v="17"/>
    <s v="3) Program Mgt Team"/>
    <x v="1"/>
    <x v="36"/>
    <s v="30-Nov-12"/>
    <x v="2"/>
    <n v="145"/>
    <s v="_x000a_Nick Coburn 31/07_x000a_Still an open risk - working through with program and I/O but overall deployment and release strategy both within MC and across all programs is not clear._x000a_NC 18/09 - Still open and decisions remain re GCL5, and deployment and of Lync and OE."/>
    <m/>
    <x v="0"/>
  </r>
  <r>
    <x v="37"/>
    <x v="6"/>
    <x v="17"/>
    <s v="3) Program Mgt Team"/>
    <x v="1"/>
    <x v="37"/>
    <s v="30-Nov-12"/>
    <x v="2"/>
    <n v="123"/>
    <s v="_x000a_​Nick Coburn 31/07 - Engaged with Business Deployment team to ensure that I/O input is included in the deployment approach and schedule._x000a_Nick Coburn 18/09 - Still open and being worked with delivery team, deployment and I/O. Neext meeting w/c 17/09._x000a_ "/>
    <m/>
    <x v="0"/>
  </r>
  <r>
    <x v="38"/>
    <x v="6"/>
    <x v="17"/>
    <s v="3) Program Mgt Team"/>
    <x v="1"/>
    <x v="38"/>
    <s v="16-Nov-12"/>
    <x v="11"/>
    <n v="18"/>
    <m/>
    <m/>
    <x v="0"/>
  </r>
</pivotCacheRecords>
</file>

<file path=xl/pivotCache/pivotCacheRecords2.xml><?xml version="1.0" encoding="utf-8"?>
<pivotCacheRecords xmlns="http://schemas.openxmlformats.org/spreadsheetml/2006/main" xmlns:r="http://schemas.openxmlformats.org/officeDocument/2006/relationships" count="21">
  <r>
    <x v="0"/>
    <x v="0"/>
    <x v="0"/>
    <s v="3) Program Mgt Team"/>
    <x v="0"/>
    <x v="0"/>
    <s v="11-Dec-12"/>
    <x v="0"/>
    <n v="206"/>
    <s v="_x000a_19-Nov: Ted sent note that req res date should be moved to 11-Dec-12._x000a_14-Nov: Per update from Rewa and Ted on fortnightly call, they discussed off-line and need a new date; Rewa will follow-up with Charlie and Matt for a confirmed closure date._x000a_17-Oct: Action taken on fortnightly call for Rewa and Ted to discuss off-line; currently need to determine new date._x000a_3-Oct: Per Rewa, this is progressing; Sunil and Charlie are driving this, business manager for group management confirmed. Workshops scheduled for next couple of weeks._x000a_19-Sept (LM): Per Rewa on fortnightly call, IAM still waiting on OE for policies and procedures. Workshop is being scheduled to gain an understanding of the gaps and who the business/IT owners are of the app; this is to be held within 2 weeks._x000a__x000a_17-Sept (DW). We are deploying the infrastrucutre into EYUA from the 18 Oct. As we currnetly have no areement with respect to these Policies etc, the Service will not be available (although ALL Functional Capabilities will be available but not &quot;Switched On&quot;), until M&amp;C advise/confirm. FYI, IAM had a draft available, and will be socialising hese with M&amp;C by COP Tuesday 18th Sept._x000a_14-Sept (Ted): I have passed this on to all parties involved to provide proper updates, including a resolution date by the next RAID meeting. _x000a_5-Sept (LM): Per Ted on fortnightly call, he will follow-up with Rewa and Nikolay._x000a_29-Aug: LM &gt; Daren again per Ted for date._x000a_23-Aug: Charlie, Daren and Ted discussed and agree this should remain open. Laura &gt; Daren, Ted for true RRD._x000a_22-Aug (LM): Per fortnightly call, looking to roll out Group Management in October, but won't be effective without policies and procedures. Charlie was in a workshop with Ant Harper, Nick Wood and Daren Wicks to discuss, and believes this is resolved. Ted to circle back with Daren for his input. Charlie also to assess in terms of milestones and whether there are any issues around the delivery date._x000a_15 Aug - Strategic discussions around EY Group Management are being led betwen the IAM DA, M&amp;C EA and GLMS Team. Decisions are due w/e 17th Aug, that are very likely to impact what Group ID will deploy, and thus the associated Policies, procedures etc. A Draft version of this has now been provded by the GLMS Team, however, the review has been postponed until next week, when more direction wil be made available post this weeks Strategic conversations as mentioned above. This will also feed into the discussions and information required from M&amp;C. Theses discussion will also impact the required by date. As mentioned in the description field above, IAM are NOT responsible for these policies, and thus we may end up in a situation where we deploy the Product and associated capabilities, and M&amp;C will work with a viaraety of teams to Manage and deliver the associated Policies etc. Clearly we (IAM) are trying as much as possile to help, but we cannot delay the deployment into Production, as there are also competing Programs looking to utilise this service. DCC being but one example. _x000a_8 Aug - Provided feebdack to M&amp;C Team. Awaiting feedback on next steps._x000a_25-Jul (LM): Per Ted, Rewa's team working to provide this; updated date pending. Ted will update._x000a_30-May (LM): Rewa - a BA is helping out on this and the output will go to governance group. This will remain open until there is a solid approach on groups._x000a_9-May: Paul will follow-up with Rewa for an update and due date._x000a_27-Apr: per Daren, R126 now an issue._x000a_14-April - Requirements discussions are now taking place betwen M&amp;C and IAM. This is now also an issue, and thus shoulod be moved to the issues log.​"/>
    <m/>
    <x v="0"/>
  </r>
  <r>
    <x v="1"/>
    <x v="1"/>
    <x v="1"/>
    <s v="3) Program Mgt Team"/>
    <x v="1"/>
    <x v="1"/>
    <s v="23-Nov-12"/>
    <x v="1"/>
    <n v="141"/>
    <s v="_x000a_CD, 15-Nov-12: Update provided in Planned Resolution. Next review date updated to reflect anticipated resolution date._x000a_CD, 02-Nov-12: Update provided in Planned Resolution. Next review date updated to reflect anticipated resolution date._x000a_CD, 18-Oct-12: Update provided in Planned Resolution. Next review date updated to reflect anticipated resolution date._x000a_CD, 20-Sep-12: Work started to plan out deactivation capability with I&amp;O. Plans updated to reflect this (CR100). Issue left open to ensure continued focus on finding a timely resolution._x000a_CD, 02-Aug-12: Updated issue to reflect conversations with I&amp;O that indicate they will not able to support deactivation work until at least November 2012.​"/>
    <m/>
    <x v="0"/>
  </r>
  <r>
    <x v="2"/>
    <x v="2"/>
    <x v="2"/>
    <s v="3) Program Mgt Team"/>
    <x v="0"/>
    <x v="2"/>
    <s v="31-Aug-12"/>
    <x v="2"/>
    <n v="137"/>
    <s v="_x000a_14-Nov: Per Neil on fortnightly RAID call, working with AT&amp;T, expecting an update after 4pm today. Neil to update thereafter._x000a_2-Nov: LM &gt; Neil for Planned Resolution/Affected detail.​_x000a_26-Oct: NS &gt; Neil raised to supercede Issue 20._x000a_09/11 - NS - Escalation call scheduled Fri 09/11/12"/>
    <m/>
    <x v="0"/>
  </r>
  <r>
    <x v="3"/>
    <x v="3"/>
    <x v="3"/>
    <s v="3) Program Mgt Team"/>
    <x v="0"/>
    <x v="3"/>
    <s v="19-Dec-12"/>
    <x v="3"/>
    <n v="301"/>
    <s v="_x000a__x000a_2nd Nov - This is an ongoing issue. Alignment now reduced to 31%over the last month. Many mis-alignments due to PMs not speaking and agreeing dates / updating plans. Working with EP team on Interdependencies between programs, especially regarding better alignment processes between M&amp;C and IAM programs. Additional work now being undertaken regarding internal dependency management within the Outlook / Exchange team.  Date being pushed back by one month to monitor progress. This issue will be ongoing._x000a_ _x000a_2nd Oct SJ) - Deep Dive session highlighted additional concerns so depdendency alignment was not the focus. Overall we continue to be aligned around 55%. Further deep dive session to be held, once plans are re-baselined for Exchange / Outlook, AT&amp;T have a plan that EY buy into for Lync and it is understood how we can best align dependencies between to / from SharePoint given that the Infrastructure element of Collobaration is not longer aligns with EY Planning standards.  The situation is being monitored, but pushing date out to end of Oct._x000a_ _x000a_19-Sep (LM) - Per Steve on fortnightly call, traction being made, almost to 60% alignment. Areas of concern include lack of DCC schedule. Drains up review scheduled for 26-Sept._x000a__x000a_4th Sept_x000a__x000a__x000a_Traction being made on IAM dependencies - session held with Bharat (IAM dependency contact). Currently IAM use a separate spreadsheet to update depedencies, however there is no linkage to dependencies stored on IAM plans which is the central source for the EP team to take and produce metrics each week. Agered with Bharat that a separate follow up will occur weekly to ensure alignment is known and missing dependencies are entered on relevant plans._x000a_ _x000a_20th Aug - _x000a_Further internal dependencies coded regarding Outlook / Exchange. SP dependencies reviewed and work stream is standardising descriptions. PMO process documented and in place. Dependency aligment has risen above 50% for the first time in several months, Further work required to align dependencies internally to the work streams which will still take a number of weeks to code / correlate, but positive movement is being made._x000a_ _x000a_1st Aug - Further internal dependencies have now been coded. Full analysis of dependency alignment report has occured. MEssaging fortnightly external program dependency meetings recommenced 1st Aug. Alignment now creeping up and will be over 40% this week. Further session organised with Enterprise Planning team on the internal dependency coding efforts required. _x000a_ _x000a_ _x000a_11th July - Date moving out - Planning standards enhancements being embedded into the plans and internal dependencies are now being fed into the plans allowing the complete picture to be tracked. This will be a gradual process._x000a_ _x000a_13th June - Due to Program changes (ADM, SharePOint etc), Level 3 plans need again to be updated. Once this occurs, dependencies can then be removed / adjusted. Lync dependencies still not clear at this point, Majority of the Exchange / Outlook dependencies have been coded. - Further work required on alignment especially with the DCC Program. _x000a_ _x000a_09th May -  EP team still coding of new dependencies. Starting to re-align dependencies and holding bi-weekly meetings with all teams. This will be a gradual process that will still take a number of weeks to resolve._x000a_16th April Level 3 detailed plans starting to be reconstructed and dependencies at least on the core dependent programs (IAM) starting to be agreed. Dependencies between ADM and SharePoint now also starting to be aligned and dependency meetings now set up for all core programs. Further work is required on the revised org structure / remaining dependencies as previous dependencies now need to be validated. This will be a slow process to amend and fix, but the process has now started_x000a_4th April - Work continues on replanning. Level 0 and 1 plans are now in place for all work streams. However, detailed MPP's need to be rebaselined. Dependency management meetings will occur after Easter every 2 weeks. Working with EP team to code new dependencies when plans are re-baselined._x000a_17th March - As expected, dependencies have reduced in alingment due to new plans being submitted. Resolution will be (a) Ensure Org restructure is known to determine if dependencies still exist. Secondly fortnightly meetings occuring on aligning dependencies throughout the M&amp;C program_x000a_7th March -  Dependencies are still likely to reduce over the next weeks whilst plans are now being refined based on potential org structure changes._x000a_29th Feb - Dependency Alignment will dip further over the next 2 / 3 weeks as new plans replace the originals. Dependency alignment meeting with key external programs booked every 2 weeks from 15th March_x000a_15th Feb - Dependency alignment reduced to 51% - SharePoint and TF Lync plans are effectively shelved and a new plan is being constructed. Dependencies will be mis-aligned at least until 1st March,_x000a_31st Jan - Dependency alignment 58%. 2 plans will be dropped (Lync and SharePoint) as a complete replanning exercise is required. Therefore dependency alignment is projected to drop further._x000a_23rd Jan - Dependency alignment 53%. There are a number of dependencies that could be aligned , but due to significant replaninng tasks being undertaken, current plans are effectively shelfed at this point._x000a_17th Jan - Dependency alignment 49%. This will continue to drop as plans need validation._x000a_11-Jan: Steve thinks got up to 60% this week, but this will probably reduce as replan on account of BPOS. As for a req. resolution date, this is dependent on re-planning of the SP and Exchange streams. For now, TBD; review again end of February._x000a_06th - Jan. Dependency management meetings held with M&amp;C Program Managers and external programs every 2 weeks, but in certain work streams sufficient priority isn't  given to resolving this.  ​_x000a_ "/>
    <m/>
    <x v="0"/>
  </r>
  <r>
    <x v="4"/>
    <x v="3"/>
    <x v="4"/>
    <s v="3) Program Mgt Team"/>
    <x v="0"/>
    <x v="4"/>
    <s v="12-Dec-12"/>
    <x v="4"/>
    <n v="118"/>
    <s v="_x000a_13-Nov (LM): Continuing efforts to reduce documentation stored in site. Laura working with Scott around the possibility of increasing storage capacity._x000a_2-Oct: Call with Ian and Brett. Workstream/library split to being with PMO mid-week, other workstreams to follow. Laura to submit newsletter article for this and next with what is coming and best practices moving forward. Upon moving will further restrict version history. Found Web Analytics and will use this to monitor Storage issue. Will encourage indiv to clean out documentation, reorg to use less folders, etc. Follow-up call scheduled 9-Nov to review progress._x000a_14-Sep (LM): Flipped setting to save drafts for 10 major versions; no effect on item count. Meeting scheduled with Ian and Brett to discuss further on 28-Sept. Will then run a sanity check of plan by Norm or Mike N. Also thinking about this in terms of being able to provide guidance to future instances of SP._x000a_12-Sep (LM): Discussing with Ian on 13-Sep; suggest implement setting of save draft versions for 10 mjr versions (likely will not have an impact) Thereafter sched meeting with Ian and Brett to discuss options for refining the setting._x000a_5-Sept (LM): Plan to test setting on separate folder/library; see how works so can best determine # major versions to keep minor versions for. PMO continues to take re-org of SP site forward._x000a_29-Aug (LM): Setting works differently than anticipated; working with Brett to determine # of versions (maintains minor versions for X number of major versions, as opposed to say, 10 minor versions)._x000a_14-Aug (LM): Second comm announcing the impending version limit settings (10 minor, unlimited major) distributed 13-Aug with implementation date of 28-August. Review at that point._x000a_25-July (LM): Discussed on program RAID call; agreement by those on call to request clean-up actions be taken by streams to clean-up. First comm pending approval by David prior to send._x000a_19-July: Added to RAID log by Laura. Action plan established and agreed with Ian/Steve. Initial comm to inspire awareness and behavior change drafted and sent to Steve/David for their review. Brett working with Msft team to determine areas where there are a large number of versions saved that will help us to determine 1. areas where we may lose versions upon implementing a limit, and 2. an appropriate limit to set such that we maintain a beneficial history of changes, but not so many that we cross the threshold.​"/>
    <m/>
    <x v="0"/>
  </r>
  <r>
    <x v="5"/>
    <x v="3"/>
    <x v="5"/>
    <s v="3) Program Mgt Team"/>
    <x v="0"/>
    <x v="5"/>
    <s v="30-Nov-12"/>
    <x v="5"/>
    <n v="77"/>
    <s v="_x000a_21-Nov (DB): CR raised and approved for the re baseline of the outlook / exchange plan. Work is on going with ATT to agree a baseline plan - expectation is by end of November plans will be agreed and appropriate CR raised. Move date to end Nov._x000a_10-Nov - CR has now been approved for Exchange / Outllook. L3 plans to be updated accordingly and baselined.  There is still no traction being made with regard to Lync. Awaiting AT&amp;T to review and commit to dates that are then accepted by EY. - Expectation is this will occur around the end of Nov now._x000a_14-Nov: Reviewed on fortnightly RAID call; for the O/E piece of this, the CR was submitted this week, hoping for approval 15-Nov. For Lync, looking to go the CR route once issues are resolved (contingent upon resolution of I190._x000a_2-Nov: Per David, 2 updates, for O/E CR to be raised and sent to CCB 8th November for review. For Lync - escalation raised to ATT through Mo to allow plan to baseline - checkpoint 9th November_x000a_17-Oct: sessions scheduled with Lync and Outlook this week to determine whether need CR. David reiterated on fortnightly RAID call that this is a huge issue presently._x000a_10-Oct: Updated Assigned to to David (per Craig). Craig included David on the request for his awareness._x000a_3-Oct: Per Steve, have had 2 deep dive sessions and have an agreement to review with David prior to raising CR. This meeting scheduled for early next week and by end of next week should have confirmation of way forward._x000a_19-Sep-12 LM: Update from fortnightly RAID call - David to review with Neil (Lync) and Rewa (O/E) prior to either raising a CR._x000a__x000a_05-Sep-12 CB: both OE &amp; Lync programs will rebaseline within next 2-3 weeks.  Expecting to close this before beginning of Oct Exec Steering Committee.  Next issue review on 19th is timed nicely on basis that OE is expecting to have rebaseline plan via CR on 14th Sept and Lync should have agreed SOW for Technical Preview and be able to at least indicate for remaining 2/3s of DC build out what the timeline is and have estimated start date based on commercial position of that SOW at that time._x000a_Steve Jelf: Would suggest this needs to be resolved in time for the next Exec Steering Comittee Meeting and to share revised dates with Exec Sponsors.,​"/>
    <m/>
    <x v="0"/>
  </r>
  <r>
    <x v="6"/>
    <x v="4"/>
    <x v="5"/>
    <s v="5) Steering Committee"/>
    <x v="0"/>
    <x v="6"/>
    <s v="30-Nov-12"/>
    <x v="5"/>
    <n v="443"/>
    <s v="_x000a_14-Nov: Reviewed on fortnightly call. Per Rewa, summary pack delivered. This has the highest visibility possible (with John Murphy for resolution). It looks like 30Nov won't be met; will schedule countries as get confirmation of status._x000a_08/11/12: RB Summary pack produced for escalation to IT Services Leadership to request support in closing out this issue. Deadline set of 30/11 as on-prem hardware orders must be placed by 1 December to meet on-prem deployment schedule and contracts agreed with Microsoft and Microland._x000a_05-Sep CB: Susan advises she and Karin will be able to inform on timeline once they have met together this week.  I anticipate it will be several weeks before the communications to clients occur and we have a clear outcome on whether any countries will be added to the on-premise list._x000a_03-Sep CB: Karin Lutz and Susan Chakarian developing a decision tree to provide guidance for clients who raise concern about EY moving their in-country email to cloud.  CB requested timescales for this on 3rd Sept.  CB reminded the group that we are proceeding on basis that these countries will not be on-premise, so risk is that there may be one-off migration costs as a result of not being able to migrate within the provisional 3 month on-premise migration window of Aug-Oct 2013.  Reiterated that this cannot be open-ended as delivery scope includes migration of these countries.  Changed Required Resolution date to end of year with monthly reviews.   Issue remains open until either these countries remain as going to cloud or if by when clarity is achieved then they become a CR back into the program to put them on-premise._x000a_09-Aug CB: asked Mira &amp; Susan for update on when Tim &amp; John would be advised of Q&amp;RM commercial assessment output.  I am informed that it will be a further 2 weeks, due to leave, before this will be communicated and only then will the communication with the countries be commenced.  Revising due date to end of September 2012.  This update does not change direction to proceed on-premise delivery plan as per current baseline plan for the 12 countries detailed in the 10th July presentation which have not changed their status.  For 8 countries remaining, their provisional status is to move to cloud so they should be treated as CRs if and when they become on-premise countries._x000a_2-Aug: LM - Updated due date as per Craig's update below._x000a__x000a_27-Jul CB: update received from Mira Tugnait who is leading Q&amp;RM commercial review and risk assessment with local firms on whether local commercial arrangements require email to be stored within country - report findings making 'very good progress' but will be a further 2 weeks (so by 10th August) before report conclusions will be advised to Tim Eddy.  Tim will then take that output to the country firms, via SAMPs, to drive the decision.  Note this is relevant predominantly to the remaining 8 countries where there are 'market drivers' however DCC report output and ITS recommendation are that they move to the cloud.  For 12 countries which have been identified to stay on-premise (full list is 12 out of 21 originally, no more are expected to be added but there is risk that in advising a country firm where their email will be stored, following earlier risk assessments, that the email hosting plan will not be accepted).  Revising due date to 31st August on basis of 2 weeks after 10th Aug - this date consistent with what is being communicated to Exec sponsors (inc Tim) on 30th Jul update meeting.  Also revised issue title to be more clear._x000a_25-Jul (LM): On RAID call - reconfirming countries going on-prem. Action taken to discuss off-line._x000a__x000a_16-Jul - Tim Eddy now pushed date out to 20th July, this is now critical path and delaying the exchange on-prem project day-on-day_x000a_27/06: RB: Required date has now moved to 15 July per agreement with Tim Eddy who is now engaging with the country leads to confirm their on-prem status._x000a_21-Jun - re opened as this item is still causing project issues to the on-prem delivery_x000a_7-June (LM): Closed per Craig with planning assumptions. D20 should remain open for now until formal decision. LM &gt; Craig to provide CR # so can include with decision at that point._x000a_30-May (CB): Armenia, Azerbaijan, Belarus, Georgia, Kazakhstan, Ukraine, Uzbekistan, India (inc Americas &amp; EYGS) will all go to O365.  Planning assumption that Korea, Dominican Republic, Guatemala will also move to O365.  AG advises agreed with JC that a further week is given to determine if UK, Australia &amp; Germany stay on-prem (no hybrid)._x000a_Fortnightly call - (CB) - if no decision reached by end of the week, will use planning assumptions (listed above)._x000a_22-May: (LM) On Get to Green call, Alan took action to have resolution by 29-May._x000a_21-May: Alan sent update that he expects confirmation this week._x000a_16-May: No update; still with Alan._x000a_​9-May: Escalated to Alan to push for a decision. Added to management pack as top critical issue._x000a_1-May-12 - re-opened issue as ongoing delays in the on-prem location decision (D92) is now causing delays for the On-Prem delivery (MSP contract, hanrdware ordering) and O365 delivery (purchase of licences for outlook in the cloud)_x000a_6-Mar: Closed this issue; will track from the decision on the same topic, D92._x000a_15-Feb: Work in progress (working with Siggi and John); open in decisions, as well. will be 1-1.5 months before we understand this. Review 1 month._x000a_11-Jan: Brett said we have the Q&amp;RM report that says with exception of India, others in the red box will be on-premises. Al took an action to provide Adrian a list of countries building in or not building in (this will prob. come from Bob Reiner). Review beg. February._x000a_04-Jan: Review next week; this is mostly resolved but we need Adrian's update (might be just about 8 remaining countries now)_x000a_23/11 - Adrian suggested we push review out 2 weeks as more clarity is sought around this. The next round of discussed are scheduled for this Thursday._x000a_26/10 - Adrian said this is complex and at this point sits in hands of Q&amp;RM and Brett. Next review date mid November._x000a_19/10 - Adrian has questions around this. Laura to schedule meeting for Adrian and Brett to discuss._x000a_05/10 - Brett provided updated description/impact. Assign to Mark/Paul to take it forward. Action created to engage with Q&amp;RM for Lync, Outlook and SharePoint to determine exactly which data are restricted from the Secaucus data centre._x000a_22/09 - There is an assumption that Secaucus in the data centre for the Americas. There are 16-28 countries that will now require data to be maintained in-country. EA, Strategy and Q&amp;RM are working through the implications to clarify what planning is needed to move forward._x000a_14/09 - Brett sent updated description to Adrian. Action for Adrian to update accordingly. Brett has a colleague who is chairing activities to clarify with Q&amp;RM a far more detailed approach. We won't know the impact until following these activities._x000a_07/09 - A number of discussions going on in Enterprise Architecture to determine what the implications are. Follow-up next week to see if we've determined anything further (Brett)._x000a_31/08 - Opened by Juan."/>
    <m/>
    <x v="0"/>
  </r>
  <r>
    <x v="7"/>
    <x v="4"/>
    <x v="6"/>
    <s v="4) Managing Sponsor"/>
    <x v="0"/>
    <x v="7"/>
    <s v="31-Oct-12"/>
    <x v="6"/>
    <n v="171"/>
    <s v="_x000a_14-Nov: Per Rewa on fortnightly call, this has been esc to David; still awaiting confirmation of date._x000a_16/10/12: RB: Meeting held with D Bingham, A Briggs and G Thomas from DCC program. Still awaiting confirmation of schedule. 17-Oct RB on fortnightly RAID call: Gareth is taking this forward; until gain confirmation on known countries, this will remain open._x000a_3-Oct: Rewa escalated to John Lawler yesterday; will raise on Messaging wall call 4-Oct._x000a_02/10/12 - assigned to David Bingham from Craig Burnside_x000a_19-Sep (LM): Reopened/edited by Rewa/Alexa._x000a_25th August - DCC confirmed they will carry out the On prem server builds to O/S Level but schedule is still outstanding._x000a_7-June: Per Craig (LM), this is considered resolved. Added planning assumptions, these are being communicated to DCC. Formal decision still pending as D20, but Alan has confirmed these planning assumptions._x000a_30/05: see planning assumptions added to I33_x000a_29/05: RB created issue from Risk 35. Assigned to Craig Burnside​"/>
    <m/>
    <x v="0"/>
  </r>
  <r>
    <x v="8"/>
    <x v="4"/>
    <x v="7"/>
    <s v="3) Program Mgt Team"/>
    <x v="1"/>
    <x v="8"/>
    <s v="30-Nov-12"/>
    <x v="5"/>
    <n v="145"/>
    <s v="_x000a__x000a_NC 05/11 - Keep open until Microland DD completed_x000a_ _x000a_15 - Oct - Clearly, there is work to be done to define the roles and responsibilities but, as agreed when Microland were with us recently, we will do this via due diligence and this will then be formalised in the contract. As agreed with Ana, we are actively progressing to finalise the specifics of the contract, rather than the contract not progressing.    _x000a_   _x000a__x000a__x000a_8-Oct - Alexa re-opened as this has still not been confirmed or moved forwards._x000a_16-Jul - Nick C confirmed date for this work is 22nd August. This has therefore delayed the microland onboarding as original target date has not been met​_x000a_31/07 - Work progressing to engage Microland in Service Design workshop planned for end of August. UC team has completed their requirements for the scope of service from Microland though this requires validation ahead of the workshop. Agreement from Procurement to proceed with Microland based on their attendance at the workshop as their own 'cost of sale'. Work continues to develop a skinny MSA to allow several strands of work to continue prior to contract signature._x000a_Therefore, the lack of the service model is not holding up progress with Microland and this issue should be closed.  "/>
    <m/>
    <x v="0"/>
  </r>
  <r>
    <x v="9"/>
    <x v="4"/>
    <x v="8"/>
    <s v="3) Program Mgt Team"/>
    <x v="2"/>
    <x v="9"/>
    <s v="30-Nov-12"/>
    <x v="5"/>
    <n v="132"/>
    <s v="_x000a_5 Nov CS- Global Service Desk has approved concept of manually unistalling Outlook 2003/07.  now developing process and comms.  Agree deployment process is to removed users with know Outlook 2010 issues from target list in order to complete deployment.  There is a risk 5000 users will not have Outlook 2010 installed by 30 Nov, looking to prioritise pilot country users_x000a_12/10/12 - CS - Discussing with service desk and product owner the best way of upgrading users._x000a_24-Sep (CS) - Of 5k users identified with Outlook already installed 3k responded to survey.  Aprrox 50% of respondents have permitted the removal of Outlook.   Will need to agree approach to upgrade users impacted by replacing Outlook with a dormant version._x000a_19-Sept (LM): Per Rewa on fortnightly call, still collating survey responses; will have more info following review of surveys._x000a__x000a_7th September- 12: Lynn Agoye: Outlook Survey responses are being collated, deadline for completion is today. Results will be analysed and next steps will be concluded._x000a_15-AUG-12: Lynn Agoye: Survey to existing outlook users has been updated. and is ready to go, GLMS list is pending creation due to a backlog of requests Martin May is currently on leave but upon his return will be issued with a test plan and environment to further test the technical implications of removing mail profiles and PST as there are concerns that the initial test was not thorough enough._x000a_6th August 2012: Survey to existing Outlook user base, is being prepped to be sent out for week of 6th July. However a GLMS list will potentially need to be created as the number exceeds 5,000. There are also discrepencies about the accuracy of the inventory report. These queries are to be discussed in a meeting with the communication, business change and service management team (scheduled for 6th August). A decision will be made following this._x000a_30-July (LA): Tests are currently being conducted on the impact the removal of Outlook will have on outlook 2007 usres. Draft survey is awaiting sign-off before being sent to the users to understand how they are using Outlook 2007._x000a_25-July (LM): Yvonne took action to get update from Lynn. Martin stressed that clear direction on how migrating the different paths is needed; Brett said may need Jeremy and Bob's help. Lynn to update further._x000a_13th June- A meeting was held with Rachel Phillps and Iain Willets to discuss the end user impact and agree next steps, the agreement was that Lazzaro De Gennaro would send the updated Outlook Inventory for us to see the current amount of users today. Rachel will then work to get an email sent out to the end users requesting feedback on their use of Outlook. This would then help the team plan technically what to do with the remaining  active users._x000a_19th June- Lynn Agoye - Feedback from Transition Manager is that the tool that generates the report is down, Lynn Agoye to chase up on progress_x000a_20th July- Lynn Agoye - A decision has been passed to do some pre-deployment testing with some members of IT who already have Outlook installed on their machines, the purpose of the testing will be to see how the installer behaves and if the SCCM reports users with Outlook as being &quot;failures&quot; or if it just ignores them. The results of the tests will help detirmine how we move forward on this issue and will shape the comminications going out ​"/>
    <m/>
    <x v="0"/>
  </r>
  <r>
    <x v="10"/>
    <x v="4"/>
    <x v="9"/>
    <s v="3) Program Mgt Team"/>
    <x v="1"/>
    <x v="10"/>
    <s v="16-Nov-12"/>
    <x v="7"/>
    <n v="100"/>
    <s v="_x000a_26/10/12: Charlie/ Jon have defined a process which will be used with South Africa and Germany as pilot countries. Pushing date to 15 November in order to monitor and assess this approach._x000a_ _x000a_3-Oct (MK): I'm comfortable with the process made by Charlie, Jon and James Hartley...we now have agreement on a process where we will consult the countries with the apps that need clarification.  I know Ian McG is also happy with this approach and the status of it. I will let him decide with Charlie if we can close the issue_x000a__x000a_22 Aug (IW): Details on deployment governance and process of working with the business to get agreement on EMIAs will be reviewed with Jon and feedback gained. Clear process to be put in place for this._x000a_August 10 (MK): The Deployment team is awaiting an JD&amp;A milestone in mid-September that will provide more clarity of the scale of this potential issue.  ​Reassigning to Jonathan Els - and updating dates -  for further clarification on how this issue can/will materialise when the analysis is completed."/>
    <m/>
    <x v="0"/>
  </r>
  <r>
    <x v="11"/>
    <x v="4"/>
    <x v="6"/>
    <s v="3) Program Mgt Team"/>
    <x v="0"/>
    <x v="11"/>
    <s v="30-Nov-12"/>
    <x v="5"/>
    <n v="126"/>
    <s v="_x000a_14-Nov: Reviewed on fortnightly call; still working with David and Paula to pull together, meetings occurring presently. On track for 30-Nov resolution._x000a_03/10 RB: Ben Waterston has produced guidelines, are under review with D Bingham and P Bowie before publication, due 05/10_x000a_RB: Issue linked to I107 (country orders of network hardware to support O365 delivery). D Bingham and R Bouji agreed with P Bowie and R Sheldon that they would progress agreement and communication of process for purchase and reimbursement of in-country assets to support M&amp;C delivery. M Kremmer collating expected costs on a country-by-country basis so these can be socialised alongside guidance. Must have this process in place and communicated by end November so as not to delay On-prem hardware orders in affected countries which will need to be placed at the end of December."/>
    <m/>
    <x v="0"/>
  </r>
  <r>
    <x v="12"/>
    <x v="4"/>
    <x v="6"/>
    <s v="3) Program Mgt Team"/>
    <x v="1"/>
    <x v="12"/>
    <s v="31-Oct-12"/>
    <x v="6"/>
    <n v="0"/>
    <m/>
    <m/>
    <x v="0"/>
  </r>
  <r>
    <x v="13"/>
    <x v="4"/>
    <x v="10"/>
    <s v="3) Program Mgt Team"/>
    <x v="2"/>
    <x v="13"/>
    <s v="16-Nov-12"/>
    <x v="7"/>
    <n v="26"/>
    <s v="_x000a_9-Nov IM - continuing to work through Gil with Network Ops_x000a_2-Nov: Meeting on the 8th; date will move to 9-Nov and perhaps will be the next week. Being actively worked at present._x000a_29-Oct IM - Gil working with Russ for network resources. Project to find resource to support &amp; answer Networks questions ​- raised with Rewa for resource in Yvonne's absence."/>
    <m/>
    <x v="0"/>
  </r>
  <r>
    <x v="14"/>
    <x v="4"/>
    <x v="6"/>
    <s v="3) Program Mgt Team"/>
    <x v="0"/>
    <x v="14"/>
    <s v="30-Nov-12"/>
    <x v="5"/>
    <n v="8"/>
    <s v="_x000a_14-Nov: Per Rewa on fortnightly RAID call, close to being able to address, plans in place to fill 2 positions. On track for 30-Nov resolution._x000a_08/11/12: RB: Issue raised to consolidate I175, I176, I124​"/>
    <m/>
    <x v="0"/>
  </r>
  <r>
    <x v="15"/>
    <x v="4"/>
    <x v="5"/>
    <s v="3) Program Mgt Team"/>
    <x v="0"/>
    <x v="15"/>
    <s v="07-Dec-12"/>
    <x v="8"/>
    <n v="0"/>
    <m/>
    <m/>
    <x v="0"/>
  </r>
  <r>
    <x v="16"/>
    <x v="4"/>
    <x v="11"/>
    <s v="3) Program Mgt Team"/>
    <x v="1"/>
    <x v="16"/>
    <s v="23-Nov-12"/>
    <x v="1"/>
    <n v="8"/>
    <m/>
    <m/>
    <x v="0"/>
  </r>
  <r>
    <x v="17"/>
    <x v="5"/>
    <x v="7"/>
    <s v="3) Program Mgt Team"/>
    <x v="3"/>
    <x v="17"/>
    <s v="07-Dec-12"/>
    <x v="8"/>
    <n v="317"/>
    <s v="_x000a_02-Oct - N.Coburn - This is a central part of the service design and TOM for Collaboration. Need to determine who should be involved in discussing this given O365 will be with MS._x000a_ _x000a_10-Sep - NC picked up and is investigating the requirement_x000a_ _x000a_06-Sep (LS): Emailed Nick to let him know item is overdue_x000a_27-Jun:Reassigned to Nick Coburn_x000a_19-Jun: With Service Design Team. Working with Transition Team to understand business needs._x000a_01-Jun:  Updated issue criticality to &quot;Low&quot; from medium based on current state of Sharepoint workstream.  Also set the review date to 31 July and Reqired resulution to 31 August based on Service Design planning dates._x000a_04/04: To be addressed through TOM model._x000a_29-Feb:  To be discussed at the M&amp;C Transition Planning mtg in Secaucus.  31-Jan: Added to list of decisions needed by the newTarget Operate Model_x000a_25-Jan: Mike has meeting tomorrow with Binu and Mark around infrastructure_x000a_17-Jan: In process of integrating with operating model plan._x000a_11-Jan: no owner of Tier 4 long term activities. Mike has put in charge to run this down for Alan overall. Focused on application side of SP. Review when Mike on call next week._x000a_04-Jan: Michelle said this is still open due to external influences. The team said it should be assigned to Mike Laci instead of Guy. Mike not on these calls so maintained Guy's name, as well. Review next week._x000a_19/12/11 - Guy took an action on the dec and assumptions review call to e-mail Chris d'Arcy, copying Alan and John. (LM emd reminder)_x000a_12/12 - Opened at the infrastructure meeting​_x000a_Migration note: Updated Profile to Program Mgt Team to maintain at Program level."/>
    <m/>
    <x v="0"/>
  </r>
  <r>
    <x v="18"/>
    <x v="5"/>
    <x v="12"/>
    <s v="3) Program Mgt Team"/>
    <x v="1"/>
    <x v="18"/>
    <s v="13-Dec-12"/>
    <x v="9"/>
    <n v="1"/>
    <s v="_x000a_​20th Nov (NC) This was an issue faced by both Messaging and Collaboration"/>
    <m/>
    <x v="0"/>
  </r>
  <r>
    <x v="19"/>
    <x v="6"/>
    <x v="7"/>
    <s v="3) Program Mgt Team"/>
    <x v="3"/>
    <x v="19"/>
    <s v="31-Jan-13"/>
    <x v="10"/>
    <n v="269"/>
    <s v="_x000a_NC 05/11_x000a_Still open and to be considered as part of individual TOM for enterprise apps / platforms_x000a_10-May Migration Note: Changed workstream from M&amp;C Program to Transition._x000a_04/04: Still in progress. Formalizing through TOM work._x000a_02/03: ACTION - N. Coburn to have a first draft view by 16th March.​_x000a_15 JUN: NC progressing this. Meeting to be held with Mike to review all transition requirements. Nick to follow up with Alan on overall TM strategy in Cross-Org_x000a_31/07 - Still work in progress as we continue with the overall approach to TOM._x000a_ _x000a_ "/>
    <m/>
    <x v="0"/>
  </r>
  <r>
    <x v="20"/>
    <x v="6"/>
    <x v="7"/>
    <s v="3) Program Mgt Team"/>
    <x v="0"/>
    <x v="20"/>
    <s v="30-Nov-12"/>
    <x v="5"/>
    <n v="163"/>
    <s v="_x000a__x000a__x000a_NC 05/11 - NC working the open VM issue with Gil_x000a_ _x000a_ _x000a_15 Oct: (MM) Discussed the issue of defining the support model with Nick Coburn and Cynthia. Passed the environment details to Nick. Nick will discuss this with his team mates and will have meeting soon. On an another note, the blocks for realizing the VM environment associated with this issue # have been resolved and the VM is available now. Only the support model issue persists now.This is the current status_x000a_17-Oct: Per Alexa, assigned to Nick Coburn and Transition stream as opposed to Outlook.   _x000a_   _x000a_   _x000a_   _x000a_   _x000a_ 3-Oct: Rewa will take action to Mike to update._x000a__x000a_23-Sep - assigned to environment management team by Alexa_x000a_19-Sep (LM)- Per Rewa on fortnightly call, this has moved to the testing team; will look for update from testing team._x000a__x000a_14-Aug (MM)- Created GCL4 &amp; 5 Templates, transferred to Frankfurt GDC, and being test deployed there._x000a_07-Aug (MM)- Trying to modify GCL5 VM templates. _x000a_18-Jul (MM)-Brett van Gelder referred the matter to Brain Booth. Brain B is now consulting his teams for any usable templates. _x000a_17-Jul: (MM) Plan B could not be pursued because of the Domain connectivity issue. GCL5 VDi Environment @ Secaucus does not connect to EY.net domain._x000a_16-Jul: (MM) Checking the feasibility of Plan B: Hosting virtual test machines in GCL5 VDi Environment @ Secaucus. _x000a_11-Jul - PN meetings in place to review production of Virtual client server iVM mages and determine how we support these machines which fall outside the current BAU processes_x000a_10 July : (NC) After disucssion with Manesh at the weekly team meeting I have updated the description and visibility of this Issue._x000a_5 July : (NC) After discussion with Paul Neave he is progressing this item and therefore we have agreed the best place for this to be owned is with him right now. _x000a_3 July : (NC) Reassigning all Collaboration RAID items related to transition to Nick Coburn_x000a_19-Jun: ​Mike to follow up with Nick._x000a__x000a_   _x000a_ "/>
    <m/>
    <x v="0"/>
  </r>
</pivotCacheRecords>
</file>

<file path=xl/pivotCache/pivotCacheRecords3.xml><?xml version="1.0" encoding="utf-8"?>
<pivotCacheRecords xmlns="http://schemas.openxmlformats.org/spreadsheetml/2006/main" xmlns:r="http://schemas.openxmlformats.org/officeDocument/2006/relationships" count="97">
  <r>
    <x v="0"/>
    <x v="0"/>
    <x v="0"/>
    <s v="3) Program Mgt Team"/>
    <x v="0"/>
    <x v="0"/>
    <s v="Alan Guthrie"/>
    <s v="09-Apr-12"/>
    <x v="0"/>
    <n v="0"/>
    <s v="_x000a_10-Aug: Christian confirmed still relevant._x000a_2-Jul: LM &gt; Christian._x000a_22-Jun: LM &gt; Christian_x000a_9-Apr: Alan provided  updated syntax for this assumption and validated. Read previously: &quot;The ADM program budget assumes the use of Hexaware as the offshore delivery team for the Portfolio teams.&quot; This assumption is partially correct. We may also look to use IT Services India and or Microsoft Global Delivery. ​"/>
    <m/>
    <x v="0"/>
  </r>
  <r>
    <x v="1"/>
    <x v="0"/>
    <x v="0"/>
    <s v="3) Program Mgt Team"/>
    <x v="0"/>
    <x v="1"/>
    <s v="Alan Guthrie"/>
    <s v="09-Apr-12"/>
    <x v="0"/>
    <n v="0"/>
    <s v="_x000a_10-Aug: Christian confirmed this is still relevant._x000a_2-Jul: LM &gt; Christian._x000a_22-Jun: LM &gt; Christian._x000a_9-Apr: Validated by Alan. ​"/>
    <m/>
    <x v="0"/>
  </r>
  <r>
    <x v="2"/>
    <x v="1"/>
    <x v="1"/>
    <s v="3) Program Mgt Team"/>
    <x v="0"/>
    <x v="2"/>
    <s v="Sophie Boiron"/>
    <s v="10-Apr-12"/>
    <x v="0"/>
    <n v="0"/>
    <m/>
    <m/>
    <x v="0"/>
  </r>
  <r>
    <x v="3"/>
    <x v="1"/>
    <x v="1"/>
    <s v="3) Program Mgt Team"/>
    <x v="0"/>
    <x v="3"/>
    <s v="Sophie Boiron"/>
    <s v="10-Apr-12"/>
    <x v="0"/>
    <n v="0"/>
    <m/>
    <m/>
    <x v="0"/>
  </r>
  <r>
    <x v="4"/>
    <x v="1"/>
    <x v="1"/>
    <s v="3) Program Mgt Team"/>
    <x v="0"/>
    <x v="4"/>
    <s v="Sophie Boiron"/>
    <s v="10-Apr-12"/>
    <x v="0"/>
    <n v="0"/>
    <s v="_x000a_Needs to be checked regularly and there is probabiliy that this could become a risk​"/>
    <s v="Note included by Sophie that needs to be checked regularly"/>
    <x v="0"/>
  </r>
  <r>
    <x v="5"/>
    <x v="1"/>
    <x v="1"/>
    <s v="3) Program Mgt Team"/>
    <x v="0"/>
    <x v="5"/>
    <s v="Sophie Boiron"/>
    <s v="02-May-12"/>
    <x v="0"/>
    <n v="0"/>
    <m/>
    <m/>
    <x v="0"/>
  </r>
  <r>
    <x v="6"/>
    <x v="2"/>
    <x v="2"/>
    <s v="3) Program Mgt Team"/>
    <x v="1"/>
    <x v="6"/>
    <s v="tbd"/>
    <s v="01-Nov-12"/>
    <x v="1"/>
    <n v="141"/>
    <s v="_x000a_CD, 27 Jun 12: Updated to reflect latest status. Workstream and assigned to updated to reflect new D&amp;ME workstream.​_x000a_CD, 19 Jul 12: Assumption trigger was realised. Risk raised to reflect latest position."/>
    <m/>
    <x v="0"/>
  </r>
  <r>
    <x v="7"/>
    <x v="2"/>
    <x v="2"/>
    <s v="3) Program Mgt Team"/>
    <x v="1"/>
    <x v="7"/>
    <s v="tbd"/>
    <s v="01-Nov-12"/>
    <x v="1"/>
    <n v="141"/>
    <s v="_x000a_CD, 27 Jun 12: Updated to reflect latest status. Updated workstream and owner to reflect new D&amp;ME workstream.​_x000a_CD, 19 Jul 12: This assumption is still valid. However assumption updated to reflect that I&amp;O currently cannot support this work until November 2012 and therefore a new issue has been raised to cover this."/>
    <m/>
    <x v="0"/>
  </r>
  <r>
    <x v="8"/>
    <x v="2"/>
    <x v="2"/>
    <s v="3) Program Mgt Team"/>
    <x v="0"/>
    <x v="8"/>
    <s v="tbd"/>
    <s v="09-Jun-12"/>
    <x v="0"/>
    <n v="0"/>
    <s v="_x000a_CD, 27 Jun 12: Updated to reflect latest status. Workstream and ownership updated to reflect new D&amp;ME workstream.​_x000a_CD, 19 Jul 12: Updated to reflect this has now been validated and moved to a decision."/>
    <m/>
    <x v="0"/>
  </r>
  <r>
    <x v="9"/>
    <x v="3"/>
    <x v="3"/>
    <s v="3) Program Mgt Team"/>
    <x v="0"/>
    <x v="9"/>
    <s v="GCL5 Program"/>
    <s v="16-Jul-12"/>
    <x v="0"/>
    <n v="0"/>
    <s v="_x000a_SM: 20-Jul-12 We have confirmed that at least some users will be transitioning across to GCL5, so there will be some testing that we need to do on that platform.  Therefore this assumption is validated._x000a_13-Jun: SM - I have re-contacted the GCL5 team to confirm their deployment plan, but have had no response.  I will keep chasing._x000a_28-May: SM - I have contacted the GCL5 team and this is looking likely, however, they requested that I get back to them in a few weeks when their plans will be firmer.  Will update this again then._x000a_ _x000a_30-Apr: From LR101, Stephen requested this be managed as an assumption. Provided syntax and: I am 90% sure this will be the case, but I have contacted the GCL5 team to confirm their roll out plans. LM replied for due date, NRD, and who will validate.​"/>
    <m/>
    <x v="0"/>
  </r>
  <r>
    <x v="10"/>
    <x v="3"/>
    <x v="4"/>
    <s v="3) Program Mgt Team"/>
    <x v="0"/>
    <x v="10"/>
    <s v="Steve Yeomans, Paul Neave"/>
    <s v="01-Jul-12"/>
    <x v="0"/>
    <n v="0"/>
    <s v="_x000a_2-Jul Migration Note: Note: This item was previously assigned to Brendan Millard._x000a_10-Apr Paul: If Steve is committing to the dates agreed in the workshop then we can consider this validated. Note this is referring to the Permanent VPN  which has date of 16/10/12 due to the procurement lead time._x000a_4-Apr: Steve - I believe this has been validated but if the M&amp;C team want to re-validate this then that's Ok with me. LM emd Al for confirmation._x000a_4-Apr Steve sent updated wording (in desc column). Wording formerly read: The networks requirements for M&amp;C program can be delivered to meet the time scales for M&amp;C program. Network requirements will be delivered as part of the GWAN program, which is yet to be kicked off._x000a_27-Mar: Laura em'd Steve for wording._x000a_22-Mar Brett: This is an assumption and it does have serious impact but things have moved on and GWAN program is kicked off now. I think more critically we should assess whether delivery of dependency items for network should be managed as part of a GWAN program (which has a different charter and scope) or simply delivered by the network team. Either way this should be stated more specifically or be closed._x000a_16-Mar: Steve confirmed he will send updated wording for this assumption._x000a_6-Mar: This needs to be challenged with Brendan Millard; Laura em'd him the item for his awareness. John Murray's work will due to finish in June; would like to review mid-June with due beg-July.​"/>
    <m/>
    <x v="0"/>
  </r>
  <r>
    <x v="11"/>
    <x v="3"/>
    <x v="5"/>
    <s v="3) Program Mgt Team"/>
    <x v="0"/>
    <x v="11"/>
    <s v="? unknown"/>
    <s v="28-Mar-12"/>
    <x v="0"/>
    <n v="0"/>
    <s v="_x000a_Both vendors have said they will start work on a n initial SOW 28-Mar-2012​"/>
    <s v="LM em'd James to update."/>
    <x v="0"/>
  </r>
  <r>
    <x v="12"/>
    <x v="3"/>
    <x v="5"/>
    <s v="3) Program Mgt Team"/>
    <x v="0"/>
    <x v="12"/>
    <s v="Adrian Mickleson"/>
    <s v="04-Jan-12"/>
    <x v="0"/>
    <n v="0"/>
    <s v="_x000a_04-Jan: Adrian confirmed this has been validated, for all countries including Japan._x000a_Revalidated following O365 decision:  James Harrup-Brook, 28/02/12​"/>
    <m/>
    <x v="0"/>
  </r>
  <r>
    <x v="13"/>
    <x v="3"/>
    <x v="5"/>
    <s v="3) Program Mgt Team"/>
    <x v="0"/>
    <x v="13"/>
    <s v="04-Jan RAID call attendees"/>
    <s v="04-Jan-12"/>
    <x v="0"/>
    <n v="0"/>
    <s v="_x000a_04-Jan: Al and Adrian confirmed that this has been validated._x000a_04-Oct-11: Added by RB_x000a_Revalidated following O365 decision:  James Harrup-Brook, 28/02/12​"/>
    <m/>
    <x v="0"/>
  </r>
  <r>
    <x v="14"/>
    <x v="4"/>
    <x v="6"/>
    <s v="3) Program Mgt Team"/>
    <x v="0"/>
    <x v="14"/>
    <s v="Adrian, Al, Mark, others"/>
    <s v="06-Mar-12"/>
    <x v="0"/>
    <n v="0"/>
    <s v="_x000a_​6-Mar: It has been confirmed that Frankfurt will be the only data center (decision D210); assumption valid - there is sufficient capacity."/>
    <m/>
    <x v="0"/>
  </r>
  <r>
    <x v="15"/>
    <x v="4"/>
    <x v="0"/>
    <s v="4) Executive Decision Group"/>
    <x v="0"/>
    <x v="15"/>
    <s v="Alan Guthrie, Guy Morgan, team on 19-Dec. review call"/>
    <s v="19-Dec-11"/>
    <x v="0"/>
    <n v="0"/>
    <s v="_x000a_Revalidated following O365 decision:  Alan, 4-Apr-2012 (sent e-mail confirming this is still valid)​_x000a_3-Apr: Laura emd Alan last week, Brett 3-Apr for revalidation._x000a_Validated by Alan on review call 19-Dec; agreed by team. Norm looking for sizing of this; will talk to Michelle about it._x000a_"/>
    <m/>
    <x v="0"/>
  </r>
  <r>
    <x v="16"/>
    <x v="5"/>
    <x v="7"/>
    <s v="3) Program Mgt Team"/>
    <x v="0"/>
    <x v="16"/>
    <s v="Martin Kremmer"/>
    <s v="20-Apr-12"/>
    <x v="0"/>
    <n v="0"/>
    <s v="_x000a_30/04: RB: Draft Business Deployment strategy confirms Pilot._x000a_24/03/12: (RB) Assumption cannot yet be validated as Deployment Strategy not yet published; further, pressure to bring forward the deployment timeline is giving rise to discussions about potentially reducing the Pilot scope and duration significantly. assumption to be revisited once baselined plan and deployment strategy published_x000a_15/03/12: RB: Pilot for Lync and Outlook agreed in principle, however volumes and duration still subject to agreement with Business Deployment and Operations (who will need to be ready to support Pilot volumes). Deployment/migration schedule and volumes to be discussed in meeting on 21/03/12_x000a_14/02/12: RB: Awaiting deployment strategy from Martin Kremmer_x000a_18/01/12: RB - To be confirmed with Martin Kremmer following development of business deployment plan_x000a_04-Oct-11: Added by RB​"/>
    <m/>
    <x v="1"/>
  </r>
  <r>
    <x v="17"/>
    <x v="5"/>
    <x v="8"/>
    <s v="3) Program Mgt Team"/>
    <x v="1"/>
    <x v="17"/>
    <s v="04-Jan RAID call attendees"/>
    <s v="09-Jun-12"/>
    <x v="2"/>
    <n v="162"/>
    <s v="_x000a_21/02/12: RB: Network bandwith challenges may impact number of users able to be migrated. See LR91 (SPID34)_x000a_04-Jan: reworded from 5K boxes per night to 15K per week; then Adrian and Al confirmed it can be marked valid.​"/>
    <m/>
    <x v="0"/>
  </r>
  <r>
    <x v="18"/>
    <x v="5"/>
    <x v="8"/>
    <s v="3) Program Mgt Team"/>
    <x v="1"/>
    <x v="18"/>
    <s v="04-Jan RAID call attendees"/>
    <s v="09-Jun-12"/>
    <x v="2"/>
    <n v="141"/>
    <s v="_x000a_21/02/12: RB: Output to R97_x000a_05-Jan: Al and Adrian confirmed this is valid._x000a_04-Oct-11: Added by RB_x000a_​"/>
    <m/>
    <x v="2"/>
  </r>
  <r>
    <x v="19"/>
    <x v="5"/>
    <x v="8"/>
    <s v="3) Program Mgt Team"/>
    <x v="1"/>
    <x v="19"/>
    <s v="O365 team, Transition management"/>
    <s v="28-Feb-12"/>
    <x v="3"/>
    <n v="141"/>
    <s v="_x000a_21/02/12: RB: Output to R97_x000a_14/02/12: RB: Needs to be confirmed with MSFT what the maximum number of migrations can be per window for O365, and to confirm with Transition Management what the maximum number of migrations can be for On-prem_x000a_18/01/12 - RB Needs to be confirmed with TF and Transition Management to determine what network impact will be if weekday vs weekend​"/>
    <m/>
    <x v="0"/>
  </r>
  <r>
    <x v="20"/>
    <x v="5"/>
    <x v="8"/>
    <s v="3) Program Mgt Team"/>
    <x v="1"/>
    <x v="20"/>
    <s v="O365 team"/>
    <s v="21-Dec-12"/>
    <x v="4"/>
    <n v="152"/>
    <s v="_x000a_09/10/12_YM: To be validated as part of testing within CVS. To be re-visited post-CVS.  ​"/>
    <m/>
    <x v="0"/>
  </r>
  <r>
    <x v="21"/>
    <x v="5"/>
    <x v="4"/>
    <s v="3) Program Mgt Team"/>
    <x v="0"/>
    <x v="21"/>
    <s v="Nicholas Wood"/>
    <s v="30-Aug-12"/>
    <x v="0"/>
    <n v="0"/>
    <s v="_x000a_5-Sept (LM): Per Rewa on fortnightly RAID call, this has been validated. Laura marked as such and sent to Rewa to complete the details._x000a_01-Aug - advance code recieved - working with GOOD &amp; MS on next version expected later this month. See Issue 32_x000a_25-Jul (LM): Update expected next wk._x000a_07/06 - Still woriking to this assumption, expecting GOOD to have EWS on general relaese by end of July_x000a_3-Apr: This was in decisions log as D208, but Paul clarified that this is an assumption, not a decision. Marked that obsolete and opened here to be validated. Followed up for who will validate and due date.​"/>
    <s v="5-Sept: LM &gt; Rewa for Validated By info and other details."/>
    <x v="0"/>
  </r>
  <r>
    <x v="22"/>
    <x v="5"/>
    <x v="9"/>
    <s v="3) Program Mgt Team"/>
    <x v="0"/>
    <x v="22"/>
    <s v="Matt Cross"/>
    <s v="19-Jul-12"/>
    <x v="0"/>
    <n v="0"/>
    <s v="_x000a_5 Sept (MC) - all languages that LN supports are available as language packs in Office 2010 (as well as many others). So no gap between what LN currently offers and what Outlook will provide._x000a_24 Aug: Assumption is MS supports all languages EY conducts business in.  Matt Cross to carry out a gap analysis_x000a_22-Aug (LM): Charlie and Craig unsure about this assumption, as this info should be picked up out of requirements and make it into a design document. Charlie will dig as to why this was opened and update or withdraw if necessary.​"/>
    <m/>
    <x v="0"/>
  </r>
  <r>
    <x v="23"/>
    <x v="5"/>
    <x v="7"/>
    <s v="3) Program Mgt Team"/>
    <x v="0"/>
    <x v="23"/>
    <s v="Siggi Hauer, Alan Guthrie"/>
    <s v="19-Apr-12"/>
    <x v="0"/>
    <n v="0"/>
    <s v="_x000a_19/04/12: RB: Logged as output from decision D93. Ongoing assumption, no target validation date​"/>
    <m/>
    <x v="0"/>
  </r>
  <r>
    <x v="24"/>
    <x v="5"/>
    <x v="4"/>
    <s v="3) Program Mgt Team"/>
    <x v="0"/>
    <x v="24"/>
    <s v="04-Jan RAID call attendees"/>
    <s v="04-Jan-12"/>
    <x v="0"/>
    <n v="0"/>
    <s v="_x000a_04-Jan: Al and Adrian confirmed that this has been validated._x000a_Revalidated following O365 decision:  Paul Neave, 27/02/12​"/>
    <m/>
    <x v="0"/>
  </r>
  <r>
    <x v="25"/>
    <x v="5"/>
    <x v="7"/>
    <s v="3) Program Mgt Team"/>
    <x v="0"/>
    <x v="25"/>
    <s v="Jeremy Brown"/>
    <s v="27-Jan-12"/>
    <x v="0"/>
    <n v="0"/>
    <s v="_x000a_06/02/12: RB - confirmed via email from Martin Kremmer that CRM not in scope for Day 1_x000a_18/01/12: RB - Martin Kremmer seeking clarification from Bob Reiner by Jan 27th_x000a_28-Oct-11: Added by RB. N Wood confirmed that CRM integration is not built into current design/planning.​"/>
    <m/>
    <x v="0"/>
  </r>
  <r>
    <x v="26"/>
    <x v="5"/>
    <x v="4"/>
    <s v="3) Program Mgt Team"/>
    <x v="0"/>
    <x v="26"/>
    <s v="04-Jan RAID call attendees"/>
    <s v="04-Jan-12"/>
    <x v="0"/>
    <n v="0"/>
    <s v="_x000a_21/02/12: RB: Awaiting response from Paul Neave on revalidation_x000a_04-Jan: Adrian confirmed that this is valid._x000a_Revalidated following O365 decision:  Paul Neave, 221/02/12​"/>
    <m/>
    <x v="0"/>
  </r>
  <r>
    <x v="27"/>
    <x v="6"/>
    <x v="10"/>
    <s v="3) Program Mgt Team"/>
    <x v="0"/>
    <x v="27"/>
    <s v="Oleksiy Volkov"/>
    <s v="20-Jul-12"/>
    <x v="0"/>
    <n v="0"/>
    <s v="_x000a_18-July (LM): Brett confirmed this is validated (Oleksiy on holiday). (CC'd Oleksiy for his awareness)_x000a_2 July : Updated by BvG to be accurate._x000a_29 Jun : Assigned to Brett van Gelder to confirm this was agreed._x000a_28 Jun: NC Meeting setup with the Collaboration Architect Norm Lambert who wrote a white paper on this topic, to confirm this was agreed with Brett Van Gelder._x000a_12-Jun (LM) Per Michelle, updated Assigned to to Nicola Cooper._x000a_3-Apr - Logged ​"/>
    <m/>
    <x v="0"/>
  </r>
  <r>
    <x v="28"/>
    <x v="6"/>
    <x v="11"/>
    <s v="3) Program Mgt Team"/>
    <x v="0"/>
    <x v="28"/>
    <s v="04-Jan RAID call attendees"/>
    <s v="04-Jan-12"/>
    <x v="0"/>
    <n v="0"/>
    <s v="_x000a_Revalidated following O365 decision:  Michelle, 28-Mar-2012, December 20120 meeting with MS_x000a_​04-Jan: Michelle said this hs been validated; was from a meeting in December 2010. All docs have been updated accordingly._x000a_"/>
    <m/>
    <x v="0"/>
  </r>
  <r>
    <x v="29"/>
    <x v="6"/>
    <x v="11"/>
    <s v="3) Program Mgt Team"/>
    <x v="0"/>
    <x v="29"/>
    <s v="04-Jan RAID call attendees"/>
    <s v="04-Jan-12"/>
    <x v="0"/>
    <n v="0"/>
    <s v="_x000a_Revalidated following O365 decision:  Michelle, 28-Mar-2012, December 20120 meeting with MS​_x000a_04-Jan: Michelle said this hs been validated; was from a meeting in December 2010. All docs have been updated accordingly._x000a_"/>
    <m/>
    <x v="0"/>
  </r>
  <r>
    <x v="30"/>
    <x v="6"/>
    <x v="11"/>
    <s v="3) Program Mgt Team"/>
    <x v="0"/>
    <x v="30"/>
    <s v="04-Jan RAID call attendees"/>
    <s v="04-Jan-12"/>
    <x v="0"/>
    <n v="0"/>
    <s v="_x000a_​04-Jan: Michelle said this hs been validated; was from a meeting in December 2010. All docs have been updated accordingly._x000a_Revalidated following O365 decision:  Michelle, 28-Mar-2012, December 20120 meeting with MS"/>
    <m/>
    <x v="0"/>
  </r>
  <r>
    <x v="31"/>
    <x v="6"/>
    <x v="11"/>
    <s v="3) Program Mgt Team"/>
    <x v="0"/>
    <x v="31"/>
    <s v="04-Jan RAID call attendees"/>
    <s v="04-Jan-12"/>
    <x v="0"/>
    <n v="0"/>
    <s v="_x000a_​1/4/2012 - Michelle stated on call that this is true. Has been validated._x000a_Revalidated following O365 decision: Michelle, 28-Mar-2012, replanned"/>
    <m/>
    <x v="0"/>
  </r>
  <r>
    <x v="32"/>
    <x v="6"/>
    <x v="11"/>
    <s v="3) Program Mgt Team"/>
    <x v="0"/>
    <x v="32"/>
    <s v="04-Jan RAID call attendees"/>
    <s v="04-Jan-12"/>
    <x v="0"/>
    <n v="0"/>
    <s v="_x000a_​04-Jan: Michelle confirmed that this is true. List as validated/close._x000a_Revalidated following O365 decision: Michelle, 29-Mar-2012, revalidated"/>
    <m/>
    <x v="0"/>
  </r>
  <r>
    <x v="33"/>
    <x v="6"/>
    <x v="11"/>
    <s v="3) Program Mgt Team"/>
    <x v="0"/>
    <x v="33"/>
    <s v="04-Jan RAID call attendees"/>
    <s v="04-Jan-12"/>
    <x v="0"/>
    <n v="0"/>
    <s v="_x000a_04-Jan: Michelle said this is true and has been validated. Plans have been updated accordingly._x000a_07-Oct-2011: BvG: Development of standards etc. under the direction of Enterprise Architecture_x000a_Revalidated following O365 decision:  Michelle, 29-Mar-2012, revalidated.​"/>
    <m/>
    <x v="0"/>
  </r>
  <r>
    <x v="34"/>
    <x v="6"/>
    <x v="11"/>
    <s v="3) Program Mgt Team"/>
    <x v="0"/>
    <x v="34"/>
    <s v="04-Jan RAID call attendees"/>
    <s v="04-Jan-12"/>
    <x v="0"/>
    <n v="0"/>
    <s v="_x000a_​04-Jan: Michelle said this is true and had been validated. Plans have been updated accordingly._x000a_Revalidated following O365 decision:  Michelle, 29-Mar-2012, revalidated."/>
    <m/>
    <x v="0"/>
  </r>
  <r>
    <x v="35"/>
    <x v="6"/>
    <x v="11"/>
    <s v="3) Program Mgt Team"/>
    <x v="0"/>
    <x v="35"/>
    <s v="04-Jan RAID call attendees"/>
    <s v="04-Jan-12"/>
    <x v="0"/>
    <n v="0"/>
    <s v="_x000a_​04-Jan: Michelle said this is true and had been validated. Plans have been updated accordingly._x000a_Revalidated following O365 decision:  Michelle, 29-Mar-2012, revalidated."/>
    <m/>
    <x v="0"/>
  </r>
  <r>
    <x v="36"/>
    <x v="6"/>
    <x v="11"/>
    <s v="3) Program Mgt Team"/>
    <x v="0"/>
    <x v="36"/>
    <s v="Michelle Edmonds"/>
    <s v="30-Mar-12"/>
    <x v="0"/>
    <n v="0"/>
    <s v="_x000a_30-Mar: Michelle sent validation confirmation. Validated by Michelle."/>
    <m/>
    <x v="0"/>
  </r>
  <r>
    <x v="37"/>
    <x v="6"/>
    <x v="11"/>
    <s v="3) Program Mgt Team"/>
    <x v="0"/>
    <x v="37"/>
    <s v="Michelle Edmonds"/>
    <s v="30-Mar-12"/>
    <x v="0"/>
    <n v="0"/>
    <s v="_x000a_30-Mar: Michelle sent validation confirmation. Validated by Michelle.​"/>
    <m/>
    <x v="0"/>
  </r>
  <r>
    <x v="38"/>
    <x v="6"/>
    <x v="11"/>
    <s v="3) Program Mgt Team"/>
    <x v="0"/>
    <x v="38"/>
    <s v="Michelle Edmonds"/>
    <s v="20-Mar-12"/>
    <x v="0"/>
    <n v="0"/>
    <s v="_x000a_​In the current replan 20-Mar-12"/>
    <m/>
    <x v="0"/>
  </r>
  <r>
    <x v="39"/>
    <x v="6"/>
    <x v="11"/>
    <s v="3) Program Mgt Team"/>
    <x v="0"/>
    <x v="39"/>
    <s v="Michelle Edmonds"/>
    <s v="20-Mar-12"/>
    <x v="0"/>
    <n v="0"/>
    <s v="_x000a_In the current replan 20-Mar-12​"/>
    <m/>
    <x v="0"/>
  </r>
  <r>
    <x v="40"/>
    <x v="6"/>
    <x v="11"/>
    <s v="3) Program Mgt Team"/>
    <x v="0"/>
    <x v="40"/>
    <s v="Michelle Edmonds"/>
    <s v="20-Mar-12"/>
    <x v="0"/>
    <n v="0"/>
    <s v="_x000a_In the current replan 20-Mar-12​"/>
    <m/>
    <x v="0"/>
  </r>
  <r>
    <x v="41"/>
    <x v="6"/>
    <x v="11"/>
    <s v="3) Program Mgt Team"/>
    <x v="0"/>
    <x v="41"/>
    <s v="Michelle Edmonds"/>
    <s v="20-Mar-12"/>
    <x v="0"/>
    <n v="0"/>
    <s v="_x000a_In the current replan 20-Mar-12​"/>
    <m/>
    <x v="0"/>
  </r>
  <r>
    <x v="42"/>
    <x v="6"/>
    <x v="11"/>
    <s v="3) Program Mgt Team"/>
    <x v="0"/>
    <x v="42"/>
    <s v="Michelle Edmonds"/>
    <s v="20-Mar-12"/>
    <x v="0"/>
    <n v="0"/>
    <s v="_x000a_In the current replan 20-Mar-12​"/>
    <m/>
    <x v="0"/>
  </r>
  <r>
    <x v="43"/>
    <x v="6"/>
    <x v="12"/>
    <s v="3) Program Mgt Team"/>
    <x v="0"/>
    <x v="43"/>
    <s v="TF Meeting"/>
    <s v="18-Jan-12"/>
    <x v="0"/>
    <n v="0"/>
    <s v="_x000a_04-Jan: Assigned Adrian, per call, with review date 18-Jan. This will have to be changed completely due to impact from change - BPOS.​"/>
    <m/>
    <x v="0"/>
  </r>
  <r>
    <x v="44"/>
    <x v="6"/>
    <x v="11"/>
    <s v="3) Program Mgt Team"/>
    <x v="0"/>
    <x v="44"/>
    <s v="Michelle Edmonds"/>
    <s v="20-Mar-12"/>
    <x v="0"/>
    <n v="0"/>
    <s v="_x000a_​20 March 0 this process is working as needed"/>
    <m/>
    <x v="0"/>
  </r>
  <r>
    <x v="45"/>
    <x v="6"/>
    <x v="11"/>
    <s v="3) Program Mgt Team"/>
    <x v="0"/>
    <x v="45"/>
    <s v="Michelle Edmonds"/>
    <s v="20-Mar-12"/>
    <x v="0"/>
    <n v="0"/>
    <s v="_x000a_Assumption has been validated 20-Mar-2012​"/>
    <m/>
    <x v="0"/>
  </r>
  <r>
    <x v="46"/>
    <x v="6"/>
    <x v="11"/>
    <s v="3) Program Mgt Team"/>
    <x v="0"/>
    <x v="46"/>
    <s v="Michelle Edmonds"/>
    <s v="20-Mar-12"/>
    <x v="0"/>
    <n v="0"/>
    <s v="_x000a_vision and Scope contains that level 20-Mar2012​"/>
    <m/>
    <x v="0"/>
  </r>
  <r>
    <x v="47"/>
    <x v="6"/>
    <x v="11"/>
    <s v="3) Program Mgt Team"/>
    <x v="0"/>
    <x v="47"/>
    <s v="Michelle Edmonds"/>
    <s v="30-Mar-12"/>
    <x v="0"/>
    <n v="0"/>
    <s v="_x000a_​30-Mar: Michelle sent validation confirmation. Validated by Michelle."/>
    <m/>
    <x v="0"/>
  </r>
  <r>
    <x v="48"/>
    <x v="6"/>
    <x v="11"/>
    <s v="3) Program Mgt Team"/>
    <x v="0"/>
    <x v="48"/>
    <s v="Michelle Edmonds"/>
    <s v="30-Mar-12"/>
    <x v="0"/>
    <n v="0"/>
    <s v="_x000a_30-Mar: Michelle sent validation confirmation. Validated by Michelle.​"/>
    <m/>
    <x v="0"/>
  </r>
  <r>
    <x v="49"/>
    <x v="6"/>
    <x v="11"/>
    <s v="3) Program Mgt Team"/>
    <x v="0"/>
    <x v="49"/>
    <s v="Michelle Edmonds"/>
    <s v="30-Mar-12"/>
    <x v="0"/>
    <n v="0"/>
    <s v="_x000a_In the current replan 20-Mar-12​"/>
    <m/>
    <x v="0"/>
  </r>
  <r>
    <x v="50"/>
    <x v="6"/>
    <x v="11"/>
    <s v="3) Program Mgt Team"/>
    <x v="0"/>
    <x v="50"/>
    <s v="Michelle Edmonds"/>
    <s v="20-Mar-12"/>
    <x v="0"/>
    <n v="0"/>
    <s v="_x000a_​In the current replan 20-Mar-12"/>
    <m/>
    <x v="0"/>
  </r>
  <r>
    <x v="51"/>
    <x v="6"/>
    <x v="11"/>
    <s v="3) Program Mgt Team"/>
    <x v="0"/>
    <x v="51"/>
    <s v="Michelle Edmonds"/>
    <s v="20-Mar-12"/>
    <x v="0"/>
    <n v="0"/>
    <s v="_x000a_​In the current replan 20-Mar-12"/>
    <m/>
    <x v="0"/>
  </r>
  <r>
    <x v="52"/>
    <x v="6"/>
    <x v="11"/>
    <s v="3) Program Mgt Team"/>
    <x v="0"/>
    <x v="52"/>
    <s v="Michelle Edmonds"/>
    <s v="20-Mar-12"/>
    <x v="0"/>
    <n v="0"/>
    <s v="_x000a_In the current replan 20-Mar-12​"/>
    <m/>
    <x v="0"/>
  </r>
  <r>
    <x v="53"/>
    <x v="6"/>
    <x v="11"/>
    <s v="3) Program Mgt Team"/>
    <x v="0"/>
    <x v="53"/>
    <s v="Michelle Edmonds"/>
    <s v="20-Mar-12"/>
    <x v="0"/>
    <n v="0"/>
    <s v="_x000a_In the current replan 20-Mar-12​"/>
    <m/>
    <x v="0"/>
  </r>
  <r>
    <x v="54"/>
    <x v="6"/>
    <x v="11"/>
    <s v="3) Program Mgt Team"/>
    <x v="0"/>
    <x v="54"/>
    <s v="Michelle Edmonds"/>
    <s v="20-Mar-12"/>
    <x v="0"/>
    <n v="0"/>
    <s v="_x000a_In the current replan 20-Mar-12​"/>
    <m/>
    <x v="0"/>
  </r>
  <r>
    <x v="55"/>
    <x v="6"/>
    <x v="11"/>
    <s v="3) Program Mgt Team"/>
    <x v="0"/>
    <x v="55"/>
    <s v="Michelle Edmonds"/>
    <s v="20-Mar-12"/>
    <x v="0"/>
    <n v="0"/>
    <s v="_x000a_In the current replan 20-Mar-12​"/>
    <m/>
    <x v="0"/>
  </r>
  <r>
    <x v="56"/>
    <x v="6"/>
    <x v="11"/>
    <s v="3) Program Mgt Team"/>
    <x v="0"/>
    <x v="56"/>
    <s v="Michelle Edmonds"/>
    <s v="20-Mar-12"/>
    <x v="0"/>
    <n v="0"/>
    <s v="_x000a_In the current replan 20-Mar-12​"/>
    <m/>
    <x v="0"/>
  </r>
  <r>
    <x v="57"/>
    <x v="6"/>
    <x v="11"/>
    <s v="3) Program Mgt Team"/>
    <x v="0"/>
    <x v="57"/>
    <s v="Michelle Edmonds"/>
    <s v="20-Mar-12"/>
    <x v="0"/>
    <n v="0"/>
    <s v="_x000a_In the current replan 20-Mar-12​"/>
    <m/>
    <x v="0"/>
  </r>
  <r>
    <x v="58"/>
    <x v="6"/>
    <x v="11"/>
    <s v="3) Program Mgt Team"/>
    <x v="0"/>
    <x v="58"/>
    <s v="Michelle Edmonds"/>
    <s v="20-Mar-12"/>
    <x v="0"/>
    <n v="0"/>
    <s v="_x000a_In the current replan 20-Mar-12​"/>
    <m/>
    <x v="0"/>
  </r>
  <r>
    <x v="59"/>
    <x v="6"/>
    <x v="11"/>
    <s v="3) Program Mgt Team"/>
    <x v="0"/>
    <x v="59"/>
    <s v="Michelle Edmonds"/>
    <s v="20-Mar-12"/>
    <x v="0"/>
    <n v="0"/>
    <s v="_x000a_In the current replan 20-Mar-12​"/>
    <m/>
    <x v="0"/>
  </r>
  <r>
    <x v="60"/>
    <x v="6"/>
    <x v="13"/>
    <s v="3) Program Mgt Team"/>
    <x v="0"/>
    <x v="60"/>
    <s v="Microsoft"/>
    <s v="04-Apr-12"/>
    <x v="0"/>
    <n v="0"/>
    <s v="_x000a_4-Apr: Indication from Norm L and Microsoft is that social data replication is not supported in the current version of the cloud service​"/>
    <m/>
    <x v="0"/>
  </r>
  <r>
    <x v="61"/>
    <x v="6"/>
    <x v="13"/>
    <s v="3) Program Mgt Team"/>
    <x v="0"/>
    <x v="61"/>
    <s v="Brett van Gelder"/>
    <s v="04-Apr-12"/>
    <x v="0"/>
    <n v="0"/>
    <s v="_x000a_4-Apr: Work to decomission old communities platforms cannot be executed until the platform's communities are no longer used​"/>
    <m/>
    <x v="0"/>
  </r>
  <r>
    <x v="62"/>
    <x v="6"/>
    <x v="11"/>
    <s v="3) Program Mgt Team"/>
    <x v="0"/>
    <x v="62"/>
    <s v="Alma Cardenez, Howard Jones, Norm Beard and Michelle Edmonds"/>
    <s v="03-Apr-12"/>
    <x v="0"/>
    <n v="0"/>
    <s v="_x000a_3-Apr - Logged ​"/>
    <m/>
    <x v="0"/>
  </r>
  <r>
    <x v="63"/>
    <x v="6"/>
    <x v="11"/>
    <s v="3) Program Mgt Team"/>
    <x v="0"/>
    <x v="63"/>
    <s v="Alma Cardenez, Howard Jones. Norm Beard and Michelle Edmonds"/>
    <s v="03-Apr-12"/>
    <x v="0"/>
    <n v="0"/>
    <s v="_x000a_3-Apr - Logged ​"/>
    <m/>
    <x v="0"/>
  </r>
  <r>
    <x v="64"/>
    <x v="6"/>
    <x v="11"/>
    <s v="3) Program Mgt Team"/>
    <x v="0"/>
    <x v="64"/>
    <s v="Alma Cardenez, Howard Jones. Norm Beard and Michelle Edmonds"/>
    <s v="03-Apr-12"/>
    <x v="0"/>
    <n v="0"/>
    <s v="_x000a_3-Apr - Logged ​"/>
    <m/>
    <x v="0"/>
  </r>
  <r>
    <x v="65"/>
    <x v="6"/>
    <x v="11"/>
    <s v="3) Program Mgt Team"/>
    <x v="0"/>
    <x v="65"/>
    <s v="Alma Cardenez, Howard Jones. Norm Beard and Michelle Edmonds"/>
    <s v="03-Apr-12"/>
    <x v="0"/>
    <n v="0"/>
    <s v="_x000a_​3-Apr - Logged"/>
    <m/>
    <x v="0"/>
  </r>
  <r>
    <x v="66"/>
    <x v="6"/>
    <x v="11"/>
    <s v="3) Program Mgt Team"/>
    <x v="0"/>
    <x v="66"/>
    <s v="Conversation with the vendor on cost"/>
    <s v="03-Apr-12"/>
    <x v="0"/>
    <n v="0"/>
    <s v="_x000a_3-Apr - Logged ​"/>
    <m/>
    <x v="0"/>
  </r>
  <r>
    <x v="67"/>
    <x v="6"/>
    <x v="11"/>
    <s v="3) Program Mgt Team"/>
    <x v="0"/>
    <x v="67"/>
    <s v="Howard Jones"/>
    <s v="03-Apr-12"/>
    <x v="0"/>
    <n v="0"/>
    <s v="_x000a_3-Apr - Logged ​"/>
    <m/>
    <x v="0"/>
  </r>
  <r>
    <x v="68"/>
    <x v="6"/>
    <x v="11"/>
    <s v="3) Program Mgt Team"/>
    <x v="0"/>
    <x v="68"/>
    <s v="Cheryl Faust"/>
    <s v="03-Apr-12"/>
    <x v="0"/>
    <n v="0"/>
    <s v="_x000a_3-Apr - Logged ​"/>
    <m/>
    <x v="0"/>
  </r>
  <r>
    <x v="69"/>
    <x v="6"/>
    <x v="11"/>
    <s v="3) Program Mgt Team"/>
    <x v="0"/>
    <x v="69"/>
    <s v="Cheryl Faust"/>
    <s v="03-Apr-12"/>
    <x v="0"/>
    <n v="0"/>
    <s v="_x000a_3-Apr - Logged ​"/>
    <m/>
    <x v="0"/>
  </r>
  <r>
    <x v="70"/>
    <x v="6"/>
    <x v="11"/>
    <s v="3) Program Mgt Team"/>
    <x v="0"/>
    <x v="70"/>
    <s v="Cheryl Faust"/>
    <s v="03-Apr-12"/>
    <x v="0"/>
    <n v="0"/>
    <s v="_x000a_3-Apr - Logged ​"/>
    <m/>
    <x v="0"/>
  </r>
  <r>
    <x v="71"/>
    <x v="6"/>
    <x v="11"/>
    <s v="3) Program Mgt Team"/>
    <x v="0"/>
    <x v="71"/>
    <s v="Cheryl Faust"/>
    <s v="03-Apr-12"/>
    <x v="0"/>
    <n v="0"/>
    <s v="_x000a_3-Apr - Logged ​"/>
    <m/>
    <x v="0"/>
  </r>
  <r>
    <x v="72"/>
    <x v="6"/>
    <x v="11"/>
    <s v="3) Program Mgt Team"/>
    <x v="0"/>
    <x v="72"/>
    <s v="Cheryl Faust"/>
    <s v="03-Apr-12"/>
    <x v="0"/>
    <n v="0"/>
    <s v="_x000a_3-Apr - Logged ​"/>
    <m/>
    <x v="0"/>
  </r>
  <r>
    <x v="73"/>
    <x v="6"/>
    <x v="11"/>
    <s v="3) Program Mgt Team"/>
    <x v="0"/>
    <x v="73"/>
    <s v="Cheryl Faust"/>
    <s v="03-Apr-12"/>
    <x v="0"/>
    <n v="0"/>
    <s v="_x000a_3-Apr - Logged ​"/>
    <m/>
    <x v="0"/>
  </r>
  <r>
    <x v="74"/>
    <x v="6"/>
    <x v="11"/>
    <s v="3) Program Mgt Team"/>
    <x v="0"/>
    <x v="74"/>
    <s v="Cheryl Faust"/>
    <s v="03-Apr-12"/>
    <x v="0"/>
    <n v="0"/>
    <s v="_x000a_3-Apr - Logged ​"/>
    <m/>
    <x v="0"/>
  </r>
  <r>
    <x v="75"/>
    <x v="6"/>
    <x v="11"/>
    <s v="3) Program Mgt Team"/>
    <x v="0"/>
    <x v="75"/>
    <s v="Cheryl Faust"/>
    <s v="03-Apr-12"/>
    <x v="0"/>
    <n v="0"/>
    <s v="_x000a_3-Apr - Logged ​"/>
    <m/>
    <x v="0"/>
  </r>
  <r>
    <x v="76"/>
    <x v="6"/>
    <x v="11"/>
    <s v="3) Program Mgt Team"/>
    <x v="0"/>
    <x v="76"/>
    <s v="Cheryl Faust"/>
    <s v="03-Apr-12"/>
    <x v="0"/>
    <n v="0"/>
    <s v="_x000a_3-Apr - Logged ​"/>
    <m/>
    <x v="0"/>
  </r>
  <r>
    <x v="77"/>
    <x v="6"/>
    <x v="11"/>
    <s v="3) Program Mgt Team"/>
    <x v="0"/>
    <x v="77"/>
    <s v="Cheryl Faust"/>
    <s v="03-Apr-12"/>
    <x v="0"/>
    <n v="0"/>
    <s v="_x000a_3-Apr - Logged ​"/>
    <m/>
    <x v="0"/>
  </r>
  <r>
    <x v="78"/>
    <x v="6"/>
    <x v="11"/>
    <s v="3) Program Mgt Team"/>
    <x v="0"/>
    <x v="78"/>
    <s v="Cheryl Faust"/>
    <s v="03-Apr-12"/>
    <x v="0"/>
    <n v="0"/>
    <s v="_x000a_​3-Apr - Logged"/>
    <m/>
    <x v="0"/>
  </r>
  <r>
    <x v="79"/>
    <x v="6"/>
    <x v="11"/>
    <s v="3) Program Mgt Team"/>
    <x v="0"/>
    <x v="79"/>
    <s v="Norm Lambert"/>
    <s v="03-Apr-12"/>
    <x v="0"/>
    <n v="0"/>
    <s v="_x000a_3-Apr - Logged ​"/>
    <m/>
    <x v="0"/>
  </r>
  <r>
    <x v="80"/>
    <x v="6"/>
    <x v="11"/>
    <s v="3) Program Mgt Team"/>
    <x v="0"/>
    <x v="80"/>
    <s v="Ed Dale"/>
    <s v="03-Apr-12"/>
    <x v="0"/>
    <n v="0"/>
    <s v="_x000a_​3-Apr - Logged"/>
    <m/>
    <x v="0"/>
  </r>
  <r>
    <x v="81"/>
    <x v="6"/>
    <x v="11"/>
    <s v="3) Program Mgt Team"/>
    <x v="0"/>
    <x v="81"/>
    <s v="Microsoft"/>
    <s v="03-Apr-12"/>
    <x v="0"/>
    <n v="0"/>
    <s v="_x000a_​3-Apr - Logged - Need to confirm with BPO"/>
    <m/>
    <x v="0"/>
  </r>
  <r>
    <x v="82"/>
    <x v="6"/>
    <x v="14"/>
    <s v="3) Program Mgt Team"/>
    <x v="0"/>
    <x v="82"/>
    <s v="Ed Dale"/>
    <s v="03-Apr-12"/>
    <x v="0"/>
    <n v="0"/>
    <s v="_x000a_​3-Apr - Logged"/>
    <m/>
    <x v="0"/>
  </r>
  <r>
    <x v="83"/>
    <x v="6"/>
    <x v="13"/>
    <s v="3) Program Mgt Team"/>
    <x v="0"/>
    <x v="83"/>
    <s v="Ken Hammond"/>
    <s v="03-Apr-12"/>
    <x v="0"/>
    <n v="0"/>
    <s v="_x000a_3-Apr - Logged ​"/>
    <m/>
    <x v="0"/>
  </r>
  <r>
    <x v="84"/>
    <x v="6"/>
    <x v="13"/>
    <s v="3) Program Mgt Team"/>
    <x v="0"/>
    <x v="84"/>
    <s v="Ken Hammond"/>
    <s v="03-Apr-12"/>
    <x v="0"/>
    <n v="0"/>
    <s v="_x000a_3-Apr - Logged ​"/>
    <m/>
    <x v="0"/>
  </r>
  <r>
    <x v="85"/>
    <x v="6"/>
    <x v="13"/>
    <s v="3) Program Mgt Team"/>
    <x v="0"/>
    <x v="85"/>
    <s v="Ken Hammond"/>
    <s v="03-Apr-12"/>
    <x v="0"/>
    <n v="0"/>
    <s v="_x000a_3-Apr - Logged ​"/>
    <m/>
    <x v="0"/>
  </r>
  <r>
    <x v="86"/>
    <x v="6"/>
    <x v="13"/>
    <s v="3) Program Mgt Team"/>
    <x v="0"/>
    <x v="86"/>
    <s v="Sandra Dillon"/>
    <s v="03-Apr-12"/>
    <x v="0"/>
    <n v="0"/>
    <s v="_x000a_3-Apr - Logged ​"/>
    <m/>
    <x v="0"/>
  </r>
  <r>
    <x v="87"/>
    <x v="6"/>
    <x v="13"/>
    <s v="3) Program Mgt Team"/>
    <x v="0"/>
    <x v="87"/>
    <s v="Sandra Dillon"/>
    <s v="03-Apr-12"/>
    <x v="0"/>
    <n v="0"/>
    <s v="_x000a_3-Apr - Logged ​"/>
    <m/>
    <x v="0"/>
  </r>
  <r>
    <x v="88"/>
    <x v="6"/>
    <x v="13"/>
    <s v="3) Program Mgt Team"/>
    <x v="0"/>
    <x v="88"/>
    <s v="Sandra Dillon"/>
    <s v="03-Apr-12"/>
    <x v="0"/>
    <n v="0"/>
    <s v="_x000a_​3-Apr - Logged"/>
    <m/>
    <x v="0"/>
  </r>
  <r>
    <x v="89"/>
    <x v="6"/>
    <x v="13"/>
    <s v="3) Program Mgt Team"/>
    <x v="0"/>
    <x v="89"/>
    <s v="Sandra Dillon"/>
    <s v="03-Apr-12"/>
    <x v="0"/>
    <n v="0"/>
    <s v="_x000a_3-Apr - Logged ​"/>
    <m/>
    <x v="0"/>
  </r>
  <r>
    <x v="90"/>
    <x v="6"/>
    <x v="13"/>
    <s v="3) Program Mgt Team"/>
    <x v="0"/>
    <x v="90"/>
    <s v="Sandra Dillon"/>
    <s v="03-Apr-12"/>
    <x v="0"/>
    <n v="0"/>
    <s v="_x000a_3-Apr - Logged ​"/>
    <m/>
    <x v="0"/>
  </r>
  <r>
    <x v="91"/>
    <x v="6"/>
    <x v="13"/>
    <s v="3) Program Mgt Team"/>
    <x v="0"/>
    <x v="91"/>
    <s v="Sandra Dillon"/>
    <s v="03-Apr-12"/>
    <x v="0"/>
    <n v="0"/>
    <s v="_x000a_​3-Apr - Logged"/>
    <m/>
    <x v="0"/>
  </r>
  <r>
    <x v="92"/>
    <x v="6"/>
    <x v="11"/>
    <s v="3) Program Mgt Team"/>
    <x v="0"/>
    <x v="92"/>
    <s v="Michelle Edmonds"/>
    <s v="30-Mar-12"/>
    <x v="0"/>
    <n v="0"/>
    <s v="_x000a_Assumption for Release 1 - per Michelle 30-Mar. (Below records from Issue 71A)_x000a_30-Mar Michelle: It is my understanding that Release 1 did not estimate the work to have the integration between the cloud SP and Imanami group management solution.   Per discussion with the BPO, the process will be for all sites to be open and only be restricted as an exception.   I agree, Brett, that longer term, especially with the blueprint work, these requirements will start to emerge and we will need to consider this work as a part of that longer term work._x000a_30-Mar Brett: I think we need to take care here about long term consequences of short term decisions (like those focused on Release 1). Communities are not the only use of member management though they are the ones that will need it in Release 1. Down the line any SharePoint site will need member management and that would be either by site owner (using SP groups and/or Imanami - with or without easy integration, AD groups via Imanami or automated - using GFIS etc). Please make sure that short term decisions are documented as short term decisions and are not carried forward into other workstreams or future releases in appropriately._x000a_29-Mar Greg: Bottom line question is: do we need integration between SharePoint and Imanami (e.g., for Release 1) -- we need management guidance/direction on this._x000a_In the recent replanning/rescoping on SharePoint, we have NOT included Imanami integration in the proposed Release 1 scope.  Assuming this &quot;NOT&quot; direction is confirmed by necessary management/ stakeholders, the item can be closed, and the decision to NOT include this integration logged.&quot;that UX impact for SP was too significant and the approach was not to use the tool integrated in SP Communities.&quot;Potential downside to NOT having this integration could have meant SharePoint member management has to be performed in two different tools (some parts in self service Imanami, some in SharePoint).  If the disposition of I71B means SharePoint is primarily not using AD Groups, that is somewhat consistent with the &quot;NOT&quot; direction.​"/>
    <m/>
    <x v="0"/>
  </r>
  <r>
    <x v="93"/>
    <x v="6"/>
    <x v="11"/>
    <s v="3) Program Mgt Team"/>
    <x v="0"/>
    <x v="93"/>
    <s v="Michelle Edmonds"/>
    <s v="20-Mar-12"/>
    <x v="0"/>
    <n v="0"/>
    <s v="_x000a_In the current replan 20-Mar-12​"/>
    <m/>
    <x v="0"/>
  </r>
  <r>
    <x v="94"/>
    <x v="6"/>
    <x v="13"/>
    <s v="3) Program Mgt Team"/>
    <x v="0"/>
    <x v="94"/>
    <s v="Ken Hammond / Sandra Dillon"/>
    <s v="04-Apr-12"/>
    <x v="0"/>
    <n v="0"/>
    <s v="_x000a_23-Mar Indication from Ken Hammond to plan for no-Newsgator scenario​"/>
    <m/>
    <x v="0"/>
  </r>
  <r>
    <x v="95"/>
    <x v="6"/>
    <x v="15"/>
    <s v="3) Program Mgt Team"/>
    <x v="2"/>
    <x v="95"/>
    <s v="(Michelle Edmonds - past validation)"/>
    <s v="01-Nov-12"/>
    <x v="1"/>
    <n v="211"/>
    <s v="_x000a_17-Oct: Per Andy on fortnightly RAID call, Nicola is working to ensure have the approp. cover for this period; not yet validated._x000a_6 Sept (NC) : We have ensured all Collaboration resource have entered their Christmas Vacation in the SharePoint Calendar the next task is to assess the planned work during this period against the forecast absence. This will take place during the week 10-15th September._x000a_3-Jul: Per Nicola, migrate across. This will need to validated again for the current year. LM set due date 11/1/2012 and next review to 9/1/2012._x000a_in the past 20-Mar-2012"/>
    <m/>
    <x v="0"/>
  </r>
  <r>
    <x v="96"/>
    <x v="6"/>
    <x v="15"/>
    <s v="3) Program Mgt Team"/>
    <x v="0"/>
    <x v="96"/>
    <s v="Michelle Edmonds"/>
    <s v="20-Mar-12"/>
    <x v="0"/>
    <n v="0"/>
    <s v="_x000a_3-Jul: Per Nicola, still valid, migrate to new log._x000a_2-Jul: LM &gt; Michelle, Nicola - status update?_x000a_Working to determine which GAAIT work to add 20-Mar-2012​"/>
    <m/>
    <x v="0"/>
  </r>
</pivotCacheRecords>
</file>

<file path=xl/pivotCache/pivotCacheRecords4.xml><?xml version="1.0" encoding="utf-8"?>
<pivotCacheRecords xmlns="http://schemas.openxmlformats.org/spreadsheetml/2006/main" xmlns:r="http://schemas.openxmlformats.org/officeDocument/2006/relationships" count="196">
  <r>
    <x v="0"/>
    <x v="0"/>
    <x v="0"/>
    <x v="0"/>
    <x v="0"/>
    <s v="Functional Stakeholder Group"/>
    <s v="28-Sep-11"/>
    <x v="0"/>
    <n v="0"/>
    <s v="_x000a_13-Feb: This is not affected by O365 decision; consider revalidated.​_x000a_Decision makers: Participants in September 2011 FSG meeting in Washington DC"/>
    <m/>
    <x v="0"/>
  </r>
  <r>
    <x v="1"/>
    <x v="1"/>
    <x v="1"/>
    <x v="0"/>
    <x v="1"/>
    <s v="IT Sponsor"/>
    <s v="30-Mar-12"/>
    <x v="0"/>
    <n v="0"/>
    <s v="_x000a_​IM 3 Aug: Forumed changed to IT Sponsor after EDG review"/>
    <m/>
    <x v="1"/>
  </r>
  <r>
    <x v="2"/>
    <x v="1"/>
    <x v="2"/>
    <x v="0"/>
    <x v="2"/>
    <s v="Business Sponsor"/>
    <s v="31-Aug-12"/>
    <x v="0"/>
    <n v="0"/>
    <s v="_x000a_17-Oct: Per Rewa on fortnightly RAID call, it was decided in a review meeting with Bob and David on 12 September that we would move forward on the basis of moving in this 3 month window, with this tracked as a validated decision. Suggested reassign to Ian McGeachie. LM &gt; Ian to inform him of assignment and validation.​"/>
    <m/>
    <x v="1"/>
  </r>
  <r>
    <x v="3"/>
    <x v="2"/>
    <x v="3"/>
    <x v="0"/>
    <x v="3"/>
    <s v="Program Mgt Team"/>
    <s v="09-May-12"/>
    <x v="0"/>
    <n v="0"/>
    <s v="_x000a_30-May (LM): Neil said on fortnightly call that this has been validated; took action to mark accordingly._x000a_9-May: Neil trying to determine who can declare final confirmation on this decision. Ian suggested DA; Neil will follow-up. ​_x000a_CD, 27 Jun 12: Migrated ownership from Neil to Christian and changed workstream to D&amp;ME._x000a_CD, 19 Jul 12: Updated to reflect this decision was actually made."/>
    <m/>
    <x v="1"/>
  </r>
  <r>
    <x v="4"/>
    <x v="2"/>
    <x v="3"/>
    <x v="0"/>
    <x v="4"/>
    <s v="CLT"/>
    <s v="01-Jun-12"/>
    <x v="0"/>
    <n v="0"/>
    <s v="_x000a_21-June: LM added per Christian Driver.​ Decision Makers = CLT"/>
    <m/>
    <x v="1"/>
  </r>
  <r>
    <x v="5"/>
    <x v="3"/>
    <x v="4"/>
    <x v="0"/>
    <x v="5"/>
    <s v="Executive Decision Group"/>
    <s v="25-Jul-12"/>
    <x v="0"/>
    <n v="0"/>
    <s v="_x000a_1st Aug -Decision now made by EDG- see above._x000a_30Jul - recommendation was:_x000a_After significant debate Q&amp;RM have agreed that Voicemail Forwarding should be enabled (knowning the fact that once forwarded, voicemails can no longer be deleted automatically after a certain time period). The agreement is that by default non forwarded voicemails will be deleted (regardless of if they have been listened to or not) after a period of 30 days. _x000a__x000a_In addition, it is agreed that assuming a sucessful series of further functional tests are conducted on the Speech to text translation feature, this should be enabled also, however it should be noted that Q&amp;RM had an action to ensure tha the US GCO were informed of potential quality issues surrounding this functionality. _x000a_18-July (LM): Per Steve, this is not yet on the critical path for Outlook/Exchange. Steve will provide further update (Updated required by per 11-July update, EDG meeting 25-July, no material impact at this point.)_x000a_11th July - This decision needs to go to the Executive Decision Group. Iain Matheson aware, and documentation / slide available. Next EDG will be 25th July_x000a_19-June Q&amp;RM update: Single frame sent to S Chakerian for further debate and guidance as to if this should be raised to the Executive Decision Group . Info to be provided by Tuesday 26th June._x000a_13th June - Further discussions held on this topic with Ent Architecture and Inf Eng. Awaiting confirmation from Nick Wood on if there is ability to restrict listening to a voicemail that is over a certain time period.  Single frame being produced for Q&amp;RM (15th June) to then review and decide if this should be taken up to the Exec Decision Group._x000a_21-May: Wait until June to review again; this decision from Q&amp;RM still about a month out._x000a_14-May​: Reviewed on Lync call; target updated to 12-June rather than 2-June since decision is still about a month out._x000a_09 May - This is still ongoing. Escalation received about America's concerns. Working this through currently with the DA and SMEs_x000a_26-Apr Al: Steve should have answer next Wed, 2-May. (prior date - 12 Nov 2012)_x000a_16th April_x000a_SJ to chase Susan Chakerian for formal response on if Lync functionality described sohuld be diabled for the Americas._x000a_4th April -_x000a_After detailed investigations, there is no practical technical solution to cater for automatically deleting forwarded / converted voicemails.  Therefore an outstanding decision remains for the Americas - Disable forwarding and &quot;Speech to text&quot; functionality completely or accept the risk - Awaiting feedback - SC to advise on revised timings._x000a_6th March - Accepted that no technical solution exists. Outstanding decision required by Americas area as to if voicemail forrwarding and speech translation to text should be disabled. All other areas have accepted the risk._x000a_22nd Feb - It is confirmed that no technical solution exists out of the box or via RMS 3rd party tools to meet the business requirement._x000a_Further request made to confirm if a product does exist on the market to cater for our &quot;auto delete&quot; requirements. Q&amp;RM have been asked to make a decision assuming no further tools are available to meet the requirement. Further info expected 9th March._x000a__x000a_(SJ) to set up a further meeting with IIT Services engineering architects to review what exact configurations can be made, reporting back to SC on this., The aim will then be to confirm a configuration for the enabling of legal disclaimers for external related chats._x000a_1-Feb: Nick, Juan and Klara working on a deck around this. Need Nick to tell us whether Msft can meet the need or what 3rd party tools are available. Adrian will chase this as a first step and come back to Steve._x000a_9-Feb James H.-Unable to clarify the scope with vendor (if cloud is chosen) until decision is made._x000a_10-Feb SJ - Either the technology will support the requirements, or not._x000a_Awaiting technical validation, prior to cycling back to Q&amp;RM._x000a_(Don’t believe this will be a business decision at this point).   "/>
    <m/>
    <x v="1"/>
  </r>
  <r>
    <x v="6"/>
    <x v="3"/>
    <x v="5"/>
    <x v="0"/>
    <x v="6"/>
    <s v="Messaging Design Authority"/>
    <s v="08-Jul-12"/>
    <x v="0"/>
    <n v="0"/>
    <m/>
    <m/>
    <x v="2"/>
  </r>
  <r>
    <x v="7"/>
    <x v="3"/>
    <x v="6"/>
    <x v="0"/>
    <x v="7"/>
    <s v="I&amp;O"/>
    <s v="30-May-12"/>
    <x v="0"/>
    <n v="0"/>
    <s v="_x000a_IM 3 Aug: Changed to I&amp;O after EDG review​"/>
    <m/>
    <x v="1"/>
  </r>
  <r>
    <x v="8"/>
    <x v="3"/>
    <x v="6"/>
    <x v="0"/>
    <x v="8"/>
    <s v="Program Mgt Team"/>
    <s v="28-Mar-11"/>
    <x v="0"/>
    <n v="0"/>
    <s v="_x000a_No decision forum included in legacy data. ​"/>
    <s v="Need new link to document."/>
    <x v="1"/>
  </r>
  <r>
    <x v="9"/>
    <x v="3"/>
    <x v="7"/>
    <x v="0"/>
    <x v="9"/>
    <s v="Program Mgt Team"/>
    <s v="03-Apr-12"/>
    <x v="0"/>
    <n v="0"/>
    <s v="_x000a_Migration note: Decision makers legacy data: Brett, Exchange and Lync PMs​_x000a_Project: Lync &amp; Exchange_x000a_From A83B. 3-Apr this item came up on daily calls as overdue for validation; Brett sent the following comment: A83B should be recorded as a decision and the Exchange and Lync PMs should be aware of that responsibility. I don't see any need for this to persist as an Assumption as it means it is not being acted on. Laura sent email to Ted and Daren with this update info."/>
    <m/>
    <x v="3"/>
  </r>
  <r>
    <x v="10"/>
    <x v="3"/>
    <x v="6"/>
    <x v="0"/>
    <x v="10"/>
    <s v="Functional Stakeholder Group"/>
    <s v="04-Oct-11"/>
    <x v="0"/>
    <n v="0"/>
    <s v="_x000a_Migration note: Legacy decision makers: Participants in September 2011 FSG meeting in Wash. DC​_x000a_4-Apr: Al &gt; James, James: This is valid, we will not be migrating buddy list into Lync._x000a_3-Apr-2012: Rewa believes this is valid, but needs to be confirmed by Al as relates to Lync and may change per the new vendor. Laura followed up with Al._x000a_Also, Rewa provided an update - there will NOT be an xml/widget to transfer existing buddy lists. Laura removed this line from the Decision desc. &quot;There will be an xml applet/widget that users can choose to run once Lync is activated that will migrate their Sametime groups across to Lync&quot;_x000a_04-Oct-11: Added by R Bouji"/>
    <m/>
    <x v="4"/>
  </r>
  <r>
    <x v="11"/>
    <x v="3"/>
    <x v="6"/>
    <x v="0"/>
    <x v="11"/>
    <s v="Program Mgt Team"/>
    <s v="04-Oct-11"/>
    <x v="0"/>
    <n v="0"/>
    <s v="_x000a_4-Apr Al &gt; James: James - This is valid - the ST client will be hidden from use_x000a_3-Apr-2012: Rewa believes this is valid, but needs to be confirmed by Al as relates to Lync and may change per the new vendor. Laura followed up with Al. ​"/>
    <m/>
    <x v="5"/>
  </r>
  <r>
    <x v="12"/>
    <x v="3"/>
    <x v="8"/>
    <x v="1"/>
    <x v="12"/>
    <s v="Program Mgt Team"/>
    <s v="23-Nov-12"/>
    <x v="1"/>
    <n v="159"/>
    <s v="_x000a_14-Nov: Discussed on fortnightly call; discussion planned around this topic tomorrow. Date set out end of next wk; Neil will update and open corresponding risk/issue if necessary._x000a_17-Oct: Per Neil on fortnightly call, this is being looked at across the whole program. Date can push out to end of month. Sascha is looking at revise proposal/alternate solution, once articulate risks and associated costs, decision can be made._x000a_3-Oct Ally: Sacha M is producing a plan for performance testing which should be ready by 5th Oct.  Decision will be reviewed after lan produced._x000a_19-Sept (LM): Per Neil on fortnightly call, asked by Geoff T to assess requirements and come up with a solution as to how much testing required. Meeting tomorrow that should provide more info. On track for end of month (at least as a check point)._x000a_5-Sept (LM): Per Neil on fortnightly call, date should be moved to end of Sept (no impact, this is not on critical path). Call scheduled for today to agree actions._x000a_22-Aug (AW): Meetings with the performance team have taken place. Decision still required. meeting planned for w/c27 Aug to decide the way forwards. Required by Date left for now._x000a_25-July (LM): Per Stephen, meeting being held today. Will update thereafter._x000a_27-Jun (LM): Per Neil on fortnightly RAID call, this will be another month out. Neil will update.​"/>
    <m/>
    <x v="1"/>
  </r>
  <r>
    <x v="13"/>
    <x v="3"/>
    <x v="4"/>
    <x v="1"/>
    <x v="13"/>
    <s v="Quality &amp; Risk Mgt Group"/>
    <s v="06-Dec-12"/>
    <x v="2"/>
    <n v="237"/>
    <s v="_x000a_2nd Nov - Steve to speak with Neil Sahdev regarding escalating the wording of the disclaimer from Microsoft. This is not a critical path activity. - It will be required for Lync Phase II. Given this situation, the date is being moved out.17-Oct: Steve said not on critical path; Neil and Steve to discuss off-line. May decrease the profile._x000a_3-Oct: Still waiting on wording; this is not immediate for Phase 1. Ally will chase (once POC work is out of the way); date should move ot the end of this month; no affect._x000a_19-Sep (LM): Update per fortnightly call that the team is waiting on the disclaimer wording; Msft to send. Q&amp;RM has resource in place to review what Msft provides. Will have to look at next steps in the case that it is not acceptable. This is not yet impacting the critical path but does need to be validated within the next month. Neil will chase wording; Juan to do the same._x000a_20th Aug - Date has been pushed back as this is a not a Phase 1 requirement. Further details are required in terms of setting out exactly what functionality is available, what hard coded messages are in place etc and provide Q&amp;RM a solid view of what can be customised or not._x000a_19th June_x000a_ S Jelf to confirm (a) the timeframe for wording on this and (b) if there is only 1 disclaimer available in Lync_x000a__x000a_Update 9th May_x000a_Wording needs to still be confirmed on Lync external disclaimer.  Awaiting guidance from Q&amp;RM on this. "/>
    <m/>
    <x v="1"/>
  </r>
  <r>
    <x v="14"/>
    <x v="3"/>
    <x v="4"/>
    <x v="0"/>
    <x v="14"/>
    <s v="Quality &amp; Risk Mgt Group"/>
    <s v="01-Feb-12"/>
    <x v="0"/>
    <n v="0"/>
    <m/>
    <m/>
    <x v="1"/>
  </r>
  <r>
    <x v="15"/>
    <x v="3"/>
    <x v="4"/>
    <x v="0"/>
    <x v="15"/>
    <s v="Quality &amp; Risk Mgt Group"/>
    <s v="01-Mar-12"/>
    <x v="0"/>
    <n v="0"/>
    <m/>
    <m/>
    <x v="1"/>
  </r>
  <r>
    <x v="16"/>
    <x v="3"/>
    <x v="8"/>
    <x v="1"/>
    <x v="16"/>
    <s v="Program Mgt Team"/>
    <s v="23-Nov-12"/>
    <x v="1"/>
    <n v="132"/>
    <s v="_x000a_23-Nov: Per Neil on fortnightly call, a call is scheduled for Friday with David and Paula to discuss. Date set out 23-Nov; will raise issue if needed._x000a_17-Oct: Neil provided update on fortnightly call that this cannot be closed until has all country agreements. Will review in 2 wks.​"/>
    <m/>
    <x v="1"/>
  </r>
  <r>
    <x v="17"/>
    <x v="3"/>
    <x v="8"/>
    <x v="0"/>
    <x v="17"/>
    <s v="Executive Decision Group"/>
    <s v="13-Jul-12"/>
    <x v="0"/>
    <n v="0"/>
    <s v="_x000a_25-Jul (LM): This goes to the EDG today. Update pending.​"/>
    <m/>
    <x v="1"/>
  </r>
  <r>
    <x v="18"/>
    <x v="3"/>
    <x v="8"/>
    <x v="1"/>
    <x v="18"/>
    <s v="Program Mgt Team"/>
    <s v="30-Dec-12"/>
    <x v="3"/>
    <n v="131"/>
    <s v="_x000a_14-Nov: Per Neil on fortnightly call, this is not on the critical path. Date moved out to end of year, no impact._x000a_17-Oct: Neil provided update on fortnightly RAID call that this is on track as part of change assessment; the date should move to the end of November, no impact._x000a_19-Sept (LM): Neil holding voice workshop and this will be discussed therein. Required date set to 26-October; no impact._x000a_22-Aug (AW): impact of having both phones still being investigated. Voice workshop planned for early September to decide voice issues and SOW II will decide deployment policies. Required by Date moved to encompass these decisions_x000a_9-Aug (NS): Required by date updated in-line with activity to define Lync Deployment Approach_x000a_08-Aug (LM): The date on this will push out, but wont yet impact the program. Neil to update._x000a_07-Aug(SM): Updated with more detail on the options and their impacts_x000a_25-Jul (LM): Stephen to update.​"/>
    <m/>
    <x v="1"/>
  </r>
  <r>
    <x v="19"/>
    <x v="3"/>
    <x v="5"/>
    <x v="0"/>
    <x v="19"/>
    <s v="Enterprise and Information Architecture"/>
    <s v="17-Oct-12"/>
    <x v="0"/>
    <n v="0"/>
    <m/>
    <m/>
    <x v="1"/>
  </r>
  <r>
    <x v="20"/>
    <x v="4"/>
    <x v="9"/>
    <x v="0"/>
    <x v="20"/>
    <s v="Program Mgt Team"/>
    <s v="14-May-12"/>
    <x v="0"/>
    <n v="0"/>
    <s v="_x000a_9-May: Updated due date from 4-May due to back-up of migration. New process to be established and communicated by 14-May._x000a_20-Apr Laura: Process changing; Moving to one log (SP list format) for entirety of program. Pilot to start 20-Apr, go live scheduled for w/e 4-May. Updated due date as plan to have all process documentation aligned with new process in place at that point._x000a_14-Mar: changing - planning to move doc to different format. Other changes may occur out of 30 day plan._x000a_27-Feb-2012: Ian and Laura confirming process for workstream RAID management._x000a_21-Apr-2010 decision had been: We will have one RAID for the entire Program / each workstream may need a supplemental RAID​"/>
    <m/>
    <x v="6"/>
  </r>
  <r>
    <x v="21"/>
    <x v="4"/>
    <x v="10"/>
    <x v="0"/>
    <x v="21"/>
    <s v="CBS"/>
    <s v="21-May-12"/>
    <x v="0"/>
    <n v="0"/>
    <s v="_x000a_[Update from Q&amp;RM log: 19-June:Recomendation from Q&amp;RM is that this field is not displayed]_x000a_18-May: Reconfirmed decision to NOT populate one last time with Sandra Dillonn, Greg Nemeth, Jayee Nadkarni, Joan Kerrigan_x000a_11-May: Met again with representatives from People team and confirmed decision to NOT populate -- Sandra Dillon, Greg Nemeth, Jayee Nadkarni, Joan E. Kerrigan, Tony Crossley.  Confirmed that they do not want this data populated in the short term.  If and when it were populated with counselor data, the team felt it important that the term &quot;Counselor&quot; should be used in the UI instead of &quot;Manager&quot;.  (This would require customization(s) that would need to be analyzed -- e.g., for feasibilty)_x000a_9-May: Ted will follow-up with Ant and Daren._x000a_4-May: Nick W. provided 3 areas for Outlook -- Organization tab on the contacts card, Outlook Properties, Ability to create team calendars based on this information_x000a_1-May: Initial Lync &amp; Outlook analysis on the implication of NOT populating the Manager field in AD is that the organization information will not show on the contact card.  Nick W. targeting review/analysis this week (e.g., on any potential further implications)_x000a_23-Apr: Impacts to SharePoint environment if the AD Manager field is not populated include: 1. Org chart will not have any data (&amp; org chart features in Outlook and Lync will be similarly affected), 2. Auto population of colleagues is driven off of the Manager field and therefore won't work, 3. Privacy settings in the Profile have items like My Team, My Manager, etc. These options will still be present but will have no effect without the Manager field populated. 4. Audience targeting can be based on a &quot;Reports Under&quot; value (based upon Manager field), 5. SharePoint Designer workflows can out of the box make use of the Manager field, 6.  If the MySite cleanup job in Office 365 is enabled in the future, it uses the Manager field for the re-assignment of the MySite to the Manager by default (this is currently disabled in Office 365).  Microsoft's advice is that this does not &quot;break&quot; anything.  It seems clear if we do not want the Manager data exposed within the application(s), it should also not be used for other purposes, and therefore Manager field should not be populated in AD.   GJV 23-Apr_x000a_13-Apr: People Team needs to communicate impacts to BPO. Architects for Lync and Outlook also need to confirm._x000a_3 - April: Pending Decision Logged, pending Brett van G and ID Sync Project confirmation​"/>
    <m/>
    <x v="1"/>
  </r>
  <r>
    <x v="22"/>
    <x v="4"/>
    <x v="4"/>
    <x v="0"/>
    <x v="22"/>
    <s v="Program Mgt Team"/>
    <s v="21-Apr-11"/>
    <x v="0"/>
    <n v="0"/>
    <s v="_x000a_21-May: Legacy lacked Owner; Steve Jelf agreed assignment. Legacy decision makers: Adrian Mickleson, Michelle Edmonds_x000a_10-Apr: Michelle provided impact and rationale_x000a_Confirmed as revalidated by Ian Bourne, 27-Feb.​"/>
    <m/>
    <x v="7"/>
  </r>
  <r>
    <x v="23"/>
    <x v="4"/>
    <x v="4"/>
    <x v="0"/>
    <x v="23"/>
    <s v="Program Mgt Team"/>
    <s v="21-Apr-11"/>
    <x v="0"/>
    <n v="0"/>
    <s v="_x000a_21-May: Legacy -- No Owner/assigned to. Steve Jelf agreed assignment. Legacy decision makers: Adrian Mickleson, Michelle Edmonds_x000a_26-Apr: Brett questioned this - business case is not a charter. Per Ian, updated the statement to specify one charter as opposed to business case._x000a_3-April Ian: Still valid, once we have the PMP's we will create a program charter._x000a_12-Mar Ian: In progress._x000a_27-Feb: investigation required prior to revalidation (Ian B. took action)​"/>
    <m/>
    <x v="8"/>
  </r>
  <r>
    <x v="24"/>
    <x v="4"/>
    <x v="11"/>
    <x v="0"/>
    <x v="24"/>
    <s v="Functional Stakeholder Group"/>
    <s v="28-Sep-11"/>
    <x v="0"/>
    <n v="0"/>
    <s v="_x000a_21-May Migration Note: No legacy Owner; added Alan as Assigned to. Legacy decision makers: Participants in Sept 2011 FSG meeting in Wash DC_x000a_27-Feb-2012: Laura and Ian adjusted item from, &quot;Next face to face meeting for functional stakeholders: 15-16 Nov LONDON. Jan (US TBD)&quot;_x000a_27-Feb: revalidated.​"/>
    <m/>
    <x v="9"/>
  </r>
  <r>
    <x v="25"/>
    <x v="4"/>
    <x v="11"/>
    <x v="0"/>
    <x v="25"/>
    <s v="Functional Stakeholder Group"/>
    <s v="28-Sep-11"/>
    <x v="0"/>
    <n v="0"/>
    <s v="_x000a_21-May Migration Note: Legacy decision makers: Participants in Sept 2011 FSG meeting in Wash DC; No legacy assigned to._x000a_27-Feb-2012: confirmed as revalidated by Ian Bourne.​_x000a_"/>
    <m/>
    <x v="10"/>
  </r>
  <r>
    <x v="26"/>
    <x v="4"/>
    <x v="12"/>
    <x v="0"/>
    <x v="26"/>
    <s v="Program Mgt Team"/>
    <s v="27-Feb-12"/>
    <x v="0"/>
    <n v="0"/>
    <s v="_x000a_21-May Migration note: Legacy decision maker = Ian Bourne​_x000a_11-Apr: Steve added rationale._x000a_27-Feb: This item was opened as a result of D14 being marked obsolete (described an outdated change control process)._x000a_27-Feb: revalidated."/>
    <m/>
    <x v="11"/>
  </r>
  <r>
    <x v="27"/>
    <x v="4"/>
    <x v="13"/>
    <x v="0"/>
    <x v="27"/>
    <s v="Program Mgt Team"/>
    <s v="04-Apr-12"/>
    <x v="0"/>
    <n v="0"/>
    <s v="_x000a_Migration note: Legacy decision maker = Attendees of Get to Green Daily Standup Calls_x000a_From LI144, discussed on daily stand-up call, and determined this is a decision rather than an issue. The team on that call agreed that the cost of transition managers will be in individual workstream budgets. ​"/>
    <m/>
    <x v="12"/>
  </r>
  <r>
    <x v="28"/>
    <x v="4"/>
    <x v="9"/>
    <x v="0"/>
    <x v="28"/>
    <s v="Program Mgt Team"/>
    <s v="21-Apr-10"/>
    <x v="0"/>
    <n v="0"/>
    <s v="_x000a_Migration note: Legacy decision makers = Michelle Edmonds/Adrian Mickleson​_x000a_21-May: LM &gt; Ian - inquiry_x000a_10-Apr: Michelle provided impact and rationale._x000a_27-Feb-2012: Ian Bourne confirmed; added PMO to the list as it too has its own charge code. Revalidated."/>
    <m/>
    <x v="13"/>
  </r>
  <r>
    <x v="29"/>
    <x v="4"/>
    <x v="9"/>
    <x v="0"/>
    <x v="29"/>
    <s v="Program Mgt Team"/>
    <s v="07-Mar-12"/>
    <x v="0"/>
    <n v="0"/>
    <s v="_x000a_Migration note: Legacy decision maker = Ian Bourne​_x000a_12-Mar Ian: This process is in place; consider revalidated._x000a_27-Feb: Opened this decision as a result of D13 being marked obsolete."/>
    <m/>
    <x v="14"/>
  </r>
  <r>
    <x v="30"/>
    <x v="5"/>
    <x v="14"/>
    <x v="0"/>
    <x v="30"/>
    <s v="Program Mgt Team"/>
    <s v="22-Jun-12"/>
    <x v="0"/>
    <n v="0"/>
    <s v="_x000a__x000a_16 Aug - Rohit Varshney is working on a to-be model for mailbox deprovisioning only, following discussing with Klara Neginsky._x000a_ _x000a_11th July - Confirmed that there are 3 different streams here. _x000a_(1) Generic process of email deprovisioning which the -  recomendation is 30 days  _x000a_(2) The Litigation / Legal hold process (D207) , which is being moved forward by Paul Neave / Brett Van Gelder Q&amp;RM and Microsoft as a separate entry._x000a_(3) The final piece of this relates to a concern Klara had surrounding the deprovision of &quot;Hostile&quot; leavers - where staff are asked to leave the firm immediately. Agreement made with Rewa Bouji that this process will be wrapped into Messaging BA work being driven by Punit Shah under reference D208. Hence this one is now being closed._x000a_ _x000a_20th June - Klara expressed concerns in terms of a further process needing to be thought through further.  - There are 3 scenario's to cater for - generic process for deprovisioning of email - standard leaver - recomendation is 30 days. The second scenario is surrouding a &quot;legal&quot; hold process - which Paul Neave, Brett Van Gelder and Susan Chakerian are reviewing with Microsoft and the 3rd process surrounds &quot;hostile&quot; leavers - where staff are asked to leave immediately - what should occur with the data. - Agreement made with Rewa Bouji that this process will be reviewed by the Exchange / Outlook BA Lead - Punit Shah. _x000a_ _x000a_13th June - Further info required from Klara on concerns. Meeting setup for Weds 20th June to explore this further with Klara / Susan Q&amp;RM._x000a_ _x000a_30-May (LM) - Steve provided update on fortnightly call that Q&amp;RM has given guidance, but Klara has concerns. 09th May - SJ to re-chase Q&amp;RM - No answer expected for 2 / 3 weeks. due to vacation of S. Chakerian. Steve and Klara to catch-up off-line. Due date revisedfrom 23-Mar to end of May._x000a__x000a_26-Apr Al: Rewa/Steve to update._x000a_16th April - SJ to chase Q&amp;RM for formal response._x000a_4th APril =-30 day period generally accepted. Just awaiting formal confirmation_x000a_8th March- General acceptance provided on this (30 day period) . It is thought that this setting could be changed based on a justified / approved Change Request -awaiting on confirmation from Nick Wood. (email sent 8th March)_x000a__x000a_c20th Feb - Discussed with SC 21st Feb. Email being sent to members of the LEC to confirm a standard 30 day policy is likely to exist across all countries. Awaiting feedback from SC on this. _x000a__x000a_10-Feb:  SJ - Q&amp;RM direction required (escalated again 9th Feb)._x000a_Paul Neave should confirm how critical a decision is, however it is believed that this needs to be fed into the “scope lock” phase- due to finalise early March._x000a_PIN – the opposite is also true -  there are countries who also expect to retain mailboxes for leavers_x000a_10-Feb: Steve to go back to Susan (Q&amp;RM): Our default position is 30 days, but we can move it to 5 if we need to. Our recommendation is not to leave it any longer than 30 days because of the cost implications.​_x000a_ "/>
    <m/>
    <x v="1"/>
  </r>
  <r>
    <x v="31"/>
    <x v="5"/>
    <x v="15"/>
    <x v="0"/>
    <x v="31"/>
    <s v="Steering Committee"/>
    <s v="17-Aug-12"/>
    <x v="0"/>
    <n v="0"/>
    <s v="_x000a_5-Sept (LM): Action to Rewa to review and update off-line._x000a_22-Aug (LM): Action to Craig on fortnightly call to update; confirm with Rewa whether anything additional is needed here. If not, update the decision and Validate._x000a_10 Aug CB: confirmed with RB that options to defer have been assessed and presented to DB.  Direction is to proceed with on-premise delivery plan and not defer although no immediate spend will occur on 10 of the 12 in-country on-premise deliveries as separate issue relates to confirm where resp and budget lies for these as does not appear to be in DCC program scope since DCC scope is for GDCs.  Messaging finance review with AG and team planned for Tues 14th Aug so expect further clarity from that meeting_x000a_09 Aug CB: CB had requested impact assessment of draft CR to defer all on-premise delivery (driven by need to manage budget forecast down).  This was expected from O/E team by 27th Jul.  CB to review with RB 10th Aug as no update provided on or since 27th Jul (CB also on leave 28th Jul to 7th Aug)_x000a_8-Aug (LM): Craig took action on program raid call to update offline._x000a_25-Jul (LM): Fornightly call action: Martin and Craig to discuss off-line and provide an update._x000a_27-Jun (LM): Rewa will discuss with Craig off-line._x000a_13-Jun (LM): Per Craig, we will progress next steps with Tim Eddy who agreed to take the aciton to help resolve. This is still overdue, but set required date to end-June because  won't go red again until that point._x000a_28/05: RB: Still awaiting CO. Position of the program is that this is to be challenged. Assigned to changed to C Burnside._x000a_20/05: RB: MSFT are now raising a Change Order for the number of weeks that the migration is expected to exceed the 9 month migration window. This is at a cost of $5,000 for every week over the 9 month 36 week period) contractually agreed. Decision to be escalated to EDG to determine whether On-prem activity should be delayed to enable all resources to focus on O365 and avert increasing financial penalties_x000a_20/04: RB presented suggestion to A Guthrie that on-prem activity be put on hold to allow efforts to focus on O365. However suggested by B van Gelder that delay to on-prem could mean extended time required to ramp on-prem up again_x000a_28/03/12: RB: Being addressed by R97_x000a_"/>
    <m/>
    <x v="1"/>
  </r>
  <r>
    <x v="32"/>
    <x v="5"/>
    <x v="16"/>
    <x v="0"/>
    <x v="32"/>
    <s v="IT Sponsor"/>
    <s v="07-May-12"/>
    <x v="0"/>
    <n v="0"/>
    <s v="_x000a_IM 3 Aug: Forum changed to IT Sponsor after EDG review_x000a_06/06: RB: Confirmed by C Burnside to proceed on basis that Australia, UK and Germany to remain On-Prem. Decision marked validated._x000a_24/05: RB: Update provided to AG, SH &amp; JC re responses from UK &amp; Australia. Recommendation that both countries remain entirely on-prem. SH and AG agreed but JC to follow up with AU &amp; UK by w/e 01/06. If no response, assume they move to the back of the queue. Response pending re Germany from SH._x000a_14/05: RB: still awaiting update from Directors of Risk. Pearl Cash on leave til end March. No update on Australia available._x000a_07/05: RB followed up with Caryn Newell. View is that no UK Service line users can move to the cloud. Request to be taken to UK&amp;I Directors of Risk this week. CN confirmed that she is not responsible for Ireland or Australia, contrary to guidance from A Grljevic. RB to pursue response on Australia from Pearl Cash._x000a__x000a_25/04: Confirmation received that UK&amp;I UK service line users cannot migrate to the cloud (Enterprise Risk/QRM team)_x000a_19/04/12: RB: Assigned to Rewa Bouji_x000a_16-Mar: Moved due date from end of Feb to 2-Apr per Al to accurately reflect the target.19/04/12: RB: Assigned to Rewa Bouji_x000a_16-Mar: Moved due date from end of Feb to 2-Apr per Al to accurately reflect the target._x000a_5-Mar: Alan and Guy to provide input on the approach based on the options provided_x000a_Al to request feedback from Pearl Cash to understand the frequency from change._x000a_20-Feb JC - Siggi will discuss UK with Robin Tye._x000a_Brett developed an approach but this needs to be fine tuned - if we are talking about only a small number of users who need to stay On-Prem then the rest should move:Pending decision from Pearl Cash ​_x000a_ "/>
    <m/>
    <x v="1"/>
  </r>
  <r>
    <x v="33"/>
    <x v="5"/>
    <x v="17"/>
    <x v="0"/>
    <x v="33"/>
    <s v="Program Mgt Team"/>
    <s v="31-Jul-12"/>
    <x v="0"/>
    <n v="0"/>
    <s v="_x000a__x000a_25-Jul (LM): Fornightly call update that this is validated, per Craig Burnside and John Lawler. Expectation and agreement with John Lawler that DCC will buildout Exchange HW to operating system layer.​ This is now in the remit of DCC, not M&amp;C._x000a__x000a_07/06 (PN) understand from Tony tracey that the current DCC contract with HCL does not address the build out of M&amp;C hardware. Though it is their intention taht it should be included they willnot be rasing any CRs to include it until FY13._x000a_30-May (LM): Rewa will discuss with John Lawler and Paul for update. 9-May: Paul to follow-up and update today.​"/>
    <m/>
    <x v="1"/>
  </r>
  <r>
    <x v="34"/>
    <x v="5"/>
    <x v="16"/>
    <x v="0"/>
    <x v="34"/>
    <s v="IT Strategy"/>
    <s v="01-Jun-12"/>
    <x v="0"/>
    <n v="0"/>
    <s v="_x000a_IM 3 Aug: Forum changed to IT Strategy after EDG review._x000a_06/06/12: RB: R Phillips confirmed to J Brown that no migration of static groups is being presented to L&amp;O Governance group; no challenge recevied from Jeremy. Assume decision validated._x000a_30-May (LM): Rewa is waiting for Jeremy and Bob's final agreement. By this Friday, if does not hear otherwise, will assume approval. Rewa took action to update._x000a_10-May IM: migrated onto SP with Bob as Decision maker therefore translated to EDG._x000a_7-May: Rewa chasing decision confirmation from JB._x000a_18/04/12: RB: Chased JB for update on whether proposals are approved or not._x000a_12/03/12: RB: Decision re-opened based on lack of business representation in previous approval decision. Proposals now with Bob Reiner and Jeremy Brown for review/approval_x000a_5-Mar: Agreement is not to migrate static groups. We should limit  which users are allowed to create static groups.  The approach used for GLMS should be replicated to avoid duplication of groups. _x000a_22/02/12: RB: RB – M&amp;C and IAM teams have developed proposal for managing migration of Domino groups and legacy group management tools. Decisions required ASAP but not clear who decision making authority would be across M&amp;C and IAM_x000a_20-Feb JC - Legacy group management tools should be retired and replaced by the tool we acquired. For groups, are you talking about personal mail groups I have setup?_x000a_14/02/12: RB: Group Management Proposals being re-drafted following further discussion with N Wood and B van Gelder. Meeting to finalise proposals rescheduled to 20/02/12 due to impact of workshops on SME availability_x000a_02/02/12: R Bouji - A set of proposals have been drafted and are currently being finalised with input from the GLMS team, for presentation to the FSG for decision making. Decision is required very soon so as to avoid potentially significant wasted development effort on the Self-service portal, and potential confusion around requirements for GroupID tool, which are being finalised in a workshop week of 6th Feb_x000a_10-Feb: PIN – need to know this soon as influences both On-Prem and O365​"/>
    <m/>
    <x v="1"/>
  </r>
  <r>
    <x v="35"/>
    <x v="5"/>
    <x v="16"/>
    <x v="0"/>
    <x v="35"/>
    <s v="Business Sponsor"/>
    <s v="11-May-12"/>
    <x v="0"/>
    <n v="0"/>
    <s v="_x000a__x000a_IM 3 Aug: Forum changed to Business Sponsor after EDG review_x000a_23/05: RB: Decision made by AG/BR that we will go live on day 1 only with eDocs and MDS (assuming they are ready). Deployment will start in countries with no MIA. Countries whose go-live criteria requires integration of mail-integrated apps will only migrate when their MIA is ready and tested (and this is contingent on DA sign off that the app can be integrated)._x000a_17/05:Only once we can engage with application owners can we complete discovery and assessment and determine day 1 candidate list. Escalated to CLT for agreement with Markets &amp; CBS on whether engagement must be through ITSDs and how this can be accommodated given FY12/13 capacity constraints/priorities.26/03: RB: This does not reflect the decision that needs to be made - we need to have agreement from the business around what Day 1 needs to look like because that drives when Day 1 actually is. It can't be up to any application owner to make sure their product works with exchange because_x000a_- if that product is a must-have for the business to deploy from Day 1, then we need to make sure they know that their delivery will impact ourDay 1, and we need to make them aware of the dependencies and manage accordingly_x000a_- if 200 application owners all decided to make their applications exchange compatible ready for day 1, and expect us to plug them in ready for day 1, this may not actually be possible or even desirable from an architecture or system performance perspective_x000a_As a program, we need to have a clear idea of what the business wants, and has agreed to, for Day 1. This should be a list of applications that must be integrated into the standard/&quot;vanilla&quot; Outlook client before we can deploy it to users. This list has not been agreed and therefore the decision is still open._x000a_05-Mar: Decision is for the product owner to ensure that their product works with exchange_x000a_22/02/12: RB: 1) Outlook Config settings due  to complete 20/04. Recommended Day 1 Plug in list due to complete 20/04. Decision required  by 11 May (not clear who decision-making body would be however)._x000a_20-Feb JC - Ok - would like to see both the feature and integration list so we can ok._x000a_14/02/12: RB: Engineering &amp; Application Management likely to complete impact assessment by mid-March. RB to prepare presentation to summarise approach to agreeing Day 1 mail-integrated application scope for stakeholders, intention for scope to be agreed by end April_x000a_31/01/12: R Bouji - Engineering can no longer meet end Feb deadline - awaiting revised date. Also need to determine whether FSG is appropriate decision-making authority. To be discussed with AG and MK_x000a_18/01/12: R Bouji - Awaiting outcome of engineering impact assessment due end February, for presentation to FSG and final decision on Day 1 configuration​"/>
    <m/>
    <x v="1"/>
  </r>
  <r>
    <x v="36"/>
    <x v="5"/>
    <x v="1"/>
    <x v="0"/>
    <x v="36"/>
    <s v="Executive Decision Group"/>
    <s v="30-Apr-12"/>
    <x v="0"/>
    <n v="0"/>
    <s v="_x000a_11/06: RB: Marked decision validated given EDG decision that no exception will be granted._x000a_30-May: LM &gt; Martin for update._x000a_16/05: JB confirmed at RAID meeting that exception will not likely be granted and will need to be agreed at country level_x000a_10/05: Chaser sent to MK_x000a__x000a_02/05: EDG Decision at meeting on 30/04 was not to grant approval for override/exception. Request for RB and MK to develop plan taking into account blackout periods. Risk remains that we will not be able to migrate in 36 weeks. MK to drive next steps_x000a_25/04: Decision escalated to EDG meeting_x000a_ _x000a_ _x000a_​"/>
    <m/>
    <x v="1"/>
  </r>
  <r>
    <x v="37"/>
    <x v="5"/>
    <x v="18"/>
    <x v="0"/>
    <x v="37"/>
    <s v="Messaging Design Authority"/>
    <s v="31-May-12"/>
    <x v="0"/>
    <n v="0"/>
    <s v="_x000a_30-May (LM): Rewa took action on fortnightly call to follow-up with Juan for status. ​"/>
    <m/>
    <x v="1"/>
  </r>
  <r>
    <x v="38"/>
    <x v="5"/>
    <x v="18"/>
    <x v="0"/>
    <x v="38"/>
    <s v="Messaging Design Authority"/>
    <s v="31-May-12"/>
    <x v="0"/>
    <n v="0"/>
    <s v="_x000a_30-May (LM): Rewa - raised CR, went to DA, will be reviewed tomorrow, and Rewa will update thereafter.​"/>
    <m/>
    <x v="1"/>
  </r>
  <r>
    <x v="39"/>
    <x v="5"/>
    <x v="17"/>
    <x v="0"/>
    <x v="39"/>
    <s v="Quality &amp; Risk Mgt Group"/>
    <s v="31-May-12"/>
    <x v="0"/>
    <n v="0"/>
    <s v="_x000a_6-June (LM) Paul: During the design workshops this was discussed and Security were asked if there was any existing use/reqt for ethical walls today. They knew of none and were actioned to investigate. There investigation found no requirement and thus in the absence of any specific requirements, it was agreed that we continued to move forward with the assumption/decision that ethical walls were not required._x000a_4-June: LM &gt; PN -- there is a pending decision on ethical walls in new log, D82. Asked the best way to combine- has a decision been made?_x000a_30-May (LM): Rewa took action on fortnightly RAID call to follow-up with Paul for an update.​_x000a_[6-March: update from the Q&amp;RM log - Requirement now fed into the EYD program, therefore this request is being closed.]"/>
    <m/>
    <x v="1"/>
  </r>
  <r>
    <x v="40"/>
    <x v="5"/>
    <x v="18"/>
    <x v="0"/>
    <x v="40"/>
    <s v="Messaging Design Authority"/>
    <s v="31-May-12"/>
    <x v="0"/>
    <n v="0"/>
    <s v="_x000a_30-May (LM): Rewa - under review with DA​"/>
    <m/>
    <x v="15"/>
  </r>
  <r>
    <x v="41"/>
    <x v="5"/>
    <x v="16"/>
    <x v="0"/>
    <x v="41"/>
    <s v="IT Sponsor"/>
    <s v="01-Jun-12"/>
    <x v="0"/>
    <n v="0"/>
    <s v="_x000a_IM 3 Aug: Forum changed to IT Sponsor after EDG review._x000a_31/05: RB: Following discussion with S Hauer, A Guthrie confirmed to RB via ST that M&amp;C program must pick up the cost. RB updated and marked Decision validated._x000a_22/05: Steve Yeomans communicated to R Bouji that GNP assumes M&amp;C is picking up circuit costs for O365. RB finds no assumptions/decision in RAID log confirming this and requests communication/audit trail. M&amp;C Outlook Exchange have no budget in place. Issue flagged at Program Management Meeting and RB requested AG to discuss with ​SH and provide decision."/>
    <m/>
    <x v="1"/>
  </r>
  <r>
    <x v="42"/>
    <x v="5"/>
    <x v="17"/>
    <x v="0"/>
    <x v="42"/>
    <s v="CIO"/>
    <s v="20-Jan-12"/>
    <x v="0"/>
    <n v="0"/>
    <s v="_x000a_23-Aug: Per Craig, this has been revalidated by Tim Eddy._x000a_Migration note: Legacy decision maker = Siggi Hauer_x000a_3-Apr- impact and rationale provided by Paul Neave._x000a_6-Mar: revalidated._x000a_5-Mar: Plan on premise; Al confirmed this is closed. Team is planning for on-premise. QRM view is Germany cannot have data hosted by a 3rd party though John disagrees with their interpretation._x000a_20-Feb JC - Siggi is working on this._x000a_1-Feb: Need confirmation from Siggi.​"/>
    <m/>
    <x v="1"/>
  </r>
  <r>
    <x v="43"/>
    <x v="5"/>
    <x v="4"/>
    <x v="0"/>
    <x v="43"/>
    <s v="Quality &amp; Risk Mgt Group"/>
    <s v="10-Apr-12"/>
    <x v="0"/>
    <n v="0"/>
    <s v="_x000a_Migration note: Decision makers in legacy log: Q&amp;RM and FSG​_x000a_16th April - No response from Herve Labaude. Q&amp;RM Chair (Susan Chakerian) has therefore confirmed we should move ahead with the assumption that no global solution for archiving is required. &quot;None of the Area GCOs are in favor of a journalling approach to email archiving.  And it is our understanding that there are no legal or regulatory requirements for such an approach.&quot;_x000a__x000a_So this leaves us with a potential future requirement for selective email archiving, mainly for the purposes of making it easier for our client serving professionals to retain required emails.  They can retain those emails now by copying them into a pdf or printing them&quot;, however this may be a future requirement (not day 1), therefore I am closing this request. (SJ)_x000a_16-Apr: revalidated._x000a_4th April - Q&amp;RM still working on this. Herve Labaude to provide clarity by Friday 6th or Q&amp;RM agree this ca nbe considered as a non requirement. _x000a_17-Mar - Still awaiting decision on Swedenk, Switzerland and DE. Likely date to get recomendation Friday 24th March. _x000a_08-Mar - We don't need any email archiving in the Americas or A-P_x000a_In EMEIA, we have a potential need for email archiving in Sweden, Switzerland and maybe Germany. However, we're pushing hard on these as the requirements don't appear to be based on any legal or regulatory criteria. Will keep you posted on progress here. _x000a_One thing to flag is the broker-dealer entity in Canada - Brett is aware of this but it currently uses a specific email archiving system which will need to be replaced. _x000a_(Note: dep. on decision, refer back to R3 (deferred). May need to open a corresponding issue; do so through R3)._x000a_5-Mar: JC to follow-up with Gillian H._x000a_20-Feb JC - We had always talked about archiving being a separate project and we have time because the user will have plenty of space in their 5GB mail file on day one. We need the answer from Q&amp;RM about whether any country needs and why. _x000a_Further Q&amp;RM due diligence is required to confirm if legal position exist in countries. It is however thought that regardless of this, further thought should be given by IT Services to accommodate these requests._x000a_1-Feb: meeting scheduled with Q&amp;RM tomorrow; update thereafter._x000a_Decision required asap on (a) If a archiving solution(s) is required overall and (b) exactly what is required for &quot;day 1&quot;._x000a_10-Feb SJ - This is significant._x000a_Q&amp;RM due diligence will take weeks / months to complete._x000a_A. Mickelson was to attempt at opening up a RFP activity around general electronic archiving , however it is not known if this has come to fruition._x000a_Impact of not having a decision on what is required for day 1. If it is decided that an email archiving solution is required in 1 or more countries for day 1 then significant additional cost would be incurred from both a H/W and resourcing view point. P/ Neave to confirm when drop dead date is for a decision to be made._x000a_"/>
    <m/>
    <x v="16"/>
  </r>
  <r>
    <x v="44"/>
    <x v="5"/>
    <x v="17"/>
    <x v="0"/>
    <x v="44"/>
    <s v="I&amp;O"/>
    <s v="13-Mar-12"/>
    <x v="0"/>
    <n v="0"/>
    <s v="_x000a__x000a_13-Jun (LM): Per Steve, removed &quot; and no personal archiving will be available&quot; as archiving is part of a different decision, D91)._x000a_Migration note: Legacy decision makers = John Costello and Siggi Hauer_x000a_3-Apr: Paul Neave updated decision and impact._x000a_16-Mar: decision made by John Costello and Siggi Hauer._x000a_6- March - J. Meiser To confirm to A. Grljevic_x000a_5-Mar: A 25Gb plan on O365 is an additional $5.00 per user per month. Note that as we approach scope lock on O365 this decision needs to be final in the next 2 weeks. Any increase in mail file size allocations will also increase the cost of the On-Prem solution._x000a_Assumption is to continue with 5GB and also verify that ithe storage can be increase this on an individual basis. Paul Neave to confirm whether we can increase the limit on an individual user basis_x000a_20-Feb JC - 5GB it is - there is a question about partners getting 25GB; JC requested Al send him and Siggi the costs for this vs. 5GB._x000a_ _x000a_Q&amp;RM have express no concern, other than the fact the business reps need to buy into the plan we are no proposing_x000a_1-Feb: moved date out 3 weeks; Al and Adrian to raise with FSG._x000a_10-Feb: SJ - IT recommendation validated by Q&amp;RM._x000a_Decision making authority now required to rubber stamp this ._x000a_(Don’t believe this is a “Business decision”)_x000a_​"/>
    <m/>
    <x v="1"/>
  </r>
  <r>
    <x v="45"/>
    <x v="5"/>
    <x v="4"/>
    <x v="0"/>
    <x v="45"/>
    <s v="Functional Stakeholder Group"/>
    <s v="22-Feb-12"/>
    <x v="0"/>
    <n v="0"/>
    <s v="_x000a_3-Apr: Paul provided updated syntax and impact/rationale detail._x000a_Validation required with FSG. Q&amp;RM have no issues with this proposal_x000a_1-Feb: moved date out 3 weeks; Al and Adrian to raise with FSG._x000a_10-Feb: SJ - IT recommendation validated by Q&amp;RM._x000a_Decision making authority now required to rubber stamp this._x000a_(Don’t believe this is a “Business decision”)_x000a_PIN - Likely that requirements from Senior mgt will require we design and cost a Backup solution for small sites where there is not DR site. Note this will result in a reduced service level for those countries._x000a_10-Feb: closed this item as decision has been agreed; closed on TF decisions call (Paul, Adrian, Al, Ant, James, Steve, Brett)_x000a_​"/>
    <m/>
    <x v="1"/>
  </r>
  <r>
    <x v="46"/>
    <x v="5"/>
    <x v="4"/>
    <x v="0"/>
    <x v="46"/>
    <s v="Functional Stakeholder Group"/>
    <s v="22-Feb-12"/>
    <x v="0"/>
    <n v="0"/>
    <s v="_x000a_26-Apr Brett suggested from Trash Retention Period to Deleted Item Retention. (LM &gt; Steve, Paul for awareness).Impact is also less about user access after 30 days than about GCO concern that items will be accessible for 30 days. Decision to accept this was also made after FSG by QRM in March sometime. (LM &gt; Steve, Paul)_x000a_3-Apr: Paul provided updated syntax and impact and rationale detail._x000a_Challenged by Q&amp;RM on behalf of the US firm. Microsoft have confirmed that this cannot be amended and as yet have resisted clients requests._x000a_1-Feb: Adrian will raise with Q&amp;RM again (needs to go back to them); then can proceed._x000a_10-Feb Steve J. - From a Q&amp;RM point of view, there are issues, but the decision fundamentally has been made / that is the service we signed up for , close.​"/>
    <m/>
    <x v="1"/>
  </r>
  <r>
    <x v="47"/>
    <x v="5"/>
    <x v="17"/>
    <x v="0"/>
    <x v="47"/>
    <s v="Functional Stakeholder Group"/>
    <s v="03-Feb-12"/>
    <x v="0"/>
    <n v="0"/>
    <s v="_x000a_Migration note: legacy decision makers = M&amp;C Programme/FSG?_x000a_3-Apr: Paul updated syntax._x000a_27-Mar: Paul provided details for impact and rationale._x000a_Need to input the required settings as part of the discovery questionnire_x000a_Need to change the service to be delivered before Scope Lock_x000a_9-Feb: Paul - Closed; it will take a week to stand up this CR so will address when required, not for Day 1. ​"/>
    <m/>
    <x v="17"/>
  </r>
  <r>
    <x v="48"/>
    <x v="5"/>
    <x v="17"/>
    <x v="0"/>
    <x v="48"/>
    <s v="Program Mgt Team"/>
    <s v="05-Mar-12"/>
    <x v="0"/>
    <n v="0"/>
    <s v="_x000a_Migration note: no decision makers included in legacy log._x000a_​3-Apr: Paul provided updated syntax, impact and rationale._x000a_(prev DP6) 5-Mar: Paul Neave and TF team - valid!_x000a_9-Mar Travis: Confirmed."/>
    <m/>
    <x v="18"/>
  </r>
  <r>
    <x v="49"/>
    <x v="5"/>
    <x v="17"/>
    <x v="0"/>
    <x v="49"/>
    <s v="I&amp;O"/>
    <s v="05-Mar-12"/>
    <x v="0"/>
    <n v="0"/>
    <s v="_x000a__x000a_Migration note: Legacy decision makers = Siggi and John_x000a_3-Apr: Paul updated syntax, impact, rationale._x000a_27-March: Paul provided detail for impact and rationale._x000a_5-Mar: CIS – BB restriction does not apply_x000a_We need to plan for exchange servers in Moscow for Russia_x000a__x000a_20-Feb JC - Siggi?_x000a_9-Feb: Paul suggested this go to Siggi and John as per the on-going discussion around on-prem locations. ​_x000a_ "/>
    <m/>
    <x v="1"/>
  </r>
  <r>
    <x v="50"/>
    <x v="5"/>
    <x v="17"/>
    <x v="0"/>
    <x v="50"/>
    <s v="Messaging Design Authority"/>
    <s v="29-Feb-12"/>
    <x v="0"/>
    <n v="0"/>
    <s v="_x000a_4-June: LM &gt; PN -- what was the decision that was made?_x000a_3-Apr: Paul provided updated syntax and impact info._x000a_Currently producing recommendation to be approved by the DA technically and then signed off by the programme authority for cost impact (prev DP5)_x000a_10-Feb: closed on TF decisions call (Paul, Ant, Brett, Adrian, Al, Steve, James)​"/>
    <m/>
    <x v="19"/>
  </r>
  <r>
    <x v="51"/>
    <x v="5"/>
    <x v="19"/>
    <x v="0"/>
    <x v="51"/>
    <s v="I&amp;O"/>
    <s v="15-Feb-12"/>
    <x v="0"/>
    <n v="0"/>
    <s v="_x000a_Migration Note: Legacy Assigned to = Nick Wood, Brett van Gelder. Legacy decision makers = Siggi Hauer / John Costello_x000a_​3-Apr: Paul provided updated syntax, impact and rationale._x000a_14-Mar - PIN: The On Premise Exchange design is for 2 hours RPO &amp; 2 Hours RTO where we have the full 3 copies, two site design, which meets the 16th Nov 2011 BIA. Have agreed this is acceptable to Martin Evans._x000a_12-Mar: LM followed up with Paul for decision maker and decision date. Paul thinks it's closed - designing to meet BIA, confirming with Martin Evans. Martin suggested he and Paul talk because designing to the BIA results is what he is concerned about i.e. 24 hour RTO which is why the issue was raised._x000a_The Current On Premise Exchange design is for 2 hours RPO &amp; 2 Hours RTO which meets the 16th Nov 2011 BIA._x000a_5-Mar: Paul – The numbers for the On-Prem came from the BIA assessment confirmation received from Arlan Singer on 16th Nov 11 (see Here)_x000a_We no longer stick to the two parameters  RTO/RPO_x000a_20-Feb JC - Where did these numebrs from from for On Prem?_x000a_PIN – currently we are designing the On-Prem solution in accordance with the BIA_x000a_ – This will increase the bandwidth required between the locations significantly. It also will not be achieved if we only have one site with a backup (See D81)."/>
    <m/>
    <x v="1"/>
  </r>
  <r>
    <x v="52"/>
    <x v="5"/>
    <x v="19"/>
    <x v="0"/>
    <x v="52"/>
    <s v="Messaging Design Authority"/>
    <s v="05-May-12"/>
    <x v="0"/>
    <n v="0"/>
    <s v="_x000a_​3-Apr: Paul provided updated impact. Paul: Decision has been made and approved by the DA that we go with RBAC split permissions._x000a_There are still some concerns from our operations and security colleagues regarding the decision taken at the planning workshops to proceed with shared permissions rather than split permissions for Exchange. Meeting on 14/11/11 in order to more fully understand the choice and its consequences.. (prev DP15)_x000a_01-Feb: Laura emailed Klara and Nick to followup/confirm ability to close._x000a_08-Feb: Klara said this is being discussed on this Friday's UC DA call. _x000a_ "/>
    <m/>
    <x v="20"/>
  </r>
  <r>
    <x v="53"/>
    <x v="5"/>
    <x v="17"/>
    <x v="0"/>
    <x v="53"/>
    <s v="Quality &amp; Risk Mgt Group"/>
    <s v="01-Feb-12"/>
    <x v="0"/>
    <n v="0"/>
    <s v="_x000a_Migration note: Legacy decision makers = Security_x000a_3-Apr: updated by Paul Neave._x000a_Is the data classification for mail still mixed - i.e... That drive the requirement for the data protection measures that require in-country deployments for exchange (prev DP11)_x000a_1-Feb: Al and Adrian said this has been confirmed; can close.​_x000a_[Dec-2011 Q&amp;RM log update: After a brief Q&amp;RM review, confirmation was obtained that the data classification should be classed as &quot;mixed&quot;.]"/>
    <m/>
    <x v="1"/>
  </r>
  <r>
    <x v="54"/>
    <x v="5"/>
    <x v="17"/>
    <x v="0"/>
    <x v="54"/>
    <s v="Messaging Design Authority"/>
    <s v="10-Feb-12"/>
    <x v="0"/>
    <n v="0"/>
    <s v="_x000a_​3-Apr: updated by Paul Neave._x000a_Currently producing recommendation to be approved by the DA technically and then signed off by the programme authority for cost impact (prev DP8)_x000a_10-Feb: closed on TF decisions call (Paul, Ant, Brett, Adrian, Al, Steve, James)"/>
    <m/>
    <x v="1"/>
  </r>
  <r>
    <x v="55"/>
    <x v="5"/>
    <x v="17"/>
    <x v="0"/>
    <x v="55"/>
    <s v="Program Mgt Team"/>
    <s v="09-Feb-12"/>
    <x v="0"/>
    <n v="0"/>
    <s v="_x000a_3-Apr: updated by Paul Neave._x000a_9-Feb: Al confirmed that this decision has been made; will be on SP2.​"/>
    <m/>
    <x v="21"/>
  </r>
  <r>
    <x v="56"/>
    <x v="5"/>
    <x v="17"/>
    <x v="0"/>
    <x v="56"/>
    <s v="Program Mgt Team"/>
    <s v="09-Feb-12"/>
    <x v="0"/>
    <n v="0"/>
    <s v="_x000a_3-Apr: Paul provided updates._x000a_27-Feb: Paul provided updated description syntax._x000a_9-Feb: Al confirmed there is a signed contract with Msft. Close.​"/>
    <m/>
    <x v="1"/>
  </r>
  <r>
    <x v="57"/>
    <x v="5"/>
    <x v="20"/>
    <x v="0"/>
    <x v="57"/>
    <s v="Program Mgt Team"/>
    <s v="15-Mar-12"/>
    <x v="0"/>
    <n v="0"/>
    <s v="_x000a_Migration note: Legacy decision makers = ​The following attended the meeting:Chris Rae, Pete Bruinsma, Adrian Mickleson, Mark Reade, Gregory Van Valkenburgh, Christopher Arnold,  Jahanzeb Ahmed, Amit Tak,Oliver Berchtold, Jaco Lanza,Dan P. Mulligan; The following received the email follow up and raised no objection._x000a_Brett van Gelder, Klara Neginsky, Norm Lambert, Scott Strange, Michelle Edmonds, Al Grljevic, Afzaal Syed_x000a__x000a_15-Mar Chris: The rationale was that although the FIM filters in O365 might form part of a possible solution to duplicate profiles, we still have not decided on the final solution, indeed we don't even know if there is one.  As the final O365 questionnaire needed to be submitted nothing was included in an attempt to deal with this, and it was decided if a change was required to the FIM filters this could easily be achieved via a standard O365 CR."/>
    <m/>
    <x v="22"/>
  </r>
  <r>
    <x v="58"/>
    <x v="5"/>
    <x v="16"/>
    <x v="0"/>
    <x v="58"/>
    <s v="Functional Stakeholder Group"/>
    <s v="16-Feb-12"/>
    <x v="0"/>
    <n v="0"/>
    <s v="_x000a_Migration Note: legacy decision maker = Jeremy Brown on behalf of the FSG_x000a_27-Mar: Rewa provided details for impact and rationale._x000a_06/03/12: RB: Jeremy Brown confirmed on behalf of FSG that business users will execute UAT_x000a_20-Feb JC - Discussion point for FSG_x000a_14/02/12: RB: Awaiting update from MK_x000a_25/01/12: R Bouji: MK indicated that business users will participate - awaiting confirmation of validation with BR/FSG_x000a_18/01/12: R Bouji: Pending discussions with Martin Kremmer on alternative decision making route_x000a_11/01 Update from R Bouji: Was scheduled for decision at next FSG meeting, however the meeting has been shortened and it is not yet clear when this will reappear on the agenda. QA need to know by end of Jan to start ramping up resources and planning. Await update on next FSG meeting and agenda_x000a_19-Dec update from Nicky that this has been bumped from the FSG agenda 2X; hoping to get it in next meeting._x000a_Adrian Mickleson to raise this to the FSG on 15 November for a decision (prev DP25)_x000a_ADM (MS):  We are creating a &quot;UAT pack&quot; with guides and templates for what needs to be created and undertaken along with a schedule of effort and when it needs to take place.  For each application, this will be provided to the business immediately after initiation of the project.  We will facilitate the UAT process and provide guidance, but do not believe that we should be &quot;in-sourced&quot; to conduct the UAT for the business.  We HAVE NOT allowd budget for the in-sourcing of UAT, or have resources lined up to conduct these activities.​"/>
    <m/>
    <x v="1"/>
  </r>
  <r>
    <x v="59"/>
    <x v="5"/>
    <x v="16"/>
    <x v="0"/>
    <x v="59"/>
    <s v="Business Sponsor"/>
    <s v="11-Nov-11"/>
    <x v="0"/>
    <n v="0"/>
    <s v="_x000a_IM 3 Aug: Forum changed to Business Sponsor after EDG review_x000a_Migration Note: Legacy decision maker = Bob Reiner_x000a_​3-Apr-2012: Rewa confirmed this is still valid._x000a_11-Nov-11: Added by R Bouji following confirmation by A Mickleson on 7-Nov-11"/>
    <m/>
    <x v="1"/>
  </r>
  <r>
    <x v="60"/>
    <x v="5"/>
    <x v="16"/>
    <x v="0"/>
    <x v="60"/>
    <s v="Functional Stakeholder Group"/>
    <s v="28-Sep-11"/>
    <x v="0"/>
    <n v="0"/>
    <s v="_x000a_Migration note: Legacy decision makers = Participants in Sept 2011 FSG meeting in Washington DC_x000a_​3-Apr-2012: Rewa confirmed this is still valid._x000a_04-Oct-11: R Bouji: A Mickleson confirmed agreement by FSG in Washington"/>
    <m/>
    <x v="23"/>
  </r>
  <r>
    <x v="61"/>
    <x v="5"/>
    <x v="16"/>
    <x v="0"/>
    <x v="61"/>
    <s v="Functional Stakeholder Group"/>
    <s v="04-Oct-11"/>
    <x v="0"/>
    <n v="0"/>
    <s v="_x000a_Migration note: Legacy decision makers = Participants in Sept 2011 FSG meeting in Washington DC​_x000a_3-Apr-2012: Rewa confirmed this is still valid._x000a_04-Oct-11: R Bouji: A Mickleson confirmed this decision was made by FSG in Washington_x000a_28-Oct-11: R Bouji: N Wood &amp; B van Gelder confirmed this requires further discussion and there is no documented decision on this. This functionality was one of the options discussed. A Mickleson &amp; N Wood to clarify and provide update to Program team at next RAID meeting."/>
    <m/>
    <x v="1"/>
  </r>
  <r>
    <x v="62"/>
    <x v="5"/>
    <x v="16"/>
    <x v="0"/>
    <x v="62"/>
    <s v="CLT"/>
    <s v="31-Jul-12"/>
    <x v="0"/>
    <n v="0"/>
    <s v="_x000a_​IM 3 Aug: added CLT as forum to better assign the decision (rather than EDG)."/>
    <m/>
    <x v="1"/>
  </r>
  <r>
    <x v="63"/>
    <x v="5"/>
    <x v="4"/>
    <x v="0"/>
    <x v="63"/>
    <s v="Quality &amp; Risk Mgt Group"/>
    <s v="19-Jun-12"/>
    <x v="0"/>
    <n v="0"/>
    <m/>
    <m/>
    <x v="1"/>
  </r>
  <r>
    <x v="64"/>
    <x v="5"/>
    <x v="4"/>
    <x v="0"/>
    <x v="64"/>
    <s v="Quality &amp; Risk Mgt Group"/>
    <s v="21-Jun-12"/>
    <x v="0"/>
    <n v="0"/>
    <s v="_x000a__x000a_Update 21st June_x000a_Screen shots received. Q&amp;RM have reviewed and concluded that &quot; on the basis that this feature appears to make it much easier to inadvertently reveal client confidential information onto an EY employee's external social media account/site, we recommend that EY should not enable this functionality.&quot;_x000a_Update 19th June -_x000a_Screen shot requested. Awaiting feedback from the BA team - originally rejected, but after further investigation, no concerns raised. Final debate occurring - update expected by c.o.b Friday 22nd June_x000a__x000a_14th June_x000a_S. Jelf chased S Chakerian for update. Further info / direction requested by 15th June. Guidance being requested from Q&amp;RM Independence on these topics._x000a_29th May_x000a_Recall and publishing of calendar information is still being discussed - Expected update 16th June ​"/>
    <m/>
    <x v="1"/>
  </r>
  <r>
    <x v="65"/>
    <x v="5"/>
    <x v="4"/>
    <x v="0"/>
    <x v="65"/>
    <s v="Quality &amp; Risk Mgt Group"/>
    <s v="21-Jun-12"/>
    <x v="0"/>
    <n v="0"/>
    <m/>
    <m/>
    <x v="1"/>
  </r>
  <r>
    <x v="66"/>
    <x v="5"/>
    <x v="15"/>
    <x v="0"/>
    <x v="66"/>
    <s v="CIO"/>
    <s v="20-Jul-12"/>
    <x v="0"/>
    <n v="0"/>
    <s v="_x000a_23-Aug: Craig sent list of countries confirmed by Tim Eddy to be either definitely On-Prem or definitely O365. ​"/>
    <m/>
    <x v="1"/>
  </r>
  <r>
    <x v="67"/>
    <x v="5"/>
    <x v="15"/>
    <x v="0"/>
    <x v="67"/>
    <s v="CIO"/>
    <s v="20-Jul-12"/>
    <x v="0"/>
    <n v="0"/>
    <s v="_x000a_23-Aug: Per CB, Tim Eddy confirmed Luxembourg will definitely be on-prem.​"/>
    <m/>
    <x v="1"/>
  </r>
  <r>
    <x v="68"/>
    <x v="5"/>
    <x v="15"/>
    <x v="0"/>
    <x v="68"/>
    <s v="CIO"/>
    <s v="20-Jul-12"/>
    <x v="0"/>
    <n v="0"/>
    <s v="_x000a_23-Aug: Reconfirmed by CB per Tim Eddy.​"/>
    <m/>
    <x v="1"/>
  </r>
  <r>
    <x v="69"/>
    <x v="5"/>
    <x v="15"/>
    <x v="0"/>
    <x v="69"/>
    <s v="CIO"/>
    <s v="20-Jul-12"/>
    <x v="0"/>
    <n v="0"/>
    <s v="_x000a_​10-Aug: Craig marked validated and added decision to log._x000a_23-Aug: Per Craig, Tim Eddy confirmed this decision."/>
    <m/>
    <x v="1"/>
  </r>
  <r>
    <x v="70"/>
    <x v="5"/>
    <x v="15"/>
    <x v="0"/>
    <x v="70"/>
    <s v="CIO"/>
    <s v="20-Jul-12"/>
    <x v="0"/>
    <n v="0"/>
    <s v="_x000a_​23-Aug: Craig sent list of countries confirmed by Tim Eddy to be either definitely On-Prem or definitely O365."/>
    <m/>
    <x v="1"/>
  </r>
  <r>
    <x v="71"/>
    <x v="5"/>
    <x v="15"/>
    <x v="0"/>
    <x v="71"/>
    <s v="CIO"/>
    <s v="20-Jul-12"/>
    <x v="0"/>
    <n v="0"/>
    <s v="_x000a_23-Aug: Craig sent list of countries confirmed by Tim Eddy to be either definitely On-Prem or definitely O365.​"/>
    <m/>
    <x v="1"/>
  </r>
  <r>
    <x v="72"/>
    <x v="5"/>
    <x v="15"/>
    <x v="0"/>
    <x v="72"/>
    <s v="CIO"/>
    <s v="20-Jul-12"/>
    <x v="0"/>
    <n v="0"/>
    <s v="_x000a_​23-Aug: Craig sent list of countries confirmed by Tim Eddy to be either definitely On-Prem or definitely O365."/>
    <m/>
    <x v="1"/>
  </r>
  <r>
    <x v="73"/>
    <x v="5"/>
    <x v="15"/>
    <x v="0"/>
    <x v="73"/>
    <s v="CIO"/>
    <s v="20-Jul-12"/>
    <x v="0"/>
    <n v="0"/>
    <s v="_x000a_23-Aug: Craig sent list of countries confirmed by Tim Eddy to be either definitely On-Prem or definitely O365.​"/>
    <m/>
    <x v="1"/>
  </r>
  <r>
    <x v="74"/>
    <x v="5"/>
    <x v="15"/>
    <x v="0"/>
    <x v="74"/>
    <s v="CIO"/>
    <s v="20-Jul-12"/>
    <x v="0"/>
    <n v="0"/>
    <s v="_x000a_23-Aug: Craig sent list of countries confirmed by Tim Eddy to be either definitely On-Prem or definitely O365.​"/>
    <m/>
    <x v="1"/>
  </r>
  <r>
    <x v="75"/>
    <x v="5"/>
    <x v="15"/>
    <x v="0"/>
    <x v="75"/>
    <s v="CIO"/>
    <s v="20-Jul-12"/>
    <x v="0"/>
    <n v="0"/>
    <s v="_x000a_23-Aug: Craig sent list of countries confirmed by Tim Eddy to be either definitely On-Prem or definitely O365.​"/>
    <m/>
    <x v="1"/>
  </r>
  <r>
    <x v="76"/>
    <x v="5"/>
    <x v="15"/>
    <x v="0"/>
    <x v="76"/>
    <s v="CIO"/>
    <s v="20-Jul-12"/>
    <x v="0"/>
    <n v="0"/>
    <s v="_x000a_23-Aug: Craig sent list of countries confirmed by Tim Eddy to be either definitely On-Prem or definitely O365.​"/>
    <m/>
    <x v="1"/>
  </r>
  <r>
    <x v="77"/>
    <x v="5"/>
    <x v="15"/>
    <x v="0"/>
    <x v="77"/>
    <s v="CIO"/>
    <s v="20-Jul-12"/>
    <x v="0"/>
    <n v="0"/>
    <s v="_x000a_23-Aug: Craig sent list of countries confirmed by Tim Eddy to be either definitely On-Prem or definitely O365.​"/>
    <m/>
    <x v="1"/>
  </r>
  <r>
    <x v="78"/>
    <x v="5"/>
    <x v="15"/>
    <x v="0"/>
    <x v="78"/>
    <s v="CIO"/>
    <s v="20-Jul-12"/>
    <x v="0"/>
    <n v="0"/>
    <s v="_x000a_23-Aug: Craig sent list of countries confirmed by Tim Eddy to be either definitely On-Prem or definitely O365.​"/>
    <m/>
    <x v="1"/>
  </r>
  <r>
    <x v="79"/>
    <x v="5"/>
    <x v="15"/>
    <x v="0"/>
    <x v="79"/>
    <s v="CIO"/>
    <s v="20-Jul-12"/>
    <x v="0"/>
    <n v="0"/>
    <s v="_x000a_23-Aug: Craig sent list of countries confirmed by Tim Eddy to be either definitely On-Prem or definitely O365.​"/>
    <m/>
    <x v="1"/>
  </r>
  <r>
    <x v="80"/>
    <x v="5"/>
    <x v="15"/>
    <x v="0"/>
    <x v="80"/>
    <s v="CIO"/>
    <s v="20-Jul-12"/>
    <x v="0"/>
    <n v="0"/>
    <s v="_x000a_23-Aug: Craig sent list of countries confirmed by Tim Eddy to be either definitely On-Prem or definitely O365.​"/>
    <m/>
    <x v="1"/>
  </r>
  <r>
    <x v="81"/>
    <x v="5"/>
    <x v="15"/>
    <x v="0"/>
    <x v="81"/>
    <s v="CIO"/>
    <s v="20-Jul-12"/>
    <x v="0"/>
    <n v="0"/>
    <s v="_x000a_23-Aug: Craig sent list of countries confirmed by Tim Eddy to be either definitely On-Prem or definitely O365.​"/>
    <m/>
    <x v="1"/>
  </r>
  <r>
    <x v="82"/>
    <x v="5"/>
    <x v="15"/>
    <x v="0"/>
    <x v="82"/>
    <s v="CIO"/>
    <s v="20-Jul-12"/>
    <x v="0"/>
    <n v="0"/>
    <s v="_x000a_23-Aug: Craig sent list of countries confirmed by Tim Eddy to be either definitely On-Prem or definitely O365.​"/>
    <m/>
    <x v="1"/>
  </r>
  <r>
    <x v="83"/>
    <x v="5"/>
    <x v="15"/>
    <x v="0"/>
    <x v="83"/>
    <s v="CIO"/>
    <s v="20-Jul-12"/>
    <x v="0"/>
    <n v="0"/>
    <s v="_x000a_23-Aug: Craig sent list of countries confirmed by Tim Eddy to be either definitely On-Prem or definitely O365.​"/>
    <m/>
    <x v="1"/>
  </r>
  <r>
    <x v="84"/>
    <x v="5"/>
    <x v="15"/>
    <x v="0"/>
    <x v="84"/>
    <s v="CIO"/>
    <s v="20-Jul-12"/>
    <x v="0"/>
    <n v="0"/>
    <s v="_x000a_23-Aug: Craig sent list of countries confirmed by Tim Eddy to be either definitely On-Prem or definitely O365.​"/>
    <m/>
    <x v="1"/>
  </r>
  <r>
    <x v="85"/>
    <x v="5"/>
    <x v="15"/>
    <x v="0"/>
    <x v="85"/>
    <s v="CIO"/>
    <s v="20-Jul-12"/>
    <x v="0"/>
    <n v="0"/>
    <s v="_x000a_23-Aug: Craig sent list of countries confirmed by Tim Eddy to be either definitely On-Prem or definitely O365.​"/>
    <m/>
    <x v="1"/>
  </r>
  <r>
    <x v="86"/>
    <x v="5"/>
    <x v="15"/>
    <x v="0"/>
    <x v="86"/>
    <s v="CIO"/>
    <s v="20-Jul-12"/>
    <x v="0"/>
    <n v="0"/>
    <s v="_x000a_23-Aug: Craig sent list of countries confirmed by Tim Eddy to be either definitely On-Prem or definitely O365.​"/>
    <m/>
    <x v="1"/>
  </r>
  <r>
    <x v="87"/>
    <x v="5"/>
    <x v="21"/>
    <x v="1"/>
    <x v="87"/>
    <s v="Executive Decision Group"/>
    <s v="31-Dec-12"/>
    <x v="4"/>
    <n v="72"/>
    <s v="_x000a_03/10 RB: Reassigned to DB as agreed 03/10. Action with John Murphy for confirmation by mid-December._x000a_13-Sept (CB): due date for decision to be end of the year, in line with the issue being tracked (33) which I do not expect to be resolved until then._x000a_23-Aug: Per Craig and Alexa,  Currently with Tim Eddy to push to O365, but not yet formally confirmed_x000a_​_x000a_ _x000a_ _x000a_ _x000a_ _x000a_ _x000a_ _x000a_ "/>
    <m/>
    <x v="1"/>
  </r>
  <r>
    <x v="88"/>
    <x v="5"/>
    <x v="21"/>
    <x v="1"/>
    <x v="88"/>
    <s v="CIO"/>
    <s v="31-Dec-12"/>
    <x v="4"/>
    <n v="72"/>
    <s v="03/10 RB: Reassigned to DB as agreed o3/10. Action with John Murphy for confirmation by mid-December._x000a_13-Sept (CB): due date changed to end of year in line with related issue being tracked (33) as do not expect this to be resolved until then._x000a_23-Aug: Per Craig and Alexa, currently with Tim Eddy to push O365 but not yet confirmed."/>
    <m/>
    <x v="1"/>
  </r>
  <r>
    <x v="89"/>
    <x v="5"/>
    <x v="21"/>
    <x v="1"/>
    <x v="89"/>
    <s v="Executive Decision Group"/>
    <s v="31-Dec-12"/>
    <x v="4"/>
    <n v="72"/>
    <s v="_x000a_03/10 RB: Reassigned to DB as agreed 03/10. Action with John Murphy for confirmation by mid-December._x000a_13-Sept (CB): due date changed to end of year in line with related issue being tracked (33) as do not expect this to be resolved until then._x000a_23-Aug: Per Craig and Alexa, currently with Tim Eddy to push O365 but not yet confirmed.​"/>
    <m/>
    <x v="1"/>
  </r>
  <r>
    <x v="90"/>
    <x v="5"/>
    <x v="21"/>
    <x v="1"/>
    <x v="90"/>
    <s v="Executive Decision Group"/>
    <s v="31-Dec-12"/>
    <x v="4"/>
    <n v="72"/>
    <s v="_x000a__x000a_03/10 RB: Reassigned to DB as agreed 03/10. Action with John Murphy for confirmation by mid-December._x000a_13-Sept (CB): due date changed to end of year in line with related issue being tracked (33) as do not expect this to be resolved until then._x000a_23-Aug: Per Craig and Alexa, currently with Tim Eddy to push O365 but not yet confirmed.​"/>
    <m/>
    <x v="1"/>
  </r>
  <r>
    <x v="91"/>
    <x v="5"/>
    <x v="15"/>
    <x v="1"/>
    <x v="91"/>
    <s v="CIO"/>
    <s v="31-Dec-12"/>
    <x v="4"/>
    <n v="67"/>
    <s v="_x000a_13-Sept (CB): due date changed to end of year in line with related issue being tracked (33) as do not expect this to be resolved until then._x000a_23-Aug: Per Craig and Alexa, currently with Tim Eddy to push O365 but not yet confirmed.​"/>
    <m/>
    <x v="1"/>
  </r>
  <r>
    <x v="92"/>
    <x v="5"/>
    <x v="15"/>
    <x v="1"/>
    <x v="92"/>
    <s v="CIO"/>
    <s v="31-Dec-12"/>
    <x v="4"/>
    <n v="67"/>
    <s v="_x000a_13-Sept (CB): due date changed to end of year in line with related issue being tracked (33) as do not expect this to be resolved until then._x000a_23-Aug: Per Craig and Alexa, currently with Tim Eddy to push O365 but not yet confirmed.​"/>
    <m/>
    <x v="1"/>
  </r>
  <r>
    <x v="93"/>
    <x v="5"/>
    <x v="15"/>
    <x v="1"/>
    <x v="93"/>
    <s v="CIO"/>
    <s v="31-Dec-12"/>
    <x v="4"/>
    <n v="67"/>
    <s v="_x000a_13-Sept (CB): due date changed to end of year in line with related issue being tracked (33) as do not expect this to be resolved until then._x000a_23-Aug: Per Craig and Alexa, currently with Tim Eddy to push O365 but not yet confirmed.​"/>
    <m/>
    <x v="1"/>
  </r>
  <r>
    <x v="94"/>
    <x v="5"/>
    <x v="15"/>
    <x v="1"/>
    <x v="94"/>
    <s v="CIO"/>
    <s v="31-Dec-12"/>
    <x v="4"/>
    <n v="67"/>
    <s v="_x000a_13-Sept (CB): due date changed to end of year in line with related issue being tracked (33) as do not expect this to be resolved until then._x000a_23-Aug: Per Craig and Alexa, currently with Tim Eddy to push O365 but not yet confirmed.​"/>
    <m/>
    <x v="1"/>
  </r>
  <r>
    <x v="95"/>
    <x v="5"/>
    <x v="22"/>
    <x v="0"/>
    <x v="95"/>
    <s v="I&amp;O"/>
    <s v="23-Jul-12"/>
    <x v="0"/>
    <n v="0"/>
    <m/>
    <m/>
    <x v="1"/>
  </r>
  <r>
    <x v="96"/>
    <x v="5"/>
    <x v="16"/>
    <x v="0"/>
    <x v="96"/>
    <s v="Quality &amp; Risk Mgt Group"/>
    <s v="12-Sep-12"/>
    <x v="0"/>
    <n v="0"/>
    <s v="_x000a_19/09: RB. Confirmation received from Q&amp;RM that Option 2 will be pursued. This has been presented to L&amp;O Governance Group on 12/09/12, and R Phillips confirmed no challenge raised. Decision marked validated._x000a_07/09/12: RB: Request made of S Jelf for confirmation of next QRM Meeting to escalate decision.​"/>
    <m/>
    <x v="1"/>
  </r>
  <r>
    <x v="97"/>
    <x v="5"/>
    <x v="22"/>
    <x v="1"/>
    <x v="97"/>
    <s v="Lync and Outlook Governance"/>
    <s v="14-Dec-12"/>
    <x v="5"/>
    <n v="55"/>
    <s v="_x000a_14-Nov (LM): Reviewed on fortnightly RAID call; Rachel updated assignment, req. date and forum to reflect recent activity. This was intended for the governance group 14-Nov but more info and support from I&amp;O are needed._x000a_16-Oct (RP): waiting on more detailed information from Rohit (the business analyst working on this) in order to take this point to the L&amp;O Governance Group. It's an agenda item for 14 November. The main impact (ok'd with Rohit and Yvonne) is on myself from a change perspective. This is an impact we can manage provided we have confirmation on this by mid-November. (Date moved to 16-Nov. )_x000a_3-Oct: Per Rachel, had been hoping to take to the Lync/Outlook Governance group next week. Now will be proposing a way forward and will then discuss that proposal (with clear implications) at the meeting next month. This won't impact the time schedules.​"/>
    <m/>
    <x v="1"/>
  </r>
  <r>
    <x v="98"/>
    <x v="5"/>
    <x v="21"/>
    <x v="0"/>
    <x v="98"/>
    <s v="IT Program Mgr"/>
    <s v="01-Oct-12"/>
    <x v="0"/>
    <n v="0"/>
    <m/>
    <m/>
    <x v="1"/>
  </r>
  <r>
    <x v="99"/>
    <x v="5"/>
    <x v="21"/>
    <x v="1"/>
    <x v="99"/>
    <s v="Executive Decision Group"/>
    <s v="14-Dec-12"/>
    <x v="5"/>
    <n v="0"/>
    <s v="_x000a_03/10 RB logged and assigned to DB as agreed. Action now escalated to John Murphy who has agreed to finalise hosting status of all countries still under question by mid-December in time for on-prem hardware orders to be placed in January​."/>
    <m/>
    <x v="1"/>
  </r>
  <r>
    <x v="100"/>
    <x v="6"/>
    <x v="4"/>
    <x v="0"/>
    <x v="100"/>
    <s v="Quality &amp; Risk Mgt Group"/>
    <s v="09-Aug-12"/>
    <x v="0"/>
    <n v="0"/>
    <s v="_x000a__x000a_3rd Aug - Further information received from G. Henbest (Global Data Privacy Director) - _x000a_&quot;If the information is kept for 30 days then it must be searchable, a requirement of data privacy law is that an individual should be allowed access to or a copy of all their data, so if this information is still available when a request is received we need to be able to provide a copy...&quot;_x000a__x000a__x000a__x000a__x000a__x000a__x000a__x000a__x000a__x000a__x000a__x000a__x000a__x000a__x000a_ Marked (re)validated._x000a_1st Aug - Key outstanding question is if data should remain visibile for 30 days. Q&amp;RM to provide further clarification. Unclear of when this information is required by._x000a_31 Jul (BvG): Setting to revalidation. Lots of missing information in the Decision log fields and outstanding responses from Q&amp;RM still noted without resolution."/>
    <m/>
    <x v="1"/>
  </r>
  <r>
    <x v="101"/>
    <x v="7"/>
    <x v="23"/>
    <x v="0"/>
    <x v="101"/>
    <s v="Steering Committee"/>
    <s v="08-Jul-12"/>
    <x v="0"/>
    <n v="0"/>
    <s v="_x000a_7-Sep: Jo Anne Offill sent the following correction to this decision: _x000a_The GAAIT Replacement program is moving under the umbrella of the FAS&amp;T program, not EYD. Decision previously read that GAAIT replacement will be managed by EYD. _x000a__x000a_03-Aug: Reassigned to Andy_x000a_09-Jul: Decision will reflect disposition of Issue #81_x000a_12-June (LM): Per Michelle, this decision should be made/complete July 9, updated._x000a_22-Feb: on RAID call discussed I110, hoping to get more info at FSG meeting next week.​ "/>
    <m/>
    <x v="1"/>
  </r>
  <r>
    <x v="102"/>
    <x v="7"/>
    <x v="24"/>
    <x v="0"/>
    <x v="102"/>
    <s v="Program Mgt Team"/>
    <s v="19-Aug-12"/>
    <x v="0"/>
    <n v="0"/>
    <s v="_x000a__x000a_16-July: Norm marked &quot;Validated.&quot;_x000a_9-July:  SharePoint Extranet Deployment and Access Model (authored by Gerd Hanussek) submitted to Design Authority _x000a_10-May IM: prior to migration, forum set to Decision Makers set to &quot;Ant / Afzaal / Klara&quot; so translated to &quot;Workstream Lead&quot; - to be confirmed._x000a_26-Apr: Per Al, reassign to Norm, IAM/InfoSec_x000a_9-May:  this activity is part of Release 2 design work​"/>
    <m/>
    <x v="1"/>
  </r>
  <r>
    <x v="103"/>
    <x v="7"/>
    <x v="25"/>
    <x v="0"/>
    <x v="103"/>
    <s v="Program Mgt Team"/>
    <s v="20-Apr-12"/>
    <x v="0"/>
    <n v="0"/>
    <s v="_x000a_22-May: Marked Validated by Michelle Edmonds._x000a_30-Apr: Al unsure, SP item. LM to Norm/Michelle._x000a_26-Apr Al: Governing body has been established. LM &gt; Al - need date, decision statement, impact and rationale._x000a_Program_x000a_7-Mar: Al and Mark had a conversation around this item; will be part of blueprints. Decision will need to come first from Fareed Naeem and then Jeremy Brown. ​_x000a_No assigned to; Forum set to Program Mgt team as opposed to Workstream Lead to keep at Program level."/>
    <m/>
    <x v="1"/>
  </r>
  <r>
    <x v="104"/>
    <x v="7"/>
    <x v="26"/>
    <x v="0"/>
    <x v="104"/>
    <s v="Program Mgt Team"/>
    <s v="07-Aug-12"/>
    <x v="0"/>
    <n v="0"/>
    <s v="_x000a_08 - Aug (JB) Service Delivery for Assurance is part of the FAS&amp;T program and not in scope for M&amp;C.  All service delivery processs in scope for M&amp;C are proposed to be delivered via the EYD infrastructure. _x000a_03-Jul: Required date moved as Andy and Jeremy will discuss in Cleveland next week. _x000a_25-July (LM): workshops are planned for first 2 wks of August. Andy and Jeremy to discuss off-line and provide update._x000a_18-July (LM): Per Jeremy, The working proposal is that ECMA will be delivered via EY/D. A series of workshops are planned to define and design the process and technical requirements so that all service lines can leverage EY/D from a service delivery perspective. This workstream is under the sponsorship of John Murphy._x000a_27-Jun (LM): Nicola took an action to take to Andy to follow-up with Jeremy._x000a_26-Apr: Per Al, reassign to Norm/Michelle._x000a_SharePoint enablement (requirements)​"/>
    <m/>
    <x v="1"/>
  </r>
  <r>
    <x v="105"/>
    <x v="7"/>
    <x v="27"/>
    <x v="0"/>
    <x v="105"/>
    <s v="Program Mgt Team"/>
    <s v="22-Sep-11"/>
    <x v="0"/>
    <n v="0"/>
    <s v="_x000a_2nd August : (NC Solution Delivery Lead ​Collaboratoin) Confirm decision that Collaboration EAX and Release 1 scope does not include the conversion of or data migration of any existing SP site already in the E&amp;Y landscape. (Marked (re)validated)_x000a_16-Jul: Reassigned to Nicola_x000a_27-Feb: Reviewed - Decision in the past - Need to confirm at Replan; May be impacted"/>
    <m/>
    <x v="1"/>
  </r>
  <r>
    <x v="106"/>
    <x v="7"/>
    <x v="25"/>
    <x v="0"/>
    <x v="106"/>
    <s v="Program Mgt Team"/>
    <s v="23-Sep-11"/>
    <x v="0"/>
    <n v="0"/>
    <s v="_x000a_27-Feb: Reviewed - Decision in the past - Need to confirm at Replan; May be impacted​"/>
    <m/>
    <x v="24"/>
  </r>
  <r>
    <x v="107"/>
    <x v="7"/>
    <x v="25"/>
    <x v="0"/>
    <x v="107"/>
    <s v="Program Mgt Team"/>
    <s v="08-Nov-11"/>
    <x v="0"/>
    <n v="0"/>
    <s v="_x000a_​'11_11_08.1.15 - &quot;Tier A: We will build a Tier-A only specific archiving solution for //content and //communities only&quot;_x000a_O365 Hosted if aplicable for workloads, therefore need to revalidate_x000a_Travis 9-Mar: Need to re-validate what &quot;archiving&quot; means to EY. Although &quot;Content&quot; has a large user-base, it should still be considered an Application-Specific workload (i.e. vertical). Assuming verticals do not live in O365, it will require an on-premises archiving solution which is not considered in the &quot;to-be&quot; architecture. Assuming all community types live in O365, EY can take advantage of the O365 &quot;Records Center&quot; site collection which can grow to 400GB (at this threshold, this is a maximum of 300 based on latest service description). Need to re-visit the requirement for archiving and determine if the constraints still meet the requirement. Arch imp: YES_x000a_Legacy decision makers: Participants in the November TF Meeting in Secaucus (selected Program Mgt Team)"/>
    <m/>
    <x v="1"/>
  </r>
  <r>
    <x v="108"/>
    <x v="7"/>
    <x v="28"/>
    <x v="1"/>
    <x v="108"/>
    <s v="Program Mgt Team"/>
    <s v="30-Nov-12"/>
    <x v="6"/>
    <n v="373"/>
    <s v="_x000a__x000a_9th Nov (NC) : Updated from BvG_x000a__x000a_This assumption was documented and required for SP infrastructure architecture but information came from (and needs to come from) SP solutions level (previously Fusion). It also needs to come from other candidate programs but they have not had requirements at this level. _x000a_ _x000a_Josh please review with Len to validate or revise this assumption as stated.  _x000a_ _x000a_31-Oct (LS): Reassigned to Nicola_x000a_ _x000a_Legacy decision makers: Participants in the November TF Meeting in Secaucus"/>
    <m/>
    <x v="1"/>
  </r>
  <r>
    <x v="109"/>
    <x v="7"/>
    <x v="28"/>
    <x v="1"/>
    <x v="109"/>
    <s v="Program Mgt Team"/>
    <s v="30-Nov-12"/>
    <x v="6"/>
    <n v="368"/>
    <s v="_x000a_9th Nov (NC) : Updated from BvG_x000a__x000a_This assumption was documented and required for SP infrastructure architecture but information came from (and needs to come from) SP solutions level (previously Fusion). It also needs to come from other candidate programs but they have not had requirements at this level. _x000a_ _x000a_Josh please review with Len to validate or revise this assumption as stated._x000a_ _x000a_31-Oct (LS): Reassigned to Nicola_x000a_Legacy decision makers: Participants in the November TF Meeting in Secaucus​"/>
    <m/>
    <x v="1"/>
  </r>
  <r>
    <x v="110"/>
    <x v="7"/>
    <x v="25"/>
    <x v="0"/>
    <x v="110"/>
    <s v="Program Mgt Team"/>
    <s v="08-Nov-11"/>
    <x v="0"/>
    <n v="0"/>
    <s v="_x000a_​Confirmed with scope from Vel and Cheryl.   Question about which release they are in_x000a_Legacy decision makers:Participants in the November TF Meeting in Secaucus"/>
    <m/>
    <x v="1"/>
  </r>
  <r>
    <x v="111"/>
    <x v="7"/>
    <x v="25"/>
    <x v="0"/>
    <x v="111"/>
    <s v="Program Mgt Team"/>
    <s v="09-Nov-11"/>
    <x v="0"/>
    <n v="0"/>
    <s v="_x000a_​21 May - Not part of release 1_x000a_Legacy decision maker:Participants in the November TF Meeting in Secaucus"/>
    <m/>
    <x v="1"/>
  </r>
  <r>
    <x v="112"/>
    <x v="7"/>
    <x v="25"/>
    <x v="0"/>
    <x v="112"/>
    <s v="Program Mgt Team"/>
    <s v="10-Nov-11"/>
    <x v="0"/>
    <n v="0"/>
    <s v="_x000a_Legacy Decision Maker: Participants in the November TF Meeting in Secaucus​"/>
    <m/>
    <x v="1"/>
  </r>
  <r>
    <x v="113"/>
    <x v="7"/>
    <x v="28"/>
    <x v="1"/>
    <x v="113"/>
    <s v="Program Mgt Team"/>
    <s v="30-Nov-12"/>
    <x v="6"/>
    <n v="366"/>
    <s v="_x000a_9th Nov (NC) : Updated from BvG _x000a_This assumption was documented and required for SP infrastructure architecture but information came from (and needs to come from) SP solutions level (previously Fusion). It also needs to come from other candidate programs but they have not had requirements at this level. _x000a__x000a_This assumption is no longer valid as search is a core part of SharePoint platform not a separate product. Validate if this assumption should be reworded to say that where there is in-country SharPoint there will always be in-country Search to meet need for index to remain local etc?_x000a_ _x000a__x000a_Josh please review with Len to validate or revise this assumption as stated._x000a_ _x000a_31-Oct (LS): Reassigned to Nicola_x000a_21 May - need to wait for blueprint to make this decision_x000a__x000a__x000a_3-Apr: Michelle provided impact and rationale data.​_x000a_Legacy decision makers: Participants in the November TF Meeting in Secaucus"/>
    <m/>
    <x v="1"/>
  </r>
  <r>
    <x v="114"/>
    <x v="7"/>
    <x v="29"/>
    <x v="1"/>
    <x v="114"/>
    <s v="Program Mgt Team"/>
    <s v="30-Nov-12"/>
    <x v="6"/>
    <n v="366"/>
    <s v="_x000a__x000a_9th Nov (NC) : Updated from BvG_x000a_ _x000a_This should go to Len to revise based on SP Search replacing FAST and new SP infrastructure architecture._x000a_​31-Oct (LS): Reassigned to Nicola_x000a_3-Apr: Michelle provided impact and rationale data._x000a_Legacy decision maker: Participants in the November TF Meeting in Secaucus"/>
    <m/>
    <x v="1"/>
  </r>
  <r>
    <x v="115"/>
    <x v="7"/>
    <x v="25"/>
    <x v="0"/>
    <x v="115"/>
    <s v="Program Mgt Team"/>
    <s v="11-Nov-11"/>
    <x v="0"/>
    <n v="0"/>
    <s v="_x000a_3-Apr: Michelle provided impact and rationale data.​_x000a_Legacy decision maker:Participants in the November TF Meeting in Secaucus"/>
    <m/>
    <x v="1"/>
  </r>
  <r>
    <x v="116"/>
    <x v="7"/>
    <x v="25"/>
    <x v="0"/>
    <x v="116"/>
    <s v="Program Mgt Team"/>
    <s v="11-Nov-11"/>
    <x v="0"/>
    <n v="0"/>
    <s v="_x000a_21 May - Included in the plan for release 1​_x000a_3-Apr: Michelle provided rationale and impact info._x000a_Legacy decision makers: Participants in the November TF Meeting in Secaucus"/>
    <m/>
    <x v="1"/>
  </r>
  <r>
    <x v="117"/>
    <x v="7"/>
    <x v="27"/>
    <x v="0"/>
    <x v="117"/>
    <s v="Program Mgt Team"/>
    <s v="30-Jun-12"/>
    <x v="0"/>
    <n v="0"/>
    <s v="_x000a_2 August (NC Solution Delivery Manager) Collaboration EAX and Release 1 confirm original validation, attributes needed by SharePoint will be available and managed in the Global AD Catalog​ (marked (re)validated)_x000a_16-Jul:Reassigned to Nicola_x000a_3-Apr: Michelle provided impact and rationale.​_x000a_Comment included from Binu Alex that effort is underway as part of Fusion and IAM._x000a_Legacy decision makers: Participants in the November TF Meeting in Secaucus"/>
    <m/>
    <x v="1"/>
  </r>
  <r>
    <x v="118"/>
    <x v="7"/>
    <x v="30"/>
    <x v="0"/>
    <x v="118"/>
    <s v="Functional Stakeholder Group"/>
    <s v="13-Mar-12"/>
    <x v="0"/>
    <n v="0"/>
    <s v="_x000a_Legacy decision maker = FSG - Dallas_x000a_26-Apr: Brett provided rationale and said: This is also not M&amp;C but SharePoint level (mobile for Exchange and Lync are separate considerations). LM updated, Brett provided decision makers._x000a_13-Mar: This had been an action in the daily stand up callls and this update was provided today. Jeremy sending a comm to the workstream leads for their awareness. The team may architect for mobile in P1, but not design and deliver. We will not paint ourselves in a corner for P2 and on.​"/>
    <m/>
    <x v="25"/>
  </r>
  <r>
    <x v="119"/>
    <x v="7"/>
    <x v="25"/>
    <x v="0"/>
    <x v="119"/>
    <s v="SP &amp; EM Design Authority"/>
    <s v="08-Dec-11"/>
    <x v="0"/>
    <n v="0"/>
    <s v="_x000a_​27-Mar Brett: Provided detail for impact and rationale; decision made by John and separately by Bob and Jeremy. SP &amp; EM DA supported proposal to move forward with RFP._x000a_Resourcing and time will be required to conduct an RFP with a shortlist of appropriate vendors selected to provide improved social capabilities to the base SharePoint 2010 platform._x000a_Decision in the past; No impact as result of cloud_x000a_27-Feb: revalidated"/>
    <m/>
    <x v="26"/>
  </r>
  <r>
    <x v="120"/>
    <x v="7"/>
    <x v="25"/>
    <x v="0"/>
    <x v="120"/>
    <s v="Program Mgt Team"/>
    <s v="08-Dec-11"/>
    <x v="0"/>
    <n v="0"/>
    <s v="_x000a_Migration Note: Legacy decision makers = Bob Wasserman, Sharon Rahav, Scott Machovina, Michelle Edmonds_x000a_Decision in the past; No impact as result of cloud_x000a_27-Feb: revalidated​"/>
    <m/>
    <x v="27"/>
  </r>
  <r>
    <x v="121"/>
    <x v="7"/>
    <x v="25"/>
    <x v="0"/>
    <x v="121"/>
    <s v="Program Mgt Team"/>
    <s v="23-Sep-11"/>
    <x v="0"/>
    <n v="0"/>
    <s v="_x000a_Decision in the past - Need to confirm at Replan; No impact based on cloud decision 27-Feb: revalidated​"/>
    <m/>
    <x v="28"/>
  </r>
  <r>
    <x v="122"/>
    <x v="7"/>
    <x v="25"/>
    <x v="0"/>
    <x v="122"/>
    <s v="Program Mgt Team"/>
    <s v="23-Sep-11"/>
    <x v="0"/>
    <n v="0"/>
    <s v="_x000a_Confirm at replan; No impact based on cloud decision 27-Feb: revalidated​"/>
    <m/>
    <x v="29"/>
  </r>
  <r>
    <x v="123"/>
    <x v="7"/>
    <x v="25"/>
    <x v="0"/>
    <x v="123"/>
    <s v="Program Mgt Team"/>
    <s v="23-Sep-11"/>
    <x v="0"/>
    <n v="0"/>
    <s v="_x000a_Confirm at replan; No impact based on cloud decision 27-Feb: revalidated​"/>
    <m/>
    <x v="30"/>
  </r>
  <r>
    <x v="124"/>
    <x v="7"/>
    <x v="25"/>
    <x v="0"/>
    <x v="124"/>
    <s v="Program Mgt Team"/>
    <s v="23-Sep-11"/>
    <x v="0"/>
    <n v="0"/>
    <s v="_x000a_​Confirm at replan; No impact based on cloud decision 27-Feb: revalidated"/>
    <m/>
    <x v="31"/>
  </r>
  <r>
    <x v="125"/>
    <x v="7"/>
    <x v="25"/>
    <x v="0"/>
    <x v="125"/>
    <s v="Program Mgt Team"/>
    <s v="23-Sep-11"/>
    <x v="0"/>
    <n v="0"/>
    <s v="_x000a_Confirm at replan; No impact based on cloud decision 27-Feb: revalidated​"/>
    <m/>
    <x v="32"/>
  </r>
  <r>
    <x v="126"/>
    <x v="7"/>
    <x v="25"/>
    <x v="0"/>
    <x v="126"/>
    <s v="Program Mgt Team"/>
    <s v="23-Sep-11"/>
    <x v="0"/>
    <n v="0"/>
    <s v="_x000a_​Confirm at replan; No impact based on cloud decision 27-Feb: revalidated"/>
    <m/>
    <x v="33"/>
  </r>
  <r>
    <x v="127"/>
    <x v="7"/>
    <x v="25"/>
    <x v="0"/>
    <x v="127"/>
    <s v="Program Mgt Team"/>
    <s v="23-Sep-11"/>
    <x v="0"/>
    <n v="0"/>
    <s v="_x000a_​Confirm at replan; No impact based on cloud decision 27-Feb: revalidated"/>
    <m/>
    <x v="34"/>
  </r>
  <r>
    <x v="128"/>
    <x v="7"/>
    <x v="25"/>
    <x v="0"/>
    <x v="128"/>
    <s v="Program Mgt Team"/>
    <s v="23-Sep-11"/>
    <x v="0"/>
    <n v="0"/>
    <s v="_x000a_​Confirm at replan; No impact based on cloud decision 27-Feb: revalidated"/>
    <m/>
    <x v="35"/>
  </r>
  <r>
    <x v="129"/>
    <x v="7"/>
    <x v="25"/>
    <x v="0"/>
    <x v="129"/>
    <s v="Program Mgt Team"/>
    <s v="23-Sep-11"/>
    <x v="0"/>
    <n v="0"/>
    <s v="_x000a_​Confirm at replan; No impact on approach based on cloud decision - initial on-prem prod hardware will be ordered to match staging configuration 27-Feb: revalidated"/>
    <m/>
    <x v="36"/>
  </r>
  <r>
    <x v="130"/>
    <x v="7"/>
    <x v="25"/>
    <x v="0"/>
    <x v="130"/>
    <s v="Functional Stakeholder Group"/>
    <s v="27-Sep-11"/>
    <x v="0"/>
    <n v="0"/>
    <s v="_x000a_Migration note: Legacy decision makers: Participants in Sept 2011 FSG meeting in DC​_x000a_27-Feb; Reviewed -_x000a_Confirm at replan; May be impacted - check with Jeremy Brown_x000a_20-Mar: revalidated"/>
    <m/>
    <x v="37"/>
  </r>
  <r>
    <x v="131"/>
    <x v="7"/>
    <x v="25"/>
    <x v="0"/>
    <x v="131"/>
    <s v="Functional Stakeholder Group"/>
    <s v="27-Sep-11"/>
    <x v="0"/>
    <n v="0"/>
    <s v="_x000a_Migration Note: Legacy decision makers = Participants in Sept 2011 FSG meeting in DC​_x000a_Confirm at replan; may be impacted_x000a_20-Mar: revalidated"/>
    <m/>
    <x v="38"/>
  </r>
  <r>
    <x v="132"/>
    <x v="7"/>
    <x v="25"/>
    <x v="0"/>
    <x v="132"/>
    <s v="Functional Stakeholder Group"/>
    <s v="27-Sep-11"/>
    <x v="0"/>
    <n v="0"/>
    <s v="_x000a_Migration note: legacy decision makers = participants in sept 2011 FSG meeting in DC_x000a_Decision in the past; No impact as result of cloud_x000a_27-Feb: revalidated​"/>
    <m/>
    <x v="39"/>
  </r>
  <r>
    <x v="133"/>
    <x v="7"/>
    <x v="25"/>
    <x v="0"/>
    <x v="133"/>
    <s v="Functional Stakeholder Group"/>
    <s v="27-Sep-11"/>
    <x v="0"/>
    <n v="0"/>
    <s v="_x000a_Migration note: Legacy decision makers = participants in Sept 2011 FSG meeting in DC​_x000a_Confirm at replan; No impact based on cloud decision 27-Feb: revalidated"/>
    <m/>
    <x v="40"/>
  </r>
  <r>
    <x v="134"/>
    <x v="7"/>
    <x v="25"/>
    <x v="0"/>
    <x v="134"/>
    <s v="Program Mgt Team"/>
    <s v="11-Nov-10"/>
    <x v="0"/>
    <n v="0"/>
    <s v="_x000a_Migration note: legacy decision maker = Team_x000a_​decision in the past No impact based on cloud decision 27-Feb: revalidated"/>
    <m/>
    <x v="41"/>
  </r>
  <r>
    <x v="135"/>
    <x v="7"/>
    <x v="25"/>
    <x v="0"/>
    <x v="135"/>
    <s v="Program Mgt Team"/>
    <s v="15-Feb-12"/>
    <x v="0"/>
    <n v="0"/>
    <s v="_x000a_​Migration note: legacy decision makers = O365 Feb 12 team_x000a_Rationale: Decided by the technical team_x000a_Decided in the O365 session w/o 12-Feb in Cleveland."/>
    <m/>
    <x v="42"/>
  </r>
  <r>
    <x v="136"/>
    <x v="7"/>
    <x v="31"/>
    <x v="0"/>
    <x v="136"/>
    <s v="Program Mgt Team"/>
    <s v="15-Feb-12"/>
    <x v="0"/>
    <n v="0"/>
    <s v="_x000a_Migration note: legacy decision maker = O365 Feb 12 team​_x000a_Decided in the O365 session w/o 12-Feb in Cleveland."/>
    <m/>
    <x v="43"/>
  </r>
  <r>
    <x v="137"/>
    <x v="7"/>
    <x v="31"/>
    <x v="0"/>
    <x v="137"/>
    <s v="Program Mgt Team"/>
    <s v="16-Feb-12"/>
    <x v="0"/>
    <n v="0"/>
    <s v="_x000a_Migration note: legacy decision maker = O365 Feb 12 team​_x000a_Decided in the O365 session w/o 12-Feb in Cleveland."/>
    <m/>
    <x v="44"/>
  </r>
  <r>
    <x v="138"/>
    <x v="7"/>
    <x v="10"/>
    <x v="0"/>
    <x v="138"/>
    <s v="Program Mgt Team"/>
    <s v="02-Mar-12"/>
    <x v="0"/>
    <n v="0"/>
    <s v="_x000a_Migration note: legacy decision maker = Andy Walsh​_x000a_27-Mar: Laura added per Greg and Brett."/>
    <m/>
    <x v="45"/>
  </r>
  <r>
    <x v="139"/>
    <x v="7"/>
    <x v="25"/>
    <x v="0"/>
    <x v="139"/>
    <s v="IT Strategy"/>
    <s v="30-Dec-11"/>
    <x v="0"/>
    <n v="0"/>
    <s v="_x000a_IM 3 Aug: Forum changed to IT Strategy after EDG review._x000a_Migration note: Legacy decision maker = John Costello​_x000a_3-Apr-2012: Decision was made in conjunction with the decision to use the Office 365 cloud service in December, and is now logged here 3-Apr: valid."/>
    <m/>
    <x v="1"/>
  </r>
  <r>
    <x v="140"/>
    <x v="7"/>
    <x v="10"/>
    <x v="0"/>
    <x v="140"/>
    <s v="Functional Stakeholder Group"/>
    <s v="30-Mar-12"/>
    <x v="0"/>
    <n v="0"/>
    <s v="_x000a_Migration note: Legacy decision maker = Ken Hammond​_x000a_23-Mar-2012: Decision to establish the quota per cloud requirement"/>
    <m/>
    <x v="46"/>
  </r>
  <r>
    <x v="141"/>
    <x v="7"/>
    <x v="25"/>
    <x v="0"/>
    <x v="141"/>
    <s v="Functional Stakeholder Group"/>
    <s v="30-Mar-12"/>
    <x v="0"/>
    <n v="0"/>
    <s v="_x000a_Migration note: Legacy decision maker = Cindy Hope​_x000a_12-June: Michelle noted this is confirmed._x000a_3 - April -  Decision Logged"/>
    <m/>
    <x v="47"/>
  </r>
  <r>
    <x v="142"/>
    <x v="7"/>
    <x v="25"/>
    <x v="0"/>
    <x v="142"/>
    <s v="Functional Stakeholder Group"/>
    <s v="30-Mar-12"/>
    <x v="0"/>
    <n v="0"/>
    <s v="_x000a_Migration note: legacy decision maker = Cindy Hope_x000a_​3 - April -  Decision Logged"/>
    <m/>
    <x v="48"/>
  </r>
  <r>
    <x v="143"/>
    <x v="7"/>
    <x v="25"/>
    <x v="0"/>
    <x v="143"/>
    <s v="Functional Stakeholder Group"/>
    <s v="28-Feb-12"/>
    <x v="0"/>
    <n v="0"/>
    <m/>
    <m/>
    <x v="49"/>
  </r>
  <r>
    <x v="144"/>
    <x v="7"/>
    <x v="25"/>
    <x v="0"/>
    <x v="144"/>
    <s v="Steering Committee"/>
    <s v="09-Jan-12"/>
    <x v="0"/>
    <n v="0"/>
    <s v="_x000a_Migration note: Legacy decision makers: Executive Sponsors​_x000a_Added in retrospect - to provide a reference_x000a_6-Mar: revalidated."/>
    <m/>
    <x v="50"/>
  </r>
  <r>
    <x v="145"/>
    <x v="7"/>
    <x v="25"/>
    <x v="0"/>
    <x v="145"/>
    <s v="Program Mgt Team"/>
    <s v="08-Nov-11"/>
    <x v="0"/>
    <n v="0"/>
    <s v="_x000a_Migration note: Legacy decision makers = Participants in the Novemebr TF Meeting in Secaucus​_x000a_23-Apr:  People &amp; Communities will move to cloud; Communities provisioning to be on-prem given expected amount of customization. Revalidated._x000a_9-Mar Travis: Need to re-work Tier A definition based on Office365 decision. Some services and capabilities may shift out of Tier A based on O365 constraints, policies and procedures and technical limitations of on-premises integration points. Arch imp: YES"/>
    <m/>
    <x v="51"/>
  </r>
  <r>
    <x v="146"/>
    <x v="7"/>
    <x v="25"/>
    <x v="0"/>
    <x v="146"/>
    <s v="Program Mgt Team"/>
    <s v="07-Nov-11"/>
    <x v="0"/>
    <n v="0"/>
    <s v="_x000a_Migration note: Legacy decision makers = Participants in the Nov TF meeting in Secaucus_x000a_​3-Apr: Michelle reviewed for decisions comm - complete._x000a_9-Mar Travis: Confirmed (revalidated). The design for UX is being delivered by Frog, but not sure who is doing the implementation to a WSP. This is guidance to the implementers."/>
    <m/>
    <x v="52"/>
  </r>
  <r>
    <x v="147"/>
    <x v="7"/>
    <x v="25"/>
    <x v="0"/>
    <x v="147"/>
    <s v="Program Mgt Team"/>
    <s v="07-Nov-11"/>
    <x v="0"/>
    <n v="0"/>
    <s v="_x000a_Migration note: Legacy decision makers = Participants in Nov TF Meeting in Secaucus_x000a_​10-Apr: michelle provided impact and rationale._x000a_3-Apr: Michelle reviewed for decisions comm - complete._x000a_9-Mar Travis: Confirmed."/>
    <m/>
    <x v="53"/>
  </r>
  <r>
    <x v="148"/>
    <x v="7"/>
    <x v="25"/>
    <x v="0"/>
    <x v="148"/>
    <s v="Program Mgt Team"/>
    <s v="07-Nov-11"/>
    <x v="0"/>
    <n v="0"/>
    <s v="_x000a_Migration note: Legacy decision makers = Participants in the November TF Meeting in Secaucus.​_x000a_3-Apr: Michelle reviewed for decisions comm - complete._x000a_9-Mar Travis: Confirmed. BCS may not even be used for supplemental profile import depending on approach, but is supported by Office365 either way."/>
    <m/>
    <x v="54"/>
  </r>
  <r>
    <x v="149"/>
    <x v="7"/>
    <x v="25"/>
    <x v="0"/>
    <x v="149"/>
    <s v="Program Mgt Team"/>
    <s v="07-Nov-11"/>
    <x v="0"/>
    <n v="0"/>
    <s v="_x000a_Migration note: Legacy decision makers = Participants in the November TF Meeting in Secaucus​_x000a_10-Apr: Michelle provided impact and rationale._x000a_3-Apr: Michelle reviewed for decisions comm - complete._x000a_9-Mar Travis: Confirmed. Web Trends is supported in Office365."/>
    <m/>
    <x v="55"/>
  </r>
  <r>
    <x v="150"/>
    <x v="7"/>
    <x v="25"/>
    <x v="0"/>
    <x v="150"/>
    <s v="Program Mgt Team"/>
    <s v="07-Nov-11"/>
    <x v="0"/>
    <n v="0"/>
    <s v="_x000a_Migration note: Legacy decision makers = Participants in the Nov. TF Meeting in Secaucus​_x000a_9-Mar Travis: Revalidate based on Office365 decision. Since cross-farm services design were originally intended to be part tier A, we need to confirm that the O365 environment can still host these as cross-farm services. Arch imp: YES;_x000a_23-Apr:  intention is to still house cross-farm services in the Frankfurt GDC"/>
    <m/>
    <x v="56"/>
  </r>
  <r>
    <x v="151"/>
    <x v="7"/>
    <x v="25"/>
    <x v="0"/>
    <x v="151"/>
    <s v="Program Mgt Team"/>
    <s v="07-Nov-11"/>
    <x v="0"/>
    <n v="0"/>
    <s v="_x000a_Migration note: Legacy decision makers = Participants in the Nov TF Meeting in Secaucus​_x000a_Travis 9-Mar: Conceptually this decision holds, but technically there are hurdles with the integration scenarios with Office365. If this is the vision, we need to wrap a maturity model around this capability/feature. This is has been impacted by Office365. Arch imp: YES"/>
    <m/>
    <x v="57"/>
  </r>
  <r>
    <x v="152"/>
    <x v="7"/>
    <x v="25"/>
    <x v="0"/>
    <x v="152"/>
    <s v="Program Mgt Team"/>
    <s v="07-Nov-11"/>
    <x v="0"/>
    <n v="0"/>
    <s v="_x000a_Migration note: Legacy decision makers = participants in the November TF Meeting in Secaucus. ​_x000a_10-Apr: Michelle provided impact._x000a_3-Apr: Michelle reviewed for decisions comm - complete._x000a_9-Mar Travis: Invalid decision. Based on Office365, User Profile sync will occur in Office365. GHRDB data will be populated in AD via a process outside of user profile sync (IDSync)._x000a_Initially read: User Profiles and BCS:_x000a_User profiles sync will live in Secaucus with GHRDB and BCS. UPRE will leverage that to replicate to the other two global data centers (Frankfurt and Singapore)."/>
    <m/>
    <x v="58"/>
  </r>
  <r>
    <x v="153"/>
    <x v="7"/>
    <x v="25"/>
    <x v="0"/>
    <x v="153"/>
    <s v="Program Mgt Team"/>
    <s v="07-Nov-11"/>
    <x v="0"/>
    <n v="0"/>
    <s v="_x000a_Migration note: Legacy decision makers = Participants in the Nov. TF meeting in Secaucus​_x000a_10-Apr: Michelle provided impact and rationale data._x000a_3-Apr: Michelle reviewed for decisions comm - complete._x000a_9-Mar Travis: Confirmed. MySites will only live in Office 365._x000a_"/>
    <m/>
    <x v="59"/>
  </r>
  <r>
    <x v="154"/>
    <x v="7"/>
    <x v="25"/>
    <x v="0"/>
    <x v="154"/>
    <s v="Program Mgt Team"/>
    <s v="07-Nov-11"/>
    <x v="0"/>
    <n v="0"/>
    <s v="_x000a_Migration note: Legacy decision makers = Participants in the November TF meeting in Secaucus_x000a_​3-Apr: Michelle reviewed for decisions comm - complete. Provided impact._x000a_9-Mar Travis: Confirmed. This is not supported in Office365 in the current service description."/>
    <m/>
    <x v="60"/>
  </r>
  <r>
    <x v="155"/>
    <x v="7"/>
    <x v="25"/>
    <x v="0"/>
    <x v="155"/>
    <s v="Program Mgt Team"/>
    <s v="08-Nov-11"/>
    <x v="0"/>
    <n v="0"/>
    <s v="_x000a_Migration note: Legacy decision makers = Participants in the Nov. TF Meeting in Secaucus​_x000a_10-Apr: Michelle provided impact._x000a_3-Apr: Michelle reviewed for decisions comm - complete._x000a_9-Mar Travis: Confirmed. Long-term file shares may be migrated, but not in scope for initial phases/releases."/>
    <m/>
    <x v="61"/>
  </r>
  <r>
    <x v="156"/>
    <x v="7"/>
    <x v="25"/>
    <x v="0"/>
    <x v="156"/>
    <s v="Program Mgt Team"/>
    <s v="08-Nov-11"/>
    <x v="0"/>
    <n v="0"/>
    <s v="_x000a_Migration note: Legacy decision makers =​ Participants in the November TF Meeting in Secaucus_x000a_10-Apr: Michelle provided impact and rationale_x000a_3-Apr: Michelle reviewed for decisions comm - complete._x000a_9-Mar Travis: Confirmed."/>
    <m/>
    <x v="62"/>
  </r>
  <r>
    <x v="157"/>
    <x v="7"/>
    <x v="25"/>
    <x v="0"/>
    <x v="157"/>
    <s v="Program Mgt Team"/>
    <s v="08-Nov-11"/>
    <x v="0"/>
    <n v="0"/>
    <s v="_x000a_Migration note: Legacy decision makers = ​Participants in the November TF Meeting in Secaucus 10-Apr: Michelle provided impact and rationale._x000a_3-Apr: Michelle reviewed for decisions comm - complete._x000a_9-Mar Travis: Confirmed. See D107 for archiving strategy._x000a_ "/>
    <m/>
    <x v="63"/>
  </r>
  <r>
    <x v="158"/>
    <x v="7"/>
    <x v="25"/>
    <x v="0"/>
    <x v="158"/>
    <s v="Program Mgt Team"/>
    <s v="08-Nov-11"/>
    <x v="0"/>
    <n v="0"/>
    <s v="_x000a_Migration note: Legacy decision maker = ​Participants in the November TF Meeting in Secaucus 10-Apr: Michelle provided impact and rationale._x000a_3-Apr: Michelle reviewed for decisions comm - complete._x000a_9-Mar Travis: Confirmed. This is an opportunity to align with the co-existence strategy between SharePoint and these systems._x000a_ "/>
    <m/>
    <x v="64"/>
  </r>
  <r>
    <x v="159"/>
    <x v="7"/>
    <x v="25"/>
    <x v="0"/>
    <x v="159"/>
    <s v="Program Mgt Team"/>
    <s v="08-Nov-11"/>
    <x v="0"/>
    <n v="0"/>
    <s v="_x000a_Migration note: Legacy decsion makers = ​Participants in the November TF Meeting in Secaucus_x000a_10-Apr: Michelle provided impact and rationale._x000a_3-Apr: Michelle reviewed for decisions comm - complete._x000a_9-Mar Travis: Confirmed."/>
    <m/>
    <x v="65"/>
  </r>
  <r>
    <x v="160"/>
    <x v="7"/>
    <x v="25"/>
    <x v="0"/>
    <x v="160"/>
    <s v="Program Mgt Team"/>
    <s v="08-Nov-11"/>
    <x v="0"/>
    <n v="0"/>
    <s v="_x000a_Migration note: Legacy decision makers = ​Participants in the November TF Meeting in Secaucus_x000a_9-Mar Travis: Confirmed. Check with Prokopios and Blueprinting effort on archiving requirements, but not currently part of scope."/>
    <m/>
    <x v="66"/>
  </r>
  <r>
    <x v="161"/>
    <x v="7"/>
    <x v="25"/>
    <x v="0"/>
    <x v="161"/>
    <s v="Program Mgt Team"/>
    <s v="09-Nov-11"/>
    <x v="0"/>
    <n v="0"/>
    <s v="_x000a_Migration note: Legacy decision makers = ​Participants in the November TF Meeting in Secaucus_x000a_3-Apr: Michelle reviewed for decisions comm - complete. Provided impact._x000a_9-Mar Travis: Confirmed. Even if archiving becomes a requirement in SharePoint and SharePoint becomes the core, archiving repository for this capability, the tool will not be built by EY."/>
    <m/>
    <x v="67"/>
  </r>
  <r>
    <x v="162"/>
    <x v="7"/>
    <x v="25"/>
    <x v="0"/>
    <x v="162"/>
    <s v="Program Mgt Team"/>
    <s v="09-Nov-11"/>
    <x v="0"/>
    <n v="0"/>
    <s v="_x000a_Migration note: Legacy decision makers = ​Participants in the November TF Meeting in Secaucus 3-Apr: Michelle updated impact and rationale._x000a_9-Mar Travis: Confirmed. Office365 has a service management framework wrapped around it. EY operations will have to integrate these processes with their ITSM framework and processes."/>
    <m/>
    <x v="68"/>
  </r>
  <r>
    <x v="163"/>
    <x v="7"/>
    <x v="25"/>
    <x v="0"/>
    <x v="163"/>
    <s v="Program Mgt Team"/>
    <s v="09-Nov-11"/>
    <x v="0"/>
    <n v="0"/>
    <s v="_x000a_Migration note: Legacy decision makers = ​Participants in the November TF Meeting in Secaucus_x000a_3-Apr: Michelle reviewed for decisions comm - complete._x000a_9-Mar Travis: Confirmed."/>
    <m/>
    <x v="69"/>
  </r>
  <r>
    <x v="164"/>
    <x v="7"/>
    <x v="25"/>
    <x v="0"/>
    <x v="164"/>
    <s v="Program Mgt Team"/>
    <s v="10-Nov-11"/>
    <x v="0"/>
    <n v="0"/>
    <s v="_x000a_Migration note: Legacy decision makers = ​Participants in the November TF Meeting in Secaucus_x000a_9-Mar Travis: Confirmed. This still stands as far as I know. The decision can be revalidated with FAST team, Pat Velderman and Ed Dale if still valid decision."/>
    <m/>
    <x v="70"/>
  </r>
  <r>
    <x v="165"/>
    <x v="7"/>
    <x v="25"/>
    <x v="0"/>
    <x v="165"/>
    <s v="Program Mgt Team"/>
    <s v="10-Nov-11"/>
    <x v="0"/>
    <n v="0"/>
    <s v="_x000a_Migration note: Legacy decision makers = ​Participants in the November TF Meeting in Secaucus_x000a_3-Apr: Michelle reviewed for decisions comm - complete._x000a_9-Mar Travis: Confirmed. This is configuration."/>
    <m/>
    <x v="71"/>
  </r>
  <r>
    <x v="166"/>
    <x v="7"/>
    <x v="25"/>
    <x v="0"/>
    <x v="166"/>
    <s v="Program Mgt Team"/>
    <s v="10-Nov-11"/>
    <x v="0"/>
    <n v="0"/>
    <s v="_x000a_Migration note: Legacy decision makers = ​Participants in the November TF Meeting in Secaucus_x000a_3-Apr: Michelle provided impact and rationale data._x000a_9-Mar Travis: Confirmed."/>
    <m/>
    <x v="72"/>
  </r>
  <r>
    <x v="167"/>
    <x v="7"/>
    <x v="25"/>
    <x v="0"/>
    <x v="167"/>
    <s v="Program Mgt Team"/>
    <s v="10-Nov-11"/>
    <x v="0"/>
    <n v="0"/>
    <s v="_x000a_Migration note: Legacy decision makers = ​Participants in the November TF Meeting in Secaucus_x000a_3-Apr: Michelle provided impact and rationale data._x000a_9-Mar Travis: Confirmed."/>
    <m/>
    <x v="73"/>
  </r>
  <r>
    <x v="168"/>
    <x v="7"/>
    <x v="25"/>
    <x v="0"/>
    <x v="168"/>
    <s v="Program Mgt Team"/>
    <s v="10-Nov-11"/>
    <x v="0"/>
    <n v="0"/>
    <s v="_x000a_Migration note: Legacy decision makers = ​Participants in the November TF Meeting in Secaucus_x000a_3-Apr: Michelle provided impact and rationale info._x000a_9-Mar Travis: Confirmed."/>
    <m/>
    <x v="74"/>
  </r>
  <r>
    <x v="169"/>
    <x v="7"/>
    <x v="25"/>
    <x v="0"/>
    <x v="169"/>
    <s v="Program Mgt Team"/>
    <s v="11-Nov-11"/>
    <x v="0"/>
    <n v="0"/>
    <s v="_x000a_Migration note: Legacy decision makers = ​Participants in the November TF Meeting in Secaucus_x000a_3-Apr: Michelle provided impact and rationale data._x000a_9-Mar Travis: Confirmed. Assumes this is still the direction and has not been changed by the UX/Frog workstream. Impact would impact farm capacity and load, but is mitigated to some degree now that Mysites are deployed to Office365."/>
    <m/>
    <x v="75"/>
  </r>
  <r>
    <x v="170"/>
    <x v="7"/>
    <x v="25"/>
    <x v="0"/>
    <x v="170"/>
    <s v="Program Mgt Team"/>
    <s v="11-Nov-11"/>
    <x v="0"/>
    <n v="0"/>
    <s v="_x000a_Migration note: Legacy decision maker = ​Participants in the November TF Meeting in Secaucus_x000a_3-Apr: Michelle provided impact and rationale data._x000a_9-Mar Travis: Confirmed."/>
    <m/>
    <x v="76"/>
  </r>
  <r>
    <x v="171"/>
    <x v="7"/>
    <x v="25"/>
    <x v="0"/>
    <x v="171"/>
    <s v="Program Mgt Team"/>
    <s v="11-Nov-11"/>
    <x v="0"/>
    <n v="0"/>
    <s v="_x000a_Migration note: legacy decision makers = ​Participants in the November TF Meeting in Secaucus_x000a_3-Apr: Paul provided updated syntax and impact info._x000a_Paul Neave and TF team - still valid; marked revalidated. 9-Mar Travis: Confirmed."/>
    <m/>
    <x v="77"/>
  </r>
  <r>
    <x v="172"/>
    <x v="7"/>
    <x v="25"/>
    <x v="0"/>
    <x v="172"/>
    <s v="Program Mgt Team"/>
    <s v="11-Nov-11"/>
    <x v="0"/>
    <n v="0"/>
    <s v="_x000a_Migration note: Legacy decision makers = ​Participants in the November TF Meeting in Secaucus_x000a_3-Apr: Michelle provided impact and rationale data._x000a_9-Mar Travis: Confirmed."/>
    <m/>
    <x v="78"/>
  </r>
  <r>
    <x v="173"/>
    <x v="7"/>
    <x v="25"/>
    <x v="0"/>
    <x v="173"/>
    <s v="Program Mgt Team"/>
    <s v="11-Nov-11"/>
    <x v="0"/>
    <n v="0"/>
    <s v="_x000a_Migration note: Legacy decision makers = ​Participants in the November TF Meeting in Secaucus_x000a_3-Apr: Michelle provided impact and rationale data._x000a_9-Mar-Travis: Confirmed. User Profile import approach should align with this."/>
    <m/>
    <x v="79"/>
  </r>
  <r>
    <x v="174"/>
    <x v="7"/>
    <x v="25"/>
    <x v="0"/>
    <x v="174"/>
    <s v="Program Mgt Team"/>
    <s v="14-Nov-11"/>
    <x v="0"/>
    <n v="0"/>
    <s v="_x000a_Migration note: Legacy decision makers = ​Participants in the November TF Meeting in Secaucus_x000a_3-Apr: Paul provided updated syntax and impact._x000a_Paul Neave - still valid; revalidated. 9-Mar Travis: Confirmed. This continues to be the direction and is what is being used to build out the non-production environments."/>
    <m/>
    <x v="80"/>
  </r>
  <r>
    <x v="175"/>
    <x v="7"/>
    <x v="25"/>
    <x v="0"/>
    <x v="175"/>
    <s v="Program Mgt Team"/>
    <s v="14-Nov-11"/>
    <x v="0"/>
    <n v="0"/>
    <s v="_x000a_Migration note: Legacy decision makers = ​Participants in the November TF Meeting in Secaucus_x000a_3-Apr: Michelle provided impact and rationale data._x000a_9-Mar Travis: Confirmed."/>
    <m/>
    <x v="81"/>
  </r>
  <r>
    <x v="176"/>
    <x v="7"/>
    <x v="25"/>
    <x v="0"/>
    <x v="176"/>
    <s v="Program Mgt Team"/>
    <s v="14-Nov-11"/>
    <x v="0"/>
    <n v="0"/>
    <s v="_x000a_Migration note: Legacy decision makers = ​Participants in the November TF Meeting in Secaucus_x000a_3-Apr: Michelle provided impact and rationale info._x000a_9-Mar Travis: Office 365 is a one-data center approach."/>
    <m/>
    <x v="82"/>
  </r>
  <r>
    <x v="177"/>
    <x v="7"/>
    <x v="25"/>
    <x v="0"/>
    <x v="177"/>
    <s v="Program Mgt Team"/>
    <s v="15-Nov-11"/>
    <x v="0"/>
    <n v="0"/>
    <s v="_x000a_Migration note: Legacy decision makers = ​Participants in the November TF Meeting in Secaucus_x000a_3-Apr: Michelle provided impact and rationale._x000a_9-Mar Travis: Assuming Tier A now wholly exists in Office365, DR capabilities are built into the Service. We need to validate the DR capability meets the requirement. Arch imp: YES_x000a_23-Apr:  There will still be on-prem servers.  Space and network issues with current DR site in Germany, so how to provide DR for on-prem servers is still an issue"/>
    <m/>
    <x v="83"/>
  </r>
  <r>
    <x v="178"/>
    <x v="7"/>
    <x v="25"/>
    <x v="0"/>
    <x v="178"/>
    <s v="Program Mgt Team"/>
    <s v="15-Nov-11"/>
    <x v="0"/>
    <n v="0"/>
    <s v="_x000a_Migration note: Legacy decision makers = ​Participants in the November TF Meeting in Secaucus_x000a_3-Apr: Michelle provided impact data._x000a_9-Mar Travis: Confirmed. An in-country SP design with local HA is in the current architecture description."/>
    <m/>
    <x v="84"/>
  </r>
  <r>
    <x v="179"/>
    <x v="7"/>
    <x v="25"/>
    <x v="0"/>
    <x v="179"/>
    <s v="Program Mgt Team"/>
    <s v="15-Nov-11"/>
    <x v="0"/>
    <n v="0"/>
    <s v="_x000a_Migration note: Legacy decision makers = ​Participants in the November TF Meeting in Secaucus_x000a_3-Apr: michelle provided impact._x000a_9-Mar Travis: Confirmed. Current design only includes a local HA solution with redundancy at web and app tiers._x000a_23-Apr:  FY13 budget proposal includes DR hardware for in-country SP; any design work to align with funding of DR hardware next FY"/>
    <m/>
    <x v="85"/>
  </r>
  <r>
    <x v="180"/>
    <x v="7"/>
    <x v="25"/>
    <x v="0"/>
    <x v="180"/>
    <s v="Program Mgt Team"/>
    <s v="16-Nov-11"/>
    <x v="0"/>
    <n v="0"/>
    <s v="_x000a_​Migration note: Legacy decision makers = Participants in the November TF Meeting in Secaucus_x000a_3-Apr: Michelle provided impact._x000a_9-Mar Travis: Confirmed."/>
    <m/>
    <x v="86"/>
  </r>
  <r>
    <x v="181"/>
    <x v="7"/>
    <x v="25"/>
    <x v="0"/>
    <x v="181"/>
    <s v="Program Mgt Team"/>
    <s v="16-Nov-11"/>
    <x v="0"/>
    <n v="0"/>
    <s v="_x000a_Migration note: legacy decision makers = Participants in the November TF Meeting in Secaucus_x000a_18-Apr: Travis provided impact and rationale._x000a_11-Apr: Laura emd Travis for impact and rationale, per Michelle._x000a_9-Mar Travis: Confirmed."/>
    <m/>
    <x v="87"/>
  </r>
  <r>
    <x v="182"/>
    <x v="7"/>
    <x v="25"/>
    <x v="0"/>
    <x v="182"/>
    <s v="Program Mgt Team"/>
    <s v="16-Nov-11"/>
    <x v="0"/>
    <n v="0"/>
    <s v="_x000a_Migration note: Legacy decision makers = ​Participants in the November TF Meeting in Secaucus_x000a_3-Apr: Michelle provided impact._x000a_9-Mar Travis: Confirmed. As far as I know, in-country deployments are meant to live in the DMZ as the requirement exists for collaborating on client data/assets."/>
    <m/>
    <x v="88"/>
  </r>
  <r>
    <x v="183"/>
    <x v="7"/>
    <x v="25"/>
    <x v="0"/>
    <x v="183"/>
    <s v="Program Mgt Team"/>
    <s v="17-Nov-11"/>
    <x v="0"/>
    <n v="0"/>
    <s v="_x000a_Migration note: Legacy decision makers = ​Participants in the November TF Meeting in Secaucus_x000a_18-Apr: Travis provided impact and rationale data._x000a_11-Apr: Laura emd Travis for the impact and rationale, per Michelle._x000a_9-Mar Travis: Confirmed. This is still the direction as far as I know. Gerd is keen on the value proposition of RBS, but current thinking suggests it is not the right solution at the moment. This may change if more specialized workloads are deployed on Sharepoint like streaming media."/>
    <m/>
    <x v="89"/>
  </r>
  <r>
    <x v="184"/>
    <x v="7"/>
    <x v="25"/>
    <x v="0"/>
    <x v="184"/>
    <s v="Program Mgt Team"/>
    <s v="07-Nov-11"/>
    <x v="0"/>
    <n v="0"/>
    <s v="_x000a_Migration note: Legacy decision makers = ​Participants in the November TF Meeting in Secaucus_x000a_3-Apr: Michelle reviewed for decisions comm - complete._x000a_9-Mar Travis: Confirmed. No change in direction on ECMA as far as I know."/>
    <m/>
    <x v="1"/>
  </r>
  <r>
    <x v="185"/>
    <x v="7"/>
    <x v="25"/>
    <x v="0"/>
    <x v="185"/>
    <s v="Program Mgt Team"/>
    <s v="20-Nov-11"/>
    <x v="0"/>
    <n v="0"/>
    <s v="_x000a_Migration note: Legacy decicion makers = ​Participants in the November TF Meeting in Secaucus_x000a_3-Apr: Michelle reviewed for decisions comm - complete._x000a_Paul Neave &amp; TF team - still valid, marked revalidated.  9-Mar Travis: Confirmed."/>
    <m/>
    <x v="90"/>
  </r>
  <r>
    <x v="186"/>
    <x v="7"/>
    <x v="25"/>
    <x v="0"/>
    <x v="186"/>
    <s v="Program Mgt Team"/>
    <s v="10-Nov-11"/>
    <x v="0"/>
    <n v="0"/>
    <s v="_x000a_Migration note: Legacy decision makers = ​Participants in the November TF Meeting in Secaucus_x000a_3-Apr: Michelle provided impact and rationale data._x000a_9-Mar Travis: Confirmed."/>
    <m/>
    <x v="91"/>
  </r>
  <r>
    <x v="187"/>
    <x v="7"/>
    <x v="25"/>
    <x v="0"/>
    <x v="187"/>
    <s v="Program Mgt Team"/>
    <s v="10-Nov-11"/>
    <x v="0"/>
    <n v="0"/>
    <s v="_x000a_Migration note: Legacy decision makers = ​Participants in the November TF Meeting in Secaucus_x000a_3-Apr: Michelle provided impact and rationale data._x000a_9-Mar Travis: Confirmed. No special encryption capability at FAST level. This is at the hardware level and outside the scope of the SharePoint architecture."/>
    <m/>
    <x v="92"/>
  </r>
  <r>
    <x v="188"/>
    <x v="7"/>
    <x v="24"/>
    <x v="0"/>
    <x v="188"/>
    <s v="Program Mgt Team"/>
    <s v="20-Apr-12"/>
    <x v="0"/>
    <n v="0"/>
    <s v="_x000a_Migration Note: Decision makers = Michelle/Norm​_x000a_21 Mar:  Tech Foundations moved into SharePoint Enablement.  Project teams outside of SharePoint Enablement will need to go through the CCB process to request environment resources"/>
    <m/>
    <x v="93"/>
  </r>
  <r>
    <x v="189"/>
    <x v="7"/>
    <x v="25"/>
    <x v="0"/>
    <x v="189"/>
    <s v="Program Mgt Team"/>
    <s v="07-Nov-11"/>
    <x v="0"/>
    <n v="0"/>
    <s v="_x000a_Migration note: Legacy decision maker = Michelle Edmonds​_x000a_19-June: LM &gt; Michelle for clarification prior to migration._x000a_Decision in the past; No impact as result of cloud_x000a_27-Feb: revalidated"/>
    <m/>
    <x v="1"/>
  </r>
  <r>
    <x v="190"/>
    <x v="7"/>
    <x v="27"/>
    <x v="0"/>
    <x v="190"/>
    <s v="Program Mgt Team"/>
    <s v="23-Sep-11"/>
    <x v="0"/>
    <n v="0"/>
    <s v="_x000a_28 Jun : NC The Early Adopter Experience and Release 1 Scope does not have conversation of historical data in scope therefore this decision can now be closed_x000a_20-June (LM): Per Michelle, believes this is still true (no conversion of data); suggested check with Nicola. LM &gt; Nicola to revalidate._x000a_19-June: LM &gt; Michelle for clarification prior to migration._x000a_26-Apr - Brett - unclear what this means. LM &gt; Michelle for clarification._x000a_Confirm at replan; No impact based on cloud decision"/>
    <m/>
    <x v="1"/>
  </r>
  <r>
    <x v="191"/>
    <x v="7"/>
    <x v="25"/>
    <x v="0"/>
    <x v="191"/>
    <s v="Program Mgt Team"/>
    <s v="09-Mar-12"/>
    <x v="0"/>
    <n v="0"/>
    <s v="_x000a_Migration note: Legacy decision makers = Participants in the Nov TF Meeting in Secaucus​_x000a_20-June (LM): Per Michelle, decision is that CVs will go to the cloud._x000a_19-June: LM &gt; Michelle for clarification prior to migration._x000a_26-Apr Brett: This was an assumption not a decision. Only business can decide if they are shared or not. Not clear what the assumption was... I think that CVs will be shared. LM &gt; Michelle -- make an assumption or if needs a decision can open as pending decision._x000a_10-Apr: michelle provided impact and rationale._x000a_3-Apr: Michelle reviewed for decisions comm - complete._x000a_9-Mar Travis: Confirmed."/>
    <m/>
    <x v="1"/>
  </r>
  <r>
    <x v="192"/>
    <x v="7"/>
    <x v="3"/>
    <x v="1"/>
    <x v="192"/>
    <s v="Program Mgt Team"/>
    <s v="01-Feb-13"/>
    <x v="7"/>
    <n v="317"/>
    <s v="_x000a__x000a_19 Jul 12: Updated required by date to reflect the expected timelines when the discovery of any Lotus Notes applications held on a dedicated partner environment may be discovered and therefore assessed as to what the likely migration strategy (and hence SharePoint infrastructure requirements) might be._x000a_29 June : NC Assigning to Christian Driver after discussion with Both Christian and Brett van Gelder to understand the background._x000a_Simply this item needs to remain open to track the existance of this set of LN DB's,howeverwe do not need a specific decision at this time around Partnership matters in SharePoint because it is not in any release plans and has not been subject to Christian's discovery activity._x000a__x000a_20-June (LM): Per Michelle, no decision made. Updated status to Pending. Assigned to Nicola. LM &gt; Nicola that this item is assigned to her. Updated due date to two weeks out to give her time to amend appropriately._x000a_19-June: LM &gt; Michelle for clarification prior to migration._x000a_3-Apr: michelle provided impact._x000a_9-Mar Travis: Confirmed.​"/>
    <m/>
    <x v="1"/>
  </r>
  <r>
    <x v="193"/>
    <x v="7"/>
    <x v="25"/>
    <x v="0"/>
    <x v="193"/>
    <s v="Program Mgt Team"/>
    <s v="07-Nov-11"/>
    <x v="0"/>
    <n v="0"/>
    <s v="_x000a_Migation note: Legacy decision makers = Participants in the Nov. TF meeting in Secaucus._x000a_21-June: Michelle provided update as to the decision. Previously this item stated that authoritate content will be in all three tiers. EY has not restrictions on authoritative content residing in the cloud._x000a_19-June: LM &gt; Michelle for clarification prior to migration._x000a_26-Apr Brett:  Inaccurate following Dec 2011 SP Foundation workshops and final SPF design. LM &gt; Michelle for confirmation._x000a_9-Mar Travis: Confirmed. EY has no restrictions on authoritative content residing in Office365.​"/>
    <m/>
    <x v="1"/>
  </r>
  <r>
    <x v="194"/>
    <x v="7"/>
    <x v="4"/>
    <x v="0"/>
    <x v="194"/>
    <s v="Quality &amp; Risk Mgt Group"/>
    <s v="01-Sep-11"/>
    <x v="0"/>
    <n v="0"/>
    <s v="_x000a_Q&amp;RM recommendation Aug/Sept 2011"/>
    <m/>
    <x v="1"/>
  </r>
  <r>
    <x v="195"/>
    <x v="8"/>
    <x v="32"/>
    <x v="0"/>
    <x v="195"/>
    <s v="Program Mgt Team"/>
    <s v="18-Jun-12"/>
    <x v="0"/>
    <n v="0"/>
    <s v="_x000a_ _x000a__x000a_15 June (BP): Met with Brett.  We are aligned on making IT Services an arly adopter to be able to better enable support.  _x000a_1-June (LM): Per Blaine - Blaine has a meeting with Brett to discuss in two weeks. Required resolution updated as such._x000a_02/03: Action - B. Pardoe to raise on the Program Level RAID Log.​_x000a_ "/>
    <m/>
    <x v="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showDrill="0" rowGrandTotals="0" colGrandTotals="0" itemPrintTitles="1" createdVersion="3" indent="0" compact="0" compactData="0" multipleFieldFilters="0">
  <location ref="A5:E23" firstHeaderRow="1" firstDataRow="1" firstDataCol="5" rowPageCount="2" colPageCount="1"/>
  <pivotFields count="12">
    <pivotField axis="axisRow" compact="0" outline="0" showAll="0" insertBlankRow="1" defaultSubtotal="0">
      <items count="40">
        <item x="19"/>
        <item x="0"/>
        <item x="1"/>
        <item x="2"/>
        <item x="20"/>
        <item x="9"/>
        <item x="21"/>
        <item x="22"/>
        <item x="5"/>
        <item x="7"/>
        <item x="23"/>
        <item x="3"/>
        <item x="10"/>
        <item x="11"/>
        <item x="12"/>
        <item x="24"/>
        <item x="32"/>
        <item x="35"/>
        <item x="36"/>
        <item x="37"/>
        <item x="33"/>
        <item x="13"/>
        <item x="14"/>
        <item x="15"/>
        <item x="16"/>
        <item x="26"/>
        <item x="27"/>
        <item x="28"/>
        <item x="17"/>
        <item x="29"/>
        <item x="6"/>
        <item x="4"/>
        <item x="30"/>
        <item x="25"/>
        <item x="38"/>
        <item m="1" x="39"/>
        <item x="8"/>
        <item x="31"/>
        <item x="34"/>
        <item x="18"/>
      </items>
    </pivotField>
    <pivotField axis="axisRow" compact="0" outline="0" showAll="0" insertBlankRow="1" defaultSubtotal="0">
      <items count="7">
        <item x="0"/>
        <item x="2"/>
        <item x="3"/>
        <item x="4"/>
        <item x="5"/>
        <item x="6"/>
        <item x="1"/>
      </items>
    </pivotField>
    <pivotField axis="axisRow" compact="0" outline="0" showAll="0" insertBlankRow="1" defaultSubtotal="0">
      <items count="19">
        <item x="12"/>
        <item x="0"/>
        <item x="2"/>
        <item x="3"/>
        <item x="1"/>
        <item x="4"/>
        <item x="11"/>
        <item x="14"/>
        <item x="17"/>
        <item x="7"/>
        <item x="13"/>
        <item x="10"/>
        <item x="5"/>
        <item m="1" x="18"/>
        <item x="6"/>
        <item x="16"/>
        <item x="15"/>
        <item x="8"/>
        <item x="9"/>
      </items>
    </pivotField>
    <pivotField compact="0" outline="0" showAll="0" insertBlankRow="1" defaultSubtotal="0"/>
    <pivotField axis="axisPage" compact="0" outline="0" multipleItemSelectionAllowed="1" showAll="0" insertBlankRow="1" defaultSubtotal="0">
      <items count="6">
        <item x="4"/>
        <item x="2"/>
        <item x="5"/>
        <item x="3"/>
        <item x="1"/>
        <item x="0"/>
      </items>
    </pivotField>
    <pivotField axis="axisRow" compact="0" outline="0" showAll="0" insertBlankRow="1" defaultSubtotal="0">
      <items count="41">
        <item x="1"/>
        <item x="0"/>
        <item x="2"/>
        <item x="22"/>
        <item x="9"/>
        <item x="5"/>
        <item x="7"/>
        <item x="20"/>
        <item x="19"/>
        <item x="3"/>
        <item x="21"/>
        <item x="10"/>
        <item x="11"/>
        <item x="12"/>
        <item x="24"/>
        <item x="32"/>
        <item x="35"/>
        <item x="36"/>
        <item x="37"/>
        <item x="33"/>
        <item x="13"/>
        <item x="14"/>
        <item x="15"/>
        <item x="16"/>
        <item x="26"/>
        <item x="23"/>
        <item x="27"/>
        <item x="28"/>
        <item x="17"/>
        <item x="29"/>
        <item x="6"/>
        <item x="4"/>
        <item x="30"/>
        <item x="25"/>
        <item x="38"/>
        <item m="1" x="39"/>
        <item x="8"/>
        <item x="31"/>
        <item m="1" x="40"/>
        <item x="18"/>
        <item x="34"/>
      </items>
    </pivotField>
    <pivotField compact="0" outline="0" showAll="0" insertBlankRow="1" defaultSubtotal="0"/>
    <pivotField axis="axisPage" compact="0" outline="0" multipleItemSelectionAllowed="1" showAll="0" insertBlankRow="1" defaultSubtotal="0">
      <items count="32">
        <item h="1" m="1" x="19"/>
        <item h="1" m="1" x="22"/>
        <item h="1" x="15"/>
        <item m="1" x="28"/>
        <item h="1" m="1" x="26"/>
        <item h="1" m="1" x="24"/>
        <item h="1" m="1" x="29"/>
        <item h="1" m="1" x="30"/>
        <item m="1" x="23"/>
        <item h="1" m="1" x="18"/>
        <item h="1" m="1" x="27"/>
        <item h="1" m="1" x="17"/>
        <item h="1" m="1" x="25"/>
        <item h="1" m="1" x="20"/>
        <item m="1" x="31"/>
        <item h="1" m="1" x="21"/>
        <item h="1" x="0"/>
        <item x="1"/>
        <item h="1" x="2"/>
        <item h="1" x="3"/>
        <item h="1" x="4"/>
        <item h="1" x="5"/>
        <item h="1" x="6"/>
        <item x="7"/>
        <item h="1" x="8"/>
        <item x="9"/>
        <item h="1" x="10"/>
        <item x="11"/>
        <item h="1" x="12"/>
        <item h="1" x="13"/>
        <item x="14"/>
        <item h="1" x="16"/>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defaultSubtotal="0">
      <items count="1">
        <item x="0"/>
      </items>
    </pivotField>
  </pivotFields>
  <rowFields count="5">
    <field x="0"/>
    <field x="5"/>
    <field x="1"/>
    <field x="2"/>
    <field x="11"/>
  </rowFields>
  <rowItems count="18">
    <i>
      <x/>
      <x v="8"/>
      <x v="3"/>
      <x v="14"/>
      <x/>
    </i>
    <i t="blank" r="3">
      <x v="14"/>
    </i>
    <i>
      <x v="2"/>
      <x/>
      <x/>
      <x v="1"/>
      <x/>
    </i>
    <i t="blank" r="3">
      <x v="1"/>
    </i>
    <i>
      <x v="6"/>
      <x v="10"/>
      <x v="3"/>
      <x v="14"/>
      <x/>
    </i>
    <i t="blank" r="3">
      <x v="14"/>
    </i>
    <i>
      <x v="12"/>
      <x v="11"/>
      <x v="2"/>
      <x v="12"/>
      <x/>
    </i>
    <i t="blank" r="3">
      <x v="12"/>
    </i>
    <i>
      <x v="21"/>
      <x v="20"/>
      <x v="2"/>
      <x v="9"/>
      <x/>
    </i>
    <i t="blank" r="3">
      <x v="9"/>
    </i>
    <i>
      <x v="26"/>
      <x v="26"/>
      <x v="3"/>
      <x v="10"/>
      <x/>
    </i>
    <i t="blank" r="3">
      <x v="10"/>
    </i>
    <i>
      <x v="33"/>
      <x v="33"/>
      <x v="3"/>
      <x/>
      <x/>
    </i>
    <i t="blank" r="3">
      <x/>
    </i>
    <i>
      <x v="34"/>
      <x v="34"/>
      <x v="5"/>
      <x v="8"/>
      <x/>
    </i>
    <i t="blank" r="3">
      <x v="8"/>
    </i>
    <i>
      <x v="37"/>
      <x v="37"/>
      <x v="3"/>
      <x v="5"/>
      <x/>
    </i>
    <i t="blank" r="3">
      <x v="5"/>
    </i>
  </rowItems>
  <colItems count="1">
    <i/>
  </colItems>
  <pageFields count="2">
    <pageField fld="7" hier="-1"/>
    <pageField fld="4" hier="-1"/>
  </pageFields>
  <formats count="1">
    <format dxfId="1">
      <pivotArea type="all" dataOnly="0" outline="0" fieldPosition="0"/>
    </format>
  </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3" minRefreshableVersion="3" showCalcMbrs="0" showDrill="0" rowGrandTotals="0" colGrandTotals="0" itemPrintTitles="1" createdVersion="3" indent="0" compact="0" compactData="0" multipleFieldFilters="0">
  <location ref="A5:E15" firstHeaderRow="1" firstDataRow="1" firstDataCol="5" rowPageCount="2" colPageCount="1"/>
  <pivotFields count="12">
    <pivotField axis="axisRow" compact="0" outline="0" showAll="0" insertBlankRow="1" defaultSubtotal="0">
      <items count="22">
        <item x="0"/>
        <item x="3"/>
        <item x="17"/>
        <item x="19"/>
        <item x="6"/>
        <item x="1"/>
        <item x="9"/>
        <item x="20"/>
        <item x="4"/>
        <item x="10"/>
        <item x="5"/>
        <item x="11"/>
        <item x="7"/>
        <item x="8"/>
        <item x="12"/>
        <item x="13"/>
        <item x="2"/>
        <item x="14"/>
        <item x="15"/>
        <item x="16"/>
        <item m="1" x="21"/>
        <item x="18"/>
      </items>
    </pivotField>
    <pivotField axis="axisRow" compact="0" outline="0" showAll="0" insertBlankRow="1" defaultSubtotal="0">
      <items count="7">
        <item x="0"/>
        <item x="2"/>
        <item x="3"/>
        <item x="4"/>
        <item x="5"/>
        <item x="6"/>
        <item x="1"/>
      </items>
    </pivotField>
    <pivotField axis="axisRow" compact="0" outline="0" showAll="0" insertBlankRow="1" defaultSubtotal="0">
      <items count="15">
        <item x="3"/>
        <item x="0"/>
        <item x="5"/>
        <item x="7"/>
        <item x="1"/>
        <item x="2"/>
        <item x="4"/>
        <item x="8"/>
        <item x="6"/>
        <item m="1" x="13"/>
        <item x="9"/>
        <item x="11"/>
        <item m="1" x="14"/>
        <item x="10"/>
        <item x="12"/>
      </items>
    </pivotField>
    <pivotField compact="0" outline="0" showAll="0" insertBlankRow="1" defaultSubtotal="0"/>
    <pivotField axis="axisPage" compact="0" outline="0" multipleItemSelectionAllowed="1" showAll="0" insertBlankRow="1" defaultSubtotal="0">
      <items count="4">
        <item x="3"/>
        <item x="1"/>
        <item x="0"/>
        <item x="2"/>
      </items>
    </pivotField>
    <pivotField axis="axisRow" compact="0" outline="0" showAll="0" insertBlankRow="1" defaultSubtotal="0">
      <items count="22">
        <item x="17"/>
        <item x="0"/>
        <item x="19"/>
        <item x="1"/>
        <item x="9"/>
        <item x="4"/>
        <item x="10"/>
        <item x="3"/>
        <item x="5"/>
        <item x="6"/>
        <item x="11"/>
        <item x="7"/>
        <item x="12"/>
        <item x="13"/>
        <item x="2"/>
        <item x="8"/>
        <item x="14"/>
        <item x="15"/>
        <item x="20"/>
        <item x="16"/>
        <item m="1" x="21"/>
        <item x="18"/>
      </items>
    </pivotField>
    <pivotField compact="0" outline="0" showAll="0" insertBlankRow="1" defaultSubtotal="0"/>
    <pivotField axis="axisPage" compact="0" outline="0" multipleItemSelectionAllowed="1" showAll="0" insertBlankRow="1" defaultSubtotal="0">
      <items count="22">
        <item m="1" x="15"/>
        <item h="1" m="1" x="17"/>
        <item m="1" x="19"/>
        <item h="1" m="1" x="12"/>
        <item h="1" m="1" x="14"/>
        <item m="1" x="20"/>
        <item h="1" m="1" x="16"/>
        <item m="1" x="13"/>
        <item h="1" m="1" x="11"/>
        <item h="1" x="4"/>
        <item h="1" m="1" x="21"/>
        <item h="1" m="1" x="18"/>
        <item h="1" x="0"/>
        <item h="1" x="1"/>
        <item x="2"/>
        <item h="1" x="3"/>
        <item h="1" x="5"/>
        <item x="6"/>
        <item x="7"/>
        <item h="1" x="8"/>
        <item h="1" x="9"/>
        <item h="1" x="10"/>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defaultSubtotal="0">
      <items count="1">
        <item x="0"/>
      </items>
    </pivotField>
  </pivotFields>
  <rowFields count="5">
    <field x="0"/>
    <field x="5"/>
    <field x="1"/>
    <field x="2"/>
    <field x="11"/>
  </rowFields>
  <rowItems count="10">
    <i>
      <x v="9"/>
      <x v="6"/>
      <x v="3"/>
      <x v="10"/>
      <x/>
    </i>
    <i t="blank" r="3">
      <x v="10"/>
    </i>
    <i>
      <x v="12"/>
      <x v="11"/>
      <x v="3"/>
      <x v="8"/>
      <x/>
    </i>
    <i t="blank" r="3">
      <x v="8"/>
    </i>
    <i>
      <x v="14"/>
      <x v="12"/>
      <x v="3"/>
      <x v="8"/>
      <x/>
    </i>
    <i t="blank" r="3">
      <x v="8"/>
    </i>
    <i>
      <x v="15"/>
      <x v="13"/>
      <x v="3"/>
      <x v="13"/>
      <x/>
    </i>
    <i t="blank" r="3">
      <x v="13"/>
    </i>
    <i>
      <x v="16"/>
      <x v="14"/>
      <x v="1"/>
      <x v="5"/>
      <x/>
    </i>
    <i t="blank" r="3">
      <x v="5"/>
    </i>
  </rowItems>
  <colItems count="1">
    <i/>
  </colItems>
  <pageFields count="2">
    <pageField fld="7" hier="-1"/>
    <pageField fld="4" hier="-1"/>
  </pageFields>
  <formats count="1">
    <format dxfId="0">
      <pivotArea type="all" dataOnly="0" outline="0" fieldPosition="0"/>
    </format>
  </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3" minRefreshableVersion="3" showCalcMbrs="0" showDrill="0" useAutoFormatting="1" itemPrintTitles="1" createdVersion="3" indent="0" compact="0" compactData="0" multipleFieldFilters="0">
  <location ref="A4:E7" firstHeaderRow="1" firstDataRow="1" firstDataCol="5" rowPageCount="2" colPageCount="1"/>
  <pivotFields count="13">
    <pivotField axis="axisRow" compact="0" outline="0" showAll="0" insertBlankRow="1" defaultSubtotal="0">
      <items count="97">
        <item x="16"/>
        <item x="9"/>
        <item x="27"/>
        <item x="17"/>
        <item x="18"/>
        <item x="19"/>
        <item x="20"/>
        <item x="21"/>
        <item x="6"/>
        <item x="7"/>
        <item x="8"/>
        <item x="2"/>
        <item x="3"/>
        <item x="4"/>
        <item x="5"/>
        <item x="14"/>
        <item x="15"/>
        <item x="28"/>
        <item x="29"/>
        <item x="30"/>
        <item x="31"/>
        <item x="32"/>
        <item x="33"/>
        <item x="34"/>
        <item x="35"/>
        <item x="10"/>
        <item x="11"/>
        <item x="12"/>
        <item x="13"/>
        <item x="23"/>
        <item x="24"/>
        <item x="25"/>
        <item x="26"/>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1"/>
        <item x="22"/>
      </items>
    </pivotField>
    <pivotField axis="axisRow" compact="0" outline="0" showAll="0" insertBlankRow="1" defaultSubtotal="0">
      <items count="7">
        <item x="3"/>
        <item x="5"/>
        <item x="6"/>
        <item x="1"/>
        <item x="4"/>
        <item x="0"/>
        <item x="2"/>
      </items>
    </pivotField>
    <pivotField axis="axisRow" compact="0" outline="0" showAll="0" insertBlankRow="1" defaultSubtotal="0">
      <items count="16">
        <item x="11"/>
        <item x="4"/>
        <item x="7"/>
        <item x="3"/>
        <item x="8"/>
        <item x="15"/>
        <item x="1"/>
        <item x="2"/>
        <item x="6"/>
        <item x="0"/>
        <item x="5"/>
        <item x="10"/>
        <item x="12"/>
        <item x="13"/>
        <item x="14"/>
        <item x="9"/>
      </items>
    </pivotField>
    <pivotField compact="0" outline="0" showAll="0" insertBlankRow="1" defaultSubtotal="0"/>
    <pivotField axis="axisPage" compact="0" outline="0" multipleItemSelectionAllowed="1" showAll="0" insertBlankRow="1" defaultSubtotal="0">
      <items count="3">
        <item x="2"/>
        <item h="1" x="1"/>
        <item h="1" x="0"/>
      </items>
    </pivotField>
    <pivotField axis="axisRow" compact="0" outline="0" showAll="0" insertBlankRow="1" defaultSubtotal="0">
      <items count="97">
        <item x="8"/>
        <item x="19"/>
        <item x="9"/>
        <item x="21"/>
        <item x="20"/>
        <item x="27"/>
        <item x="18"/>
        <item x="16"/>
        <item x="17"/>
        <item x="2"/>
        <item x="3"/>
        <item x="4"/>
        <item x="5"/>
        <item x="6"/>
        <item x="7"/>
        <item x="14"/>
        <item x="15"/>
        <item x="28"/>
        <item x="29"/>
        <item x="30"/>
        <item x="31"/>
        <item x="32"/>
        <item x="33"/>
        <item x="34"/>
        <item x="35"/>
        <item x="10"/>
        <item x="11"/>
        <item x="12"/>
        <item x="13"/>
        <item x="23"/>
        <item x="24"/>
        <item x="25"/>
        <item x="26"/>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1"/>
        <item x="22"/>
      </items>
    </pivotField>
    <pivotField compact="0" outline="0" showAll="0" insertBlankRow="1" defaultSubtotal="0"/>
    <pivotField compact="0" outline="0" showAll="0" insertBlankRow="1" defaultSubtotal="0"/>
    <pivotField axis="axisPage" compact="0" outline="0" multipleItemSelectionAllowed="1" showAll="0" insertBlankRow="1" defaultSubtotal="0">
      <items count="9">
        <item h="1" x="0"/>
        <item m="1" x="5"/>
        <item m="1" x="7"/>
        <item m="1" x="8"/>
        <item h="1" m="1" x="6"/>
        <item x="1"/>
        <item x="2"/>
        <item x="3"/>
        <item h="1" x="4"/>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defaultSubtotal="0">
      <items count="3">
        <item x="0"/>
        <item x="2"/>
        <item x="1"/>
      </items>
    </pivotField>
  </pivotFields>
  <rowFields count="5">
    <field x="0"/>
    <field x="5"/>
    <field x="1"/>
    <field x="2"/>
    <field x="12"/>
  </rowFields>
  <rowItems count="3">
    <i>
      <x v="92"/>
      <x v="92"/>
      <x v="2"/>
      <x v="5"/>
      <x/>
    </i>
    <i t="blank" r="3">
      <x v="5"/>
    </i>
    <i t="grand">
      <x/>
    </i>
  </rowItems>
  <colItems count="1">
    <i/>
  </colItems>
  <pageFields count="2">
    <pageField fld="4" hier="-1"/>
    <pageField fld="8" hier="-1"/>
  </page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3" minRefreshableVersion="3" showCalcMbrs="0" showDrill="0" useAutoFormatting="1" itemPrintTitles="1" createdVersion="3" indent="0" compact="0" compactData="0" multipleFieldFilters="0">
  <location ref="A4:E5" firstHeaderRow="1" firstDataRow="1" firstDataCol="5" rowPageCount="2" colPageCount="1"/>
  <pivotFields count="12">
    <pivotField axis="axisRow" compact="0" outline="0" showAll="0" insertBlankRow="1" defaultSubtotal="0">
      <items count="196">
        <item x="3"/>
        <item x="30"/>
        <item x="5"/>
        <item x="20"/>
        <item x="101"/>
        <item x="21"/>
        <item x="31"/>
        <item x="32"/>
        <item x="33"/>
        <item x="34"/>
        <item x="35"/>
        <item x="102"/>
        <item x="103"/>
        <item x="104"/>
        <item x="36"/>
        <item x="105"/>
        <item x="106"/>
        <item x="107"/>
        <item x="108"/>
        <item x="109"/>
        <item x="110"/>
        <item x="111"/>
        <item x="112"/>
        <item x="113"/>
        <item x="114"/>
        <item x="115"/>
        <item x="116"/>
        <item x="117"/>
        <item x="6"/>
        <item x="7"/>
        <item x="0"/>
        <item x="8"/>
        <item x="9"/>
        <item x="10"/>
        <item x="11"/>
        <item x="22"/>
        <item x="23"/>
        <item x="24"/>
        <item x="25"/>
        <item x="26"/>
        <item x="37"/>
        <item x="38"/>
        <item x="39"/>
        <item x="40"/>
        <item x="41"/>
        <item x="1"/>
        <item x="27"/>
        <item x="42"/>
        <item x="43"/>
        <item x="44"/>
        <item x="45"/>
        <item x="46"/>
        <item x="47"/>
        <item x="48"/>
        <item x="49"/>
        <item x="50"/>
        <item x="51"/>
        <item x="52"/>
        <item x="53"/>
        <item x="54"/>
        <item x="55"/>
        <item x="56"/>
        <item x="57"/>
        <item x="58"/>
        <item x="59"/>
        <item x="60"/>
        <item x="61"/>
        <item x="118"/>
        <item x="119"/>
        <item x="120"/>
        <item x="12"/>
        <item x="10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4"/>
        <item x="28"/>
        <item x="29"/>
        <item x="185"/>
        <item x="186"/>
        <item x="187"/>
        <item x="188"/>
        <item x="189"/>
        <item x="190"/>
        <item x="191"/>
        <item x="192"/>
        <item x="193"/>
        <item x="195"/>
        <item x="62"/>
        <item x="13"/>
        <item x="14"/>
        <item x="15"/>
        <item x="63"/>
        <item x="64"/>
        <item x="65"/>
        <item x="194"/>
        <item x="16"/>
        <item x="17"/>
        <item x="18"/>
        <item x="66"/>
        <item x="67"/>
        <item x="68"/>
        <item x="69"/>
        <item x="70"/>
        <item x="71"/>
        <item x="72"/>
        <item x="73"/>
        <item x="74"/>
        <item x="75"/>
        <item x="76"/>
        <item x="77"/>
        <item x="78"/>
        <item x="79"/>
        <item x="80"/>
        <item x="81"/>
        <item x="82"/>
        <item x="83"/>
        <item x="84"/>
        <item x="85"/>
        <item x="86"/>
        <item x="87"/>
        <item x="88"/>
        <item x="89"/>
        <item x="90"/>
        <item x="91"/>
        <item x="92"/>
        <item x="93"/>
        <item x="94"/>
        <item x="95"/>
        <item x="2"/>
        <item x="96"/>
        <item x="19"/>
        <item x="97"/>
        <item x="98"/>
        <item x="99"/>
      </items>
    </pivotField>
    <pivotField axis="axisRow" compact="0" outline="0" showAll="0" insertBlankRow="1" defaultSubtotal="0">
      <items count="9">
        <item x="3"/>
        <item x="4"/>
        <item x="5"/>
        <item x="7"/>
        <item x="0"/>
        <item x="1"/>
        <item x="6"/>
        <item x="8"/>
        <item x="2"/>
      </items>
    </pivotField>
    <pivotField axis="axisRow" compact="0" outline="0" showAll="0" insertBlankRow="1" defaultSubtotal="0">
      <items count="33">
        <item x="9"/>
        <item x="25"/>
        <item x="8"/>
        <item x="24"/>
        <item x="16"/>
        <item x="4"/>
        <item x="5"/>
        <item x="6"/>
        <item x="0"/>
        <item x="7"/>
        <item x="10"/>
        <item x="11"/>
        <item x="12"/>
        <item x="1"/>
        <item x="18"/>
        <item x="17"/>
        <item x="26"/>
        <item x="15"/>
        <item x="13"/>
        <item x="19"/>
        <item x="20"/>
        <item x="30"/>
        <item x="31"/>
        <item x="3"/>
        <item x="27"/>
        <item x="32"/>
        <item x="14"/>
        <item x="23"/>
        <item x="22"/>
        <item x="21"/>
        <item x="2"/>
        <item x="28"/>
        <item x="29"/>
      </items>
    </pivotField>
    <pivotField axis="axisPage" compact="0" outline="0" multipleItemSelectionAllowed="1" showAll="0" insertBlankRow="1" defaultSubtotal="0">
      <items count="2">
        <item x="1"/>
        <item h="1" x="0"/>
      </items>
    </pivotField>
    <pivotField axis="axisRow" compact="0" outline="0" showAll="0" insertBlankRow="1" defaultSubtotal="0">
      <items count="196">
        <item x="21"/>
        <item x="3"/>
        <item x="115"/>
        <item x="117"/>
        <item x="110"/>
        <item x="105"/>
        <item x="30"/>
        <item x="35"/>
        <item x="102"/>
        <item x="103"/>
        <item x="113"/>
        <item x="106"/>
        <item x="36"/>
        <item x="116"/>
        <item x="114"/>
        <item x="104"/>
        <item x="111"/>
        <item x="20"/>
        <item x="112"/>
        <item x="109"/>
        <item x="107"/>
        <item x="32"/>
        <item x="108"/>
        <item x="6"/>
        <item x="7"/>
        <item x="0"/>
        <item x="8"/>
        <item x="9"/>
        <item x="10"/>
        <item x="11"/>
        <item x="22"/>
        <item x="23"/>
        <item x="24"/>
        <item x="25"/>
        <item x="26"/>
        <item x="31"/>
        <item x="34"/>
        <item x="37"/>
        <item x="39"/>
        <item x="40"/>
        <item x="33"/>
        <item x="38"/>
        <item x="41"/>
        <item x="1"/>
        <item x="27"/>
        <item x="42"/>
        <item x="43"/>
        <item x="44"/>
        <item x="45"/>
        <item x="46"/>
        <item x="47"/>
        <item x="48"/>
        <item x="49"/>
        <item x="50"/>
        <item x="51"/>
        <item x="52"/>
        <item x="53"/>
        <item x="54"/>
        <item x="55"/>
        <item x="56"/>
        <item x="57"/>
        <item x="58"/>
        <item x="59"/>
        <item x="60"/>
        <item x="61"/>
        <item x="118"/>
        <item x="119"/>
        <item x="120"/>
        <item x="12"/>
        <item x="10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4"/>
        <item x="28"/>
        <item x="29"/>
        <item x="185"/>
        <item x="186"/>
        <item x="187"/>
        <item x="188"/>
        <item x="189"/>
        <item x="190"/>
        <item x="191"/>
        <item x="192"/>
        <item x="193"/>
        <item x="195"/>
        <item x="62"/>
        <item x="13"/>
        <item x="14"/>
        <item x="15"/>
        <item x="63"/>
        <item x="64"/>
        <item x="65"/>
        <item x="194"/>
        <item x="16"/>
        <item x="17"/>
        <item x="18"/>
        <item x="66"/>
        <item x="67"/>
        <item x="68"/>
        <item x="69"/>
        <item x="70"/>
        <item x="71"/>
        <item x="72"/>
        <item x="73"/>
        <item x="74"/>
        <item x="75"/>
        <item x="76"/>
        <item x="77"/>
        <item x="78"/>
        <item x="79"/>
        <item x="80"/>
        <item x="81"/>
        <item x="82"/>
        <item x="83"/>
        <item x="84"/>
        <item x="85"/>
        <item x="86"/>
        <item x="87"/>
        <item x="88"/>
        <item x="89"/>
        <item x="90"/>
        <item x="91"/>
        <item x="92"/>
        <item x="93"/>
        <item x="94"/>
        <item x="5"/>
        <item x="95"/>
        <item x="96"/>
        <item x="101"/>
        <item x="19"/>
        <item x="97"/>
        <item x="98"/>
        <item x="99"/>
        <item x="2"/>
      </items>
    </pivotField>
    <pivotField compact="0" outline="0" showAll="0" insertBlankRow="1" defaultSubtotal="0"/>
    <pivotField compact="0" outline="0" showAll="0" insertBlankRow="1" defaultSubtotal="0"/>
    <pivotField axis="axisPage" compact="0" outline="0" multipleItemSelectionAllowed="1" showAll="0" insertBlankRow="1" defaultSubtotal="0">
      <items count="15">
        <item x="0"/>
        <item h="1" m="1" x="8"/>
        <item h="1" m="1" x="10"/>
        <item h="1" m="1" x="13"/>
        <item h="1" m="1" x="14"/>
        <item h="1" m="1" x="11"/>
        <item h="1" m="1" x="9"/>
        <item h="1" m="1" x="12"/>
        <item h="1" x="1"/>
        <item h="1" x="2"/>
        <item h="1" x="3"/>
        <item h="1" x="4"/>
        <item h="1" x="5"/>
        <item h="1" x="6"/>
        <item h="1" x="7"/>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defaultSubtotal="0">
      <items count="95">
        <item x="1"/>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
        <item x="67"/>
        <item x="68"/>
        <item x="69"/>
        <item x="70"/>
        <item x="71"/>
        <item x="72"/>
        <item x="73"/>
        <item x="74"/>
        <item x="75"/>
        <item x="76"/>
        <item x="77"/>
        <item x="78"/>
        <item x="79"/>
        <item x="80"/>
        <item x="81"/>
        <item x="82"/>
        <item x="83"/>
        <item x="84"/>
        <item x="85"/>
        <item x="86"/>
        <item x="87"/>
        <item x="88"/>
        <item x="89"/>
        <item x="94"/>
        <item x="90"/>
        <item x="91"/>
        <item x="92"/>
        <item x="93"/>
        <item x="13"/>
        <item x="14"/>
        <item x="24"/>
        <item x="2"/>
        <item x="0"/>
        <item x="3"/>
        <item x="4"/>
        <item x="5"/>
        <item x="7"/>
        <item x="8"/>
        <item x="9"/>
        <item x="10"/>
        <item x="11"/>
        <item x="15"/>
        <item x="12"/>
        <item x="16"/>
        <item x="17"/>
        <item x="18"/>
        <item x="19"/>
      </items>
    </pivotField>
  </pivotFields>
  <rowFields count="5">
    <field x="0"/>
    <field x="4"/>
    <field x="1"/>
    <field x="2"/>
    <field x="11"/>
  </rowFields>
  <rowItems count="1">
    <i t="grand">
      <x/>
    </i>
  </rowItems>
  <colItems count="1">
    <i/>
  </colItems>
  <pageFields count="2">
    <pageField fld="3" hier="-1"/>
    <pageField fld="7" hier="-1"/>
  </page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1:L40" totalsRowShown="0" headerRowDxfId="53" dataDxfId="52">
  <autoFilter ref="A1:L40"/>
  <tableColumns count="12">
    <tableColumn id="1" name="ID"/>
    <tableColumn id="2" name="Workstream" dataDxfId="51"/>
    <tableColumn id="3" name="Assigned To" dataDxfId="50"/>
    <tableColumn id="4" name="Profile" dataDxfId="49"/>
    <tableColumn id="5" name="Priority"/>
    <tableColumn id="6" name="Title" dataDxfId="48"/>
    <tableColumn id="7" name="Trigger_Date" dataDxfId="47"/>
    <tableColumn id="8" name="Countdown" dataDxfId="46"/>
    <tableColumn id="9" name="Days Open" dataDxfId="45"/>
    <tableColumn id="10" name="Update Log" dataDxfId="44"/>
    <tableColumn id="11" name="PMO Check" dataDxfId="43"/>
    <tableColumn id="12" name="URL" dataDxfId="42"/>
  </tableColumns>
  <tableStyleInfo name="TableStyleLight8" showFirstColumn="0" showLastColumn="0" showRowStripes="1" showColumnStripes="0"/>
</table>
</file>

<file path=xl/tables/table2.xml><?xml version="1.0" encoding="utf-8"?>
<table xmlns="http://schemas.openxmlformats.org/spreadsheetml/2006/main" id="2" name="Table2" displayName="Table2" ref="A1:L22" totalsRowShown="0" headerRowDxfId="41" dataDxfId="40">
  <autoFilter ref="A1:L22"/>
  <tableColumns count="12">
    <tableColumn id="1" name="ID"/>
    <tableColumn id="2" name="Workstream" dataDxfId="39"/>
    <tableColumn id="3" name="Assigned to"/>
    <tableColumn id="4" name="Profile" dataDxfId="38"/>
    <tableColumn id="5" name="Impact"/>
    <tableColumn id="6" name="Title" dataDxfId="37"/>
    <tableColumn id="7" name="Required_Resolution" dataDxfId="36"/>
    <tableColumn id="8" name="Countdown" dataDxfId="35"/>
    <tableColumn id="9" name="Days Open" dataDxfId="34"/>
    <tableColumn id="10" name="Update Log" dataDxfId="33"/>
    <tableColumn id="11" name="PMO Check" dataDxfId="32"/>
    <tableColumn id="12" name="URL" dataDxfId="31"/>
  </tableColumns>
  <tableStyleInfo name="TableStyleLight8" showFirstColumn="0" showLastColumn="0" showRowStripes="1" showColumnStripes="0"/>
</table>
</file>

<file path=xl/tables/table3.xml><?xml version="1.0" encoding="utf-8"?>
<table xmlns="http://schemas.openxmlformats.org/spreadsheetml/2006/main" id="3" name="Table3" displayName="Table3" ref="A1:M98" totalsRowShown="0" headerRowDxfId="30" dataDxfId="29">
  <autoFilter ref="A1:M98"/>
  <tableColumns count="13">
    <tableColumn id="1" name="ID" dataDxfId="28"/>
    <tableColumn id="2" name="Workstream" dataDxfId="27"/>
    <tableColumn id="3" name="Assigned to" dataDxfId="26"/>
    <tableColumn id="4" name="Profile" dataDxfId="25"/>
    <tableColumn id="5" name="Status" dataDxfId="24"/>
    <tableColumn id="6" name="Title" dataDxfId="23"/>
    <tableColumn id="7" name="Validated by" dataDxfId="22"/>
    <tableColumn id="8" name="Validation_Due" dataDxfId="21"/>
    <tableColumn id="9" name="Countdown" dataDxfId="20"/>
    <tableColumn id="10" name="Days Open" dataDxfId="19"/>
    <tableColumn id="11" name="Update Log" dataDxfId="18"/>
    <tableColumn id="12" name="PMO Check" dataDxfId="17"/>
    <tableColumn id="13" name="URL" dataDxfId="16"/>
  </tableColumns>
  <tableStyleInfo name="TableStyleLight8" showFirstColumn="0" showLastColumn="0" showRowStripes="1" showColumnStripes="0"/>
</table>
</file>

<file path=xl/tables/table4.xml><?xml version="1.0" encoding="utf-8"?>
<table xmlns="http://schemas.openxmlformats.org/spreadsheetml/2006/main" id="4" name="Table4" displayName="Table4" ref="A1:L197" totalsRowShown="0" headerRowDxfId="15" dataDxfId="14">
  <autoFilter ref="A1:L197"/>
  <tableColumns count="12">
    <tableColumn id="1" name="ID" dataDxfId="13"/>
    <tableColumn id="2" name="Workstream" dataDxfId="12"/>
    <tableColumn id="3" name="Assigned To" dataDxfId="11"/>
    <tableColumn id="4" name="Status" dataDxfId="10"/>
    <tableColumn id="5" name="Title" dataDxfId="9"/>
    <tableColumn id="6" name="Decision Forum" dataDxfId="8"/>
    <tableColumn id="7" name="Required_By" dataDxfId="7"/>
    <tableColumn id="8" name="Countdown" dataDxfId="6"/>
    <tableColumn id="9" name="Days Open" dataDxfId="5"/>
    <tableColumn id="10" name="Update Log" dataDxfId="4"/>
    <tableColumn id="11" name="PMO Check" dataDxfId="3"/>
    <tableColumn id="12" name="URL"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dimension ref="A1:L40"/>
  <sheetViews>
    <sheetView tabSelected="1" workbookViewId="0">
      <selection activeCell="I18" sqref="I18"/>
    </sheetView>
  </sheetViews>
  <sheetFormatPr defaultRowHeight="12.75"/>
  <cols>
    <col min="1" max="1" width="5" customWidth="1"/>
    <col min="2" max="2" width="14.7109375" style="2" customWidth="1"/>
    <col min="3" max="3" width="14.140625" style="2" customWidth="1"/>
    <col min="4" max="4" width="9.140625" style="2" customWidth="1"/>
    <col min="5" max="5" width="9.7109375" customWidth="1"/>
    <col min="6" max="6" width="25.140625" style="2" customWidth="1"/>
    <col min="7" max="7" width="14.85546875" style="2" customWidth="1"/>
    <col min="8" max="8" width="13.42578125" style="2" customWidth="1"/>
    <col min="9" max="9" width="12.85546875" style="2" customWidth="1"/>
    <col min="10" max="10" width="30.140625" style="2" customWidth="1"/>
    <col min="11" max="12" width="27.28515625" style="2" customWidth="1"/>
  </cols>
  <sheetData>
    <row r="1" spans="1:12">
      <c r="A1" s="1" t="s">
        <v>0</v>
      </c>
      <c r="B1" s="3" t="s">
        <v>1</v>
      </c>
      <c r="C1" s="3" t="s">
        <v>2</v>
      </c>
      <c r="D1" s="3" t="s">
        <v>3</v>
      </c>
      <c r="E1" s="1" t="s">
        <v>4</v>
      </c>
      <c r="F1" s="3" t="s">
        <v>5</v>
      </c>
      <c r="G1" s="3" t="s">
        <v>41</v>
      </c>
      <c r="H1" s="3" t="s">
        <v>6</v>
      </c>
      <c r="I1" s="3" t="s">
        <v>7</v>
      </c>
      <c r="J1" s="3" t="s">
        <v>8</v>
      </c>
      <c r="K1" s="3" t="s">
        <v>9</v>
      </c>
      <c r="L1" s="3" t="s">
        <v>39</v>
      </c>
    </row>
    <row r="2" spans="1:12" ht="409.5">
      <c r="A2">
        <v>21</v>
      </c>
      <c r="B2" s="2" t="s">
        <v>17</v>
      </c>
      <c r="C2" s="2" t="s">
        <v>18</v>
      </c>
      <c r="D2" s="2" t="s">
        <v>915</v>
      </c>
      <c r="E2">
        <v>9</v>
      </c>
      <c r="F2" s="2" t="s">
        <v>74</v>
      </c>
      <c r="G2" s="2" t="s">
        <v>75</v>
      </c>
      <c r="H2" s="2">
        <v>5</v>
      </c>
      <c r="I2" s="2">
        <v>231</v>
      </c>
      <c r="J2" s="2" t="s">
        <v>949</v>
      </c>
      <c r="L2" s="2" t="s">
        <v>71</v>
      </c>
    </row>
    <row r="3" spans="1:12" ht="229.5">
      <c r="A3">
        <v>22</v>
      </c>
      <c r="B3" s="2" t="s">
        <v>17</v>
      </c>
      <c r="C3" s="2" t="s">
        <v>18</v>
      </c>
      <c r="D3" s="2" t="s">
        <v>72</v>
      </c>
      <c r="E3">
        <v>6</v>
      </c>
      <c r="F3" s="2" t="s">
        <v>47</v>
      </c>
      <c r="G3" s="2" t="s">
        <v>76</v>
      </c>
      <c r="H3" s="2">
        <v>-41</v>
      </c>
      <c r="I3" s="2">
        <v>222</v>
      </c>
      <c r="J3" s="2" t="s">
        <v>924</v>
      </c>
      <c r="L3" s="2" t="s">
        <v>71</v>
      </c>
    </row>
    <row r="4" spans="1:12" ht="153">
      <c r="A4">
        <v>23</v>
      </c>
      <c r="B4" s="2" t="s">
        <v>17</v>
      </c>
      <c r="C4" s="2" t="s">
        <v>18</v>
      </c>
      <c r="D4" s="2" t="s">
        <v>72</v>
      </c>
      <c r="E4">
        <v>6</v>
      </c>
      <c r="F4" s="2" t="s">
        <v>77</v>
      </c>
      <c r="G4" s="2" t="s">
        <v>75</v>
      </c>
      <c r="H4" s="2">
        <v>5</v>
      </c>
      <c r="I4" s="2">
        <v>201</v>
      </c>
      <c r="J4" s="2" t="s">
        <v>78</v>
      </c>
      <c r="L4" s="2" t="s">
        <v>71</v>
      </c>
    </row>
    <row r="5" spans="1:12" ht="51">
      <c r="A5">
        <v>206</v>
      </c>
      <c r="B5" s="2" t="s">
        <v>80</v>
      </c>
      <c r="C5" s="2" t="s">
        <v>81</v>
      </c>
      <c r="D5" s="2" t="s">
        <v>72</v>
      </c>
      <c r="E5">
        <v>2</v>
      </c>
      <c r="F5" s="2" t="s">
        <v>82</v>
      </c>
      <c r="G5" s="2" t="s">
        <v>83</v>
      </c>
      <c r="H5" s="2">
        <v>9</v>
      </c>
      <c r="I5" s="2">
        <v>71</v>
      </c>
      <c r="J5" s="2" t="s">
        <v>84</v>
      </c>
      <c r="L5" s="2" t="s">
        <v>71</v>
      </c>
    </row>
    <row r="6" spans="1:12" ht="89.25">
      <c r="A6">
        <v>301</v>
      </c>
      <c r="B6" s="2" t="s">
        <v>80</v>
      </c>
      <c r="C6" s="2" t="s">
        <v>81</v>
      </c>
      <c r="D6" s="2" t="s">
        <v>72</v>
      </c>
      <c r="E6">
        <v>4</v>
      </c>
      <c r="F6" s="2" t="s">
        <v>85</v>
      </c>
      <c r="G6" s="2" t="s">
        <v>86</v>
      </c>
      <c r="H6" s="2">
        <v>16</v>
      </c>
      <c r="I6" s="2">
        <v>28</v>
      </c>
      <c r="J6" s="2" t="s">
        <v>87</v>
      </c>
      <c r="L6" s="2" t="s">
        <v>71</v>
      </c>
    </row>
    <row r="7" spans="1:12" ht="409.5">
      <c r="A7">
        <v>74</v>
      </c>
      <c r="B7" s="2" t="s">
        <v>19</v>
      </c>
      <c r="C7" s="2" t="s">
        <v>90</v>
      </c>
      <c r="D7" s="2" t="s">
        <v>72</v>
      </c>
      <c r="E7">
        <v>0</v>
      </c>
      <c r="F7" s="2" t="s">
        <v>48</v>
      </c>
      <c r="G7" s="2" t="s">
        <v>83</v>
      </c>
      <c r="H7" s="2">
        <v>9</v>
      </c>
      <c r="I7" s="2">
        <v>207</v>
      </c>
      <c r="J7" s="2" t="s">
        <v>916</v>
      </c>
      <c r="L7" s="2" t="s">
        <v>71</v>
      </c>
    </row>
    <row r="8" spans="1:12" ht="216.75">
      <c r="A8">
        <v>76</v>
      </c>
      <c r="B8" s="2" t="s">
        <v>19</v>
      </c>
      <c r="C8" s="2" t="s">
        <v>88</v>
      </c>
      <c r="D8" s="2" t="s">
        <v>72</v>
      </c>
      <c r="E8">
        <v>6</v>
      </c>
      <c r="F8" s="2" t="s">
        <v>89</v>
      </c>
      <c r="G8" s="2" t="s">
        <v>83</v>
      </c>
      <c r="H8" s="2">
        <v>9</v>
      </c>
      <c r="I8" s="2">
        <v>204</v>
      </c>
      <c r="J8" s="2" t="s">
        <v>950</v>
      </c>
      <c r="L8" s="2" t="s">
        <v>71</v>
      </c>
    </row>
    <row r="9" spans="1:12" ht="229.5">
      <c r="A9">
        <v>78</v>
      </c>
      <c r="B9" s="2" t="s">
        <v>19</v>
      </c>
      <c r="C9" s="2" t="s">
        <v>90</v>
      </c>
      <c r="D9" s="2" t="s">
        <v>72</v>
      </c>
      <c r="E9">
        <v>3</v>
      </c>
      <c r="F9" s="2" t="s">
        <v>91</v>
      </c>
      <c r="G9" s="2" t="s">
        <v>92</v>
      </c>
      <c r="H9" s="2">
        <v>41</v>
      </c>
      <c r="I9" s="2">
        <v>175</v>
      </c>
      <c r="J9" s="2" t="s">
        <v>951</v>
      </c>
      <c r="L9" s="2" t="s">
        <v>71</v>
      </c>
    </row>
    <row r="10" spans="1:12" ht="140.25">
      <c r="A10">
        <v>181</v>
      </c>
      <c r="B10" s="2" t="s">
        <v>19</v>
      </c>
      <c r="C10" s="2" t="s">
        <v>90</v>
      </c>
      <c r="D10" s="2" t="s">
        <v>79</v>
      </c>
      <c r="E10">
        <v>4</v>
      </c>
      <c r="F10" s="2" t="s">
        <v>901</v>
      </c>
      <c r="G10" s="2" t="s">
        <v>138</v>
      </c>
      <c r="H10" s="2">
        <v>40</v>
      </c>
      <c r="I10" s="2">
        <v>123</v>
      </c>
      <c r="J10" s="2" t="s">
        <v>952</v>
      </c>
      <c r="L10" s="2" t="s">
        <v>71</v>
      </c>
    </row>
    <row r="11" spans="1:12" ht="409.5">
      <c r="A11">
        <v>32</v>
      </c>
      <c r="B11" s="2" t="s">
        <v>49</v>
      </c>
      <c r="C11" s="2" t="s">
        <v>50</v>
      </c>
      <c r="D11" s="2" t="s">
        <v>79</v>
      </c>
      <c r="E11">
        <v>9</v>
      </c>
      <c r="F11" s="2" t="s">
        <v>93</v>
      </c>
      <c r="G11" s="2" t="s">
        <v>94</v>
      </c>
      <c r="H11" s="2">
        <v>161</v>
      </c>
      <c r="I11" s="2">
        <v>154</v>
      </c>
      <c r="J11" s="2" t="s">
        <v>95</v>
      </c>
      <c r="L11" s="2" t="s">
        <v>71</v>
      </c>
    </row>
    <row r="12" spans="1:12" ht="165.75">
      <c r="A12">
        <v>208</v>
      </c>
      <c r="B12" s="2" t="s">
        <v>49</v>
      </c>
      <c r="C12" s="2" t="s">
        <v>51</v>
      </c>
      <c r="D12" s="2" t="s">
        <v>72</v>
      </c>
      <c r="E12">
        <v>0</v>
      </c>
      <c r="F12" s="2" t="s">
        <v>52</v>
      </c>
      <c r="G12" s="2" t="s">
        <v>96</v>
      </c>
      <c r="H12" s="2">
        <v>-14</v>
      </c>
      <c r="I12" s="2">
        <v>91</v>
      </c>
      <c r="J12" s="2" t="s">
        <v>97</v>
      </c>
      <c r="L12" s="2" t="s">
        <v>71</v>
      </c>
    </row>
    <row r="13" spans="1:12" ht="242.25">
      <c r="A13">
        <v>211</v>
      </c>
      <c r="B13" s="2" t="s">
        <v>49</v>
      </c>
      <c r="C13" s="2" t="s">
        <v>105</v>
      </c>
      <c r="D13" s="2" t="s">
        <v>72</v>
      </c>
      <c r="E13">
        <v>2</v>
      </c>
      <c r="F13" s="2" t="s">
        <v>53</v>
      </c>
      <c r="G13" s="2" t="s">
        <v>979</v>
      </c>
      <c r="H13" s="2">
        <v>22</v>
      </c>
      <c r="I13" s="2">
        <v>121</v>
      </c>
      <c r="J13" s="2" t="s">
        <v>902</v>
      </c>
      <c r="L13" s="2" t="s">
        <v>71</v>
      </c>
    </row>
    <row r="14" spans="1:12" ht="306">
      <c r="A14">
        <v>212</v>
      </c>
      <c r="B14" s="2" t="s">
        <v>49</v>
      </c>
      <c r="C14" s="2" t="s">
        <v>50</v>
      </c>
      <c r="D14" s="2" t="s">
        <v>72</v>
      </c>
      <c r="E14">
        <v>0</v>
      </c>
      <c r="F14" s="2" t="s">
        <v>55</v>
      </c>
      <c r="G14" s="2" t="s">
        <v>83</v>
      </c>
      <c r="H14" s="2">
        <v>9</v>
      </c>
      <c r="I14" s="2">
        <v>107</v>
      </c>
      <c r="J14" s="2" t="s">
        <v>917</v>
      </c>
      <c r="L14" s="2" t="s">
        <v>71</v>
      </c>
    </row>
    <row r="15" spans="1:12" ht="255">
      <c r="A15">
        <v>251</v>
      </c>
      <c r="B15" s="2" t="s">
        <v>49</v>
      </c>
      <c r="C15" s="2" t="s">
        <v>98</v>
      </c>
      <c r="D15" s="2" t="s">
        <v>72</v>
      </c>
      <c r="E15">
        <v>4</v>
      </c>
      <c r="F15" s="2" t="s">
        <v>99</v>
      </c>
      <c r="G15" s="2" t="s">
        <v>903</v>
      </c>
      <c r="H15" s="2">
        <v>-2</v>
      </c>
      <c r="I15" s="2">
        <v>63</v>
      </c>
      <c r="J15" s="2" t="s">
        <v>904</v>
      </c>
      <c r="L15" s="2" t="s">
        <v>71</v>
      </c>
    </row>
    <row r="16" spans="1:12" ht="165.75">
      <c r="A16">
        <v>252</v>
      </c>
      <c r="B16" s="2" t="s">
        <v>49</v>
      </c>
      <c r="C16" s="2" t="s">
        <v>98</v>
      </c>
      <c r="D16" s="2" t="s">
        <v>72</v>
      </c>
      <c r="E16">
        <v>4</v>
      </c>
      <c r="F16" s="2" t="s">
        <v>100</v>
      </c>
      <c r="G16" s="2" t="s">
        <v>75</v>
      </c>
      <c r="H16" s="2">
        <v>5</v>
      </c>
      <c r="I16" s="2">
        <v>63</v>
      </c>
      <c r="J16" s="2" t="s">
        <v>905</v>
      </c>
      <c r="L16" s="2" t="s">
        <v>71</v>
      </c>
    </row>
    <row r="17" spans="1:12" ht="89.25">
      <c r="A17">
        <v>253</v>
      </c>
      <c r="B17" s="2" t="s">
        <v>49</v>
      </c>
      <c r="C17" s="2" t="s">
        <v>98</v>
      </c>
      <c r="D17" s="2" t="s">
        <v>72</v>
      </c>
      <c r="E17">
        <v>4</v>
      </c>
      <c r="F17" s="2" t="s">
        <v>101</v>
      </c>
      <c r="G17" s="2" t="s">
        <v>75</v>
      </c>
      <c r="H17" s="2">
        <v>5</v>
      </c>
      <c r="I17" s="2">
        <v>63</v>
      </c>
      <c r="J17" s="2" t="s">
        <v>102</v>
      </c>
      <c r="L17" s="2" t="s">
        <v>71</v>
      </c>
    </row>
    <row r="18" spans="1:12" ht="191.25">
      <c r="A18">
        <v>254</v>
      </c>
      <c r="B18" s="2" t="s">
        <v>49</v>
      </c>
      <c r="C18" s="2" t="s">
        <v>98</v>
      </c>
      <c r="D18" s="2" t="s">
        <v>72</v>
      </c>
      <c r="E18">
        <v>2</v>
      </c>
      <c r="F18" s="2" t="s">
        <v>103</v>
      </c>
      <c r="G18" s="2" t="s">
        <v>92</v>
      </c>
      <c r="H18" s="2">
        <v>41</v>
      </c>
      <c r="I18" s="2">
        <v>63</v>
      </c>
      <c r="J18" s="2" t="s">
        <v>906</v>
      </c>
      <c r="L18" s="2" t="s">
        <v>71</v>
      </c>
    </row>
    <row r="19" spans="1:12" ht="409.5">
      <c r="A19">
        <v>288</v>
      </c>
      <c r="B19" s="2" t="s">
        <v>49</v>
      </c>
      <c r="C19" s="2" t="s">
        <v>953</v>
      </c>
      <c r="D19" s="2" t="s">
        <v>72</v>
      </c>
      <c r="E19">
        <v>9</v>
      </c>
      <c r="F19" s="2" t="s">
        <v>104</v>
      </c>
      <c r="G19" s="2" t="s">
        <v>83</v>
      </c>
      <c r="H19" s="2">
        <v>9</v>
      </c>
      <c r="I19" s="2">
        <v>69</v>
      </c>
      <c r="J19" s="2" t="s">
        <v>954</v>
      </c>
      <c r="L19" s="2" t="s">
        <v>71</v>
      </c>
    </row>
    <row r="20" spans="1:12" ht="51">
      <c r="A20">
        <v>356</v>
      </c>
      <c r="B20" s="2" t="s">
        <v>49</v>
      </c>
      <c r="C20" s="2" t="s">
        <v>980</v>
      </c>
      <c r="D20" s="2" t="s">
        <v>72</v>
      </c>
      <c r="E20">
        <v>6</v>
      </c>
      <c r="F20" s="2" t="s">
        <v>981</v>
      </c>
      <c r="G20" s="2" t="s">
        <v>982</v>
      </c>
      <c r="H20" s="2">
        <v>4</v>
      </c>
      <c r="I20" s="2">
        <v>0</v>
      </c>
      <c r="L20" s="2" t="s">
        <v>71</v>
      </c>
    </row>
    <row r="21" spans="1:12" ht="409.5">
      <c r="A21">
        <v>19</v>
      </c>
      <c r="B21" s="2" t="s">
        <v>20</v>
      </c>
      <c r="C21" s="2" t="s">
        <v>105</v>
      </c>
      <c r="D21" s="2" t="s">
        <v>72</v>
      </c>
      <c r="E21">
        <v>9</v>
      </c>
      <c r="F21" s="2" t="s">
        <v>46</v>
      </c>
      <c r="G21" s="2" t="s">
        <v>116</v>
      </c>
      <c r="H21" s="2">
        <v>-5</v>
      </c>
      <c r="I21" s="2">
        <v>238</v>
      </c>
      <c r="J21" s="2" t="s">
        <v>983</v>
      </c>
      <c r="L21" s="2" t="s">
        <v>71</v>
      </c>
    </row>
    <row r="22" spans="1:12" ht="409.5">
      <c r="A22">
        <v>27</v>
      </c>
      <c r="B22" s="2" t="s">
        <v>20</v>
      </c>
      <c r="C22" s="2" t="s">
        <v>105</v>
      </c>
      <c r="D22" s="2" t="s">
        <v>72</v>
      </c>
      <c r="E22">
        <v>6</v>
      </c>
      <c r="F22" s="2" t="s">
        <v>106</v>
      </c>
      <c r="G22" s="2" t="s">
        <v>907</v>
      </c>
      <c r="H22" s="2">
        <v>2</v>
      </c>
      <c r="I22" s="2">
        <v>190</v>
      </c>
      <c r="J22" s="2" t="s">
        <v>908</v>
      </c>
      <c r="L22" s="2" t="s">
        <v>71</v>
      </c>
    </row>
    <row r="23" spans="1:12" ht="409.5">
      <c r="A23">
        <v>34</v>
      </c>
      <c r="B23" s="2" t="s">
        <v>20</v>
      </c>
      <c r="C23" s="2" t="s">
        <v>105</v>
      </c>
      <c r="D23" s="2" t="s">
        <v>72</v>
      </c>
      <c r="E23">
        <v>6</v>
      </c>
      <c r="F23" s="2" t="s">
        <v>107</v>
      </c>
      <c r="G23" s="2" t="s">
        <v>116</v>
      </c>
      <c r="H23" s="2">
        <v>-5</v>
      </c>
      <c r="I23" s="2">
        <v>274</v>
      </c>
      <c r="J23" s="2" t="s">
        <v>984</v>
      </c>
      <c r="L23" s="2" t="s">
        <v>71</v>
      </c>
    </row>
    <row r="24" spans="1:12" ht="409.5">
      <c r="A24">
        <v>36</v>
      </c>
      <c r="B24" s="2" t="s">
        <v>20</v>
      </c>
      <c r="C24" s="2" t="s">
        <v>109</v>
      </c>
      <c r="D24" s="2" t="s">
        <v>72</v>
      </c>
      <c r="E24">
        <v>3</v>
      </c>
      <c r="F24" s="2" t="s">
        <v>110</v>
      </c>
      <c r="G24" s="2" t="s">
        <v>111</v>
      </c>
      <c r="H24" s="2">
        <v>37</v>
      </c>
      <c r="I24" s="2">
        <v>230</v>
      </c>
      <c r="J24" s="2" t="s">
        <v>112</v>
      </c>
      <c r="L24" s="2" t="s">
        <v>71</v>
      </c>
    </row>
    <row r="25" spans="1:12" ht="409.5">
      <c r="A25">
        <v>144</v>
      </c>
      <c r="B25" s="2" t="s">
        <v>20</v>
      </c>
      <c r="C25" s="2" t="s">
        <v>113</v>
      </c>
      <c r="D25" s="2" t="s">
        <v>72</v>
      </c>
      <c r="E25">
        <v>6</v>
      </c>
      <c r="F25" s="2" t="s">
        <v>114</v>
      </c>
      <c r="G25" s="2" t="s">
        <v>83</v>
      </c>
      <c r="H25" s="2">
        <v>9</v>
      </c>
      <c r="I25" s="2">
        <v>147</v>
      </c>
      <c r="J25" s="2" t="s">
        <v>985</v>
      </c>
      <c r="L25" s="2" t="s">
        <v>71</v>
      </c>
    </row>
    <row r="26" spans="1:12" ht="409.5">
      <c r="A26">
        <v>213</v>
      </c>
      <c r="B26" s="2" t="s">
        <v>20</v>
      </c>
      <c r="C26" s="2" t="s">
        <v>21</v>
      </c>
      <c r="D26" s="2" t="s">
        <v>72</v>
      </c>
      <c r="E26">
        <v>4</v>
      </c>
      <c r="F26" s="2" t="s">
        <v>115</v>
      </c>
      <c r="G26" s="2" t="s">
        <v>83</v>
      </c>
      <c r="H26" s="2">
        <v>9</v>
      </c>
      <c r="I26" s="2">
        <v>103</v>
      </c>
      <c r="J26" s="2" t="s">
        <v>925</v>
      </c>
      <c r="L26" s="2" t="s">
        <v>71</v>
      </c>
    </row>
    <row r="27" spans="1:12" ht="267.75">
      <c r="A27">
        <v>222</v>
      </c>
      <c r="B27" s="2" t="s">
        <v>20</v>
      </c>
      <c r="C27" s="2" t="s">
        <v>21</v>
      </c>
      <c r="D27" s="2" t="s">
        <v>72</v>
      </c>
      <c r="E27">
        <v>6</v>
      </c>
      <c r="F27" s="2" t="s">
        <v>117</v>
      </c>
      <c r="G27" s="2" t="s">
        <v>108</v>
      </c>
      <c r="H27" s="2">
        <v>-21</v>
      </c>
      <c r="I27" s="2">
        <v>79</v>
      </c>
      <c r="J27" s="2" t="s">
        <v>118</v>
      </c>
      <c r="L27" s="2" t="s">
        <v>71</v>
      </c>
    </row>
    <row r="28" spans="1:12" ht="357">
      <c r="A28">
        <v>259</v>
      </c>
      <c r="B28" s="2" t="s">
        <v>20</v>
      </c>
      <c r="C28" s="2" t="s">
        <v>50</v>
      </c>
      <c r="D28" s="2" t="s">
        <v>72</v>
      </c>
      <c r="E28">
        <v>2</v>
      </c>
      <c r="F28" s="2" t="s">
        <v>119</v>
      </c>
      <c r="G28" s="2" t="s">
        <v>86</v>
      </c>
      <c r="H28" s="2">
        <v>16</v>
      </c>
      <c r="I28" s="2">
        <v>90</v>
      </c>
      <c r="J28" s="2" t="s">
        <v>986</v>
      </c>
      <c r="L28" s="2" t="s">
        <v>71</v>
      </c>
    </row>
    <row r="29" spans="1:12" ht="51">
      <c r="A29">
        <v>279</v>
      </c>
      <c r="B29" s="2" t="s">
        <v>20</v>
      </c>
      <c r="C29" s="2" t="s">
        <v>43</v>
      </c>
      <c r="D29" s="2" t="s">
        <v>72</v>
      </c>
      <c r="E29">
        <v>0</v>
      </c>
      <c r="F29" s="2" t="s">
        <v>56</v>
      </c>
      <c r="G29" s="2" t="s">
        <v>116</v>
      </c>
      <c r="H29" s="2">
        <v>-5</v>
      </c>
      <c r="I29" s="2">
        <v>45</v>
      </c>
      <c r="L29" s="2" t="s">
        <v>71</v>
      </c>
    </row>
    <row r="30" spans="1:12" ht="331.5">
      <c r="A30">
        <v>286</v>
      </c>
      <c r="B30" s="2" t="s">
        <v>20</v>
      </c>
      <c r="C30" s="2" t="s">
        <v>113</v>
      </c>
      <c r="D30" s="2" t="s">
        <v>72</v>
      </c>
      <c r="E30">
        <v>6</v>
      </c>
      <c r="F30" s="2" t="s">
        <v>120</v>
      </c>
      <c r="G30" s="2" t="s">
        <v>83</v>
      </c>
      <c r="H30" s="2">
        <v>9</v>
      </c>
      <c r="I30" s="2">
        <v>74</v>
      </c>
      <c r="J30" s="2" t="s">
        <v>987</v>
      </c>
      <c r="L30" s="2" t="s">
        <v>71</v>
      </c>
    </row>
    <row r="31" spans="1:12" ht="216.75">
      <c r="A31">
        <v>287</v>
      </c>
      <c r="B31" s="2" t="s">
        <v>20</v>
      </c>
      <c r="C31" s="2" t="s">
        <v>21</v>
      </c>
      <c r="D31" s="2" t="s">
        <v>72</v>
      </c>
      <c r="E31">
        <v>0</v>
      </c>
      <c r="F31" s="2" t="s">
        <v>57</v>
      </c>
      <c r="G31" s="2" t="s">
        <v>907</v>
      </c>
      <c r="H31" s="2">
        <v>2</v>
      </c>
      <c r="I31" s="2">
        <v>68</v>
      </c>
      <c r="J31" s="2" t="s">
        <v>926</v>
      </c>
      <c r="L31" s="2" t="s">
        <v>71</v>
      </c>
    </row>
    <row r="32" spans="1:12" ht="89.25">
      <c r="A32">
        <v>311</v>
      </c>
      <c r="B32" s="2" t="s">
        <v>20</v>
      </c>
      <c r="C32" s="2" t="s">
        <v>50</v>
      </c>
      <c r="D32" s="2" t="s">
        <v>72</v>
      </c>
      <c r="E32">
        <v>4</v>
      </c>
      <c r="F32" s="2" t="s">
        <v>67</v>
      </c>
      <c r="G32" s="2" t="s">
        <v>918</v>
      </c>
      <c r="H32" s="2">
        <v>10</v>
      </c>
      <c r="I32" s="2">
        <v>32</v>
      </c>
      <c r="J32" s="2" t="s">
        <v>919</v>
      </c>
      <c r="L32" s="2" t="s">
        <v>71</v>
      </c>
    </row>
    <row r="33" spans="1:12" ht="204">
      <c r="A33">
        <v>329</v>
      </c>
      <c r="B33" s="2" t="s">
        <v>20</v>
      </c>
      <c r="C33" s="2" t="s">
        <v>50</v>
      </c>
      <c r="D33" s="2" t="s">
        <v>72</v>
      </c>
      <c r="E33">
        <v>6</v>
      </c>
      <c r="F33" s="2" t="s">
        <v>909</v>
      </c>
      <c r="G33" s="2" t="s">
        <v>116</v>
      </c>
      <c r="H33" s="2">
        <v>-5</v>
      </c>
      <c r="I33" s="2">
        <v>30</v>
      </c>
      <c r="J33" s="2" t="s">
        <v>988</v>
      </c>
      <c r="L33" s="2" t="s">
        <v>71</v>
      </c>
    </row>
    <row r="34" spans="1:12" ht="409.5">
      <c r="A34">
        <v>139</v>
      </c>
      <c r="B34" s="2" t="s">
        <v>121</v>
      </c>
      <c r="C34" s="2" t="s">
        <v>122</v>
      </c>
      <c r="D34" s="2" t="s">
        <v>72</v>
      </c>
      <c r="E34">
        <v>6</v>
      </c>
      <c r="F34" s="2" t="s">
        <v>123</v>
      </c>
      <c r="G34" s="2" t="s">
        <v>124</v>
      </c>
      <c r="H34" s="2">
        <v>86</v>
      </c>
      <c r="I34" s="2">
        <v>138</v>
      </c>
      <c r="J34" s="2" t="s">
        <v>927</v>
      </c>
      <c r="L34" s="2" t="s">
        <v>71</v>
      </c>
    </row>
    <row r="35" spans="1:12" ht="409.5">
      <c r="A35">
        <v>242</v>
      </c>
      <c r="B35" s="2" t="s">
        <v>121</v>
      </c>
      <c r="C35" s="2" t="s">
        <v>928</v>
      </c>
      <c r="D35" s="2" t="s">
        <v>72</v>
      </c>
      <c r="E35">
        <v>6</v>
      </c>
      <c r="F35" s="2" t="s">
        <v>125</v>
      </c>
      <c r="G35" s="2" t="s">
        <v>83</v>
      </c>
      <c r="H35" s="2">
        <v>9</v>
      </c>
      <c r="I35" s="2">
        <v>85</v>
      </c>
      <c r="J35" s="2" t="s">
        <v>929</v>
      </c>
      <c r="K35" s="2" t="s">
        <v>930</v>
      </c>
      <c r="L35" s="2" t="s">
        <v>71</v>
      </c>
    </row>
    <row r="36" spans="1:12" ht="409.5">
      <c r="A36">
        <v>336</v>
      </c>
      <c r="B36" s="2" t="s">
        <v>121</v>
      </c>
      <c r="C36" s="2" t="s">
        <v>628</v>
      </c>
      <c r="D36" s="2" t="s">
        <v>72</v>
      </c>
      <c r="E36">
        <v>6</v>
      </c>
      <c r="F36" s="2" t="s">
        <v>989</v>
      </c>
      <c r="G36" s="2" t="s">
        <v>982</v>
      </c>
      <c r="H36" s="2">
        <v>4</v>
      </c>
      <c r="I36" s="2">
        <v>25</v>
      </c>
      <c r="J36" s="2" t="s">
        <v>990</v>
      </c>
      <c r="L36" s="2" t="s">
        <v>71</v>
      </c>
    </row>
    <row r="37" spans="1:12" ht="267.75">
      <c r="A37">
        <v>47</v>
      </c>
      <c r="B37" s="2" t="s">
        <v>42</v>
      </c>
      <c r="C37" s="2" t="s">
        <v>58</v>
      </c>
      <c r="D37" s="2" t="s">
        <v>72</v>
      </c>
      <c r="E37">
        <v>6</v>
      </c>
      <c r="F37" s="2" t="s">
        <v>59</v>
      </c>
      <c r="G37" s="2" t="s">
        <v>83</v>
      </c>
      <c r="H37" s="2">
        <v>9</v>
      </c>
      <c r="I37" s="2">
        <v>249</v>
      </c>
      <c r="J37" s="2" t="s">
        <v>910</v>
      </c>
      <c r="L37" s="2" t="s">
        <v>71</v>
      </c>
    </row>
    <row r="38" spans="1:12" ht="127.5">
      <c r="A38">
        <v>109</v>
      </c>
      <c r="B38" s="2" t="s">
        <v>42</v>
      </c>
      <c r="C38" s="2" t="s">
        <v>58</v>
      </c>
      <c r="D38" s="2" t="s">
        <v>72</v>
      </c>
      <c r="E38">
        <v>6</v>
      </c>
      <c r="F38" s="2" t="s">
        <v>60</v>
      </c>
      <c r="G38" s="2" t="s">
        <v>83</v>
      </c>
      <c r="H38" s="2">
        <v>9</v>
      </c>
      <c r="I38" s="2">
        <v>145</v>
      </c>
      <c r="J38" s="2" t="s">
        <v>126</v>
      </c>
      <c r="L38" s="2" t="s">
        <v>71</v>
      </c>
    </row>
    <row r="39" spans="1:12" ht="140.25">
      <c r="A39">
        <v>142</v>
      </c>
      <c r="B39" s="2" t="s">
        <v>42</v>
      </c>
      <c r="C39" s="2" t="s">
        <v>58</v>
      </c>
      <c r="D39" s="2" t="s">
        <v>72</v>
      </c>
      <c r="E39">
        <v>6</v>
      </c>
      <c r="F39" s="2" t="s">
        <v>61</v>
      </c>
      <c r="G39" s="2" t="s">
        <v>83</v>
      </c>
      <c r="H39" s="2">
        <v>9</v>
      </c>
      <c r="I39" s="2">
        <v>123</v>
      </c>
      <c r="J39" s="2" t="s">
        <v>127</v>
      </c>
      <c r="L39" s="2" t="s">
        <v>71</v>
      </c>
    </row>
    <row r="40" spans="1:12" ht="51">
      <c r="A40">
        <v>318</v>
      </c>
      <c r="B40" s="2" t="s">
        <v>42</v>
      </c>
      <c r="C40" s="2" t="s">
        <v>58</v>
      </c>
      <c r="D40" s="2" t="s">
        <v>72</v>
      </c>
      <c r="E40">
        <v>6</v>
      </c>
      <c r="F40" s="2" t="s">
        <v>128</v>
      </c>
      <c r="G40" s="2" t="s">
        <v>116</v>
      </c>
      <c r="H40" s="2">
        <v>-5</v>
      </c>
      <c r="I40" s="2">
        <v>18</v>
      </c>
      <c r="L40" s="2" t="s">
        <v>71</v>
      </c>
    </row>
  </sheetData>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dimension ref="A1:L22"/>
  <sheetViews>
    <sheetView topLeftCell="A9" workbookViewId="0">
      <selection activeCell="A9" sqref="A2:L22"/>
    </sheetView>
  </sheetViews>
  <sheetFormatPr defaultRowHeight="12.75"/>
  <cols>
    <col min="1" max="1" width="5" customWidth="1"/>
    <col min="2" max="2" width="14" style="2" customWidth="1"/>
    <col min="3" max="3" width="13.5703125" customWidth="1"/>
    <col min="4" max="4" width="10" style="2" customWidth="1"/>
    <col min="5" max="5" width="10.7109375" customWidth="1"/>
    <col min="6" max="6" width="26.85546875" style="2" customWidth="1"/>
    <col min="7" max="7" width="22" style="2" customWidth="1"/>
    <col min="8" max="8" width="13.42578125" style="2" customWidth="1"/>
    <col min="9" max="9" width="12.85546875" style="2" customWidth="1"/>
    <col min="10" max="10" width="49.5703125" style="2" customWidth="1"/>
    <col min="11" max="11" width="14.7109375" style="2" customWidth="1"/>
    <col min="12" max="12" width="30.42578125" style="2" customWidth="1"/>
  </cols>
  <sheetData>
    <row r="1" spans="1:12">
      <c r="A1" s="1" t="s">
        <v>0</v>
      </c>
      <c r="B1" s="3" t="s">
        <v>1</v>
      </c>
      <c r="C1" s="1" t="s">
        <v>10</v>
      </c>
      <c r="D1" s="3" t="s">
        <v>3</v>
      </c>
      <c r="E1" s="1" t="s">
        <v>11</v>
      </c>
      <c r="F1" s="3" t="s">
        <v>5</v>
      </c>
      <c r="G1" s="3" t="s">
        <v>12</v>
      </c>
      <c r="H1" s="3" t="s">
        <v>6</v>
      </c>
      <c r="I1" s="3" t="s">
        <v>7</v>
      </c>
      <c r="J1" s="3" t="s">
        <v>8</v>
      </c>
      <c r="K1" s="3" t="s">
        <v>9</v>
      </c>
      <c r="L1" s="3" t="s">
        <v>39</v>
      </c>
    </row>
    <row r="2" spans="1:12" ht="409.5">
      <c r="A2">
        <v>18</v>
      </c>
      <c r="B2" s="2" t="s">
        <v>17</v>
      </c>
      <c r="C2" t="s">
        <v>18</v>
      </c>
      <c r="D2" s="2" t="s">
        <v>72</v>
      </c>
      <c r="E2" t="s">
        <v>129</v>
      </c>
      <c r="F2" s="2" t="s">
        <v>22</v>
      </c>
      <c r="G2" s="2" t="s">
        <v>991</v>
      </c>
      <c r="H2" s="2">
        <v>20</v>
      </c>
      <c r="I2" s="2">
        <v>206</v>
      </c>
      <c r="J2" s="2" t="s">
        <v>992</v>
      </c>
      <c r="L2" s="2" t="s">
        <v>130</v>
      </c>
    </row>
    <row r="3" spans="1:12" ht="216.75">
      <c r="A3">
        <v>98</v>
      </c>
      <c r="B3" s="2" t="s">
        <v>80</v>
      </c>
      <c r="C3" t="s">
        <v>81</v>
      </c>
      <c r="D3" s="2" t="s">
        <v>72</v>
      </c>
      <c r="E3" t="s">
        <v>131</v>
      </c>
      <c r="F3" s="2" t="s">
        <v>132</v>
      </c>
      <c r="G3" s="2" t="s">
        <v>907</v>
      </c>
      <c r="H3" s="2">
        <v>2</v>
      </c>
      <c r="I3" s="2">
        <v>141</v>
      </c>
      <c r="J3" s="2" t="s">
        <v>955</v>
      </c>
      <c r="L3" s="2" t="s">
        <v>130</v>
      </c>
    </row>
    <row r="4" spans="1:12" ht="89.25">
      <c r="A4">
        <v>190</v>
      </c>
      <c r="B4" s="2" t="s">
        <v>19</v>
      </c>
      <c r="C4" t="s">
        <v>88</v>
      </c>
      <c r="D4" s="2" t="s">
        <v>72</v>
      </c>
      <c r="E4" t="s">
        <v>129</v>
      </c>
      <c r="F4" s="2" t="s">
        <v>912</v>
      </c>
      <c r="G4" s="2" t="s">
        <v>378</v>
      </c>
      <c r="H4" s="2">
        <v>-82</v>
      </c>
      <c r="I4" s="2">
        <v>137</v>
      </c>
      <c r="J4" s="2" t="s">
        <v>956</v>
      </c>
      <c r="L4" s="2" t="s">
        <v>130</v>
      </c>
    </row>
    <row r="5" spans="1:12" ht="409.5">
      <c r="A5">
        <v>26</v>
      </c>
      <c r="B5" s="2" t="s">
        <v>49</v>
      </c>
      <c r="C5" t="s">
        <v>62</v>
      </c>
      <c r="D5" s="2" t="s">
        <v>72</v>
      </c>
      <c r="E5" t="s">
        <v>129</v>
      </c>
      <c r="F5" s="2" t="s">
        <v>134</v>
      </c>
      <c r="G5" s="2" t="s">
        <v>920</v>
      </c>
      <c r="H5" s="2">
        <v>28</v>
      </c>
      <c r="I5" s="2">
        <v>301</v>
      </c>
      <c r="J5" s="2" t="s">
        <v>921</v>
      </c>
      <c r="L5" s="2" t="s">
        <v>130</v>
      </c>
    </row>
    <row r="6" spans="1:12" ht="344.25">
      <c r="A6">
        <v>116</v>
      </c>
      <c r="B6" s="2" t="s">
        <v>49</v>
      </c>
      <c r="C6" t="s">
        <v>135</v>
      </c>
      <c r="D6" s="2" t="s">
        <v>72</v>
      </c>
      <c r="E6" t="s">
        <v>129</v>
      </c>
      <c r="F6" s="2" t="s">
        <v>136</v>
      </c>
      <c r="G6" s="2" t="s">
        <v>957</v>
      </c>
      <c r="H6" s="2">
        <v>21</v>
      </c>
      <c r="I6" s="2">
        <v>118</v>
      </c>
      <c r="J6" s="2" t="s">
        <v>958</v>
      </c>
      <c r="L6" s="2" t="s">
        <v>130</v>
      </c>
    </row>
    <row r="7" spans="1:12" ht="369.75">
      <c r="A7">
        <v>150</v>
      </c>
      <c r="B7" s="2" t="s">
        <v>49</v>
      </c>
      <c r="C7" t="s">
        <v>50</v>
      </c>
      <c r="D7" s="2" t="s">
        <v>72</v>
      </c>
      <c r="E7" t="s">
        <v>129</v>
      </c>
      <c r="F7" s="2" t="s">
        <v>63</v>
      </c>
      <c r="G7" s="2" t="s">
        <v>83</v>
      </c>
      <c r="H7" s="2">
        <v>9</v>
      </c>
      <c r="I7" s="2">
        <v>77</v>
      </c>
      <c r="J7" s="2" t="s">
        <v>993</v>
      </c>
      <c r="L7" s="2" t="s">
        <v>130</v>
      </c>
    </row>
    <row r="8" spans="1:12" ht="409.5">
      <c r="A8">
        <v>33</v>
      </c>
      <c r="B8" s="2" t="s">
        <v>20</v>
      </c>
      <c r="C8" t="s">
        <v>50</v>
      </c>
      <c r="D8" s="2" t="s">
        <v>79</v>
      </c>
      <c r="E8" t="s">
        <v>129</v>
      </c>
      <c r="F8" s="2" t="s">
        <v>137</v>
      </c>
      <c r="G8" s="2" t="s">
        <v>83</v>
      </c>
      <c r="H8" s="2">
        <v>9</v>
      </c>
      <c r="I8" s="2">
        <v>443</v>
      </c>
      <c r="J8" s="2" t="s">
        <v>959</v>
      </c>
      <c r="L8" s="2" t="s">
        <v>130</v>
      </c>
    </row>
    <row r="9" spans="1:12" ht="306">
      <c r="A9">
        <v>75</v>
      </c>
      <c r="B9" s="2" t="s">
        <v>20</v>
      </c>
      <c r="C9" t="s">
        <v>21</v>
      </c>
      <c r="D9" s="2" t="s">
        <v>915</v>
      </c>
      <c r="E9" t="s">
        <v>129</v>
      </c>
      <c r="F9" s="2" t="s">
        <v>64</v>
      </c>
      <c r="G9" s="2" t="s">
        <v>108</v>
      </c>
      <c r="H9" s="2">
        <v>-21</v>
      </c>
      <c r="I9" s="2">
        <v>171</v>
      </c>
      <c r="J9" s="2" t="s">
        <v>960</v>
      </c>
      <c r="L9" s="2" t="s">
        <v>130</v>
      </c>
    </row>
    <row r="10" spans="1:12" ht="357">
      <c r="A10">
        <v>84</v>
      </c>
      <c r="B10" s="2" t="s">
        <v>20</v>
      </c>
      <c r="C10" t="s">
        <v>58</v>
      </c>
      <c r="D10" s="2" t="s">
        <v>72</v>
      </c>
      <c r="E10" t="s">
        <v>131</v>
      </c>
      <c r="F10" s="2" t="s">
        <v>913</v>
      </c>
      <c r="G10" s="2" t="s">
        <v>83</v>
      </c>
      <c r="H10" s="2">
        <v>9</v>
      </c>
      <c r="I10" s="2">
        <v>145</v>
      </c>
      <c r="J10" s="2" t="s">
        <v>931</v>
      </c>
      <c r="L10" s="2" t="s">
        <v>130</v>
      </c>
    </row>
    <row r="11" spans="1:12" ht="382.5">
      <c r="A11">
        <v>96</v>
      </c>
      <c r="B11" s="2" t="s">
        <v>20</v>
      </c>
      <c r="C11" t="s">
        <v>113</v>
      </c>
      <c r="D11" s="2" t="s">
        <v>72</v>
      </c>
      <c r="E11" t="s">
        <v>140</v>
      </c>
      <c r="F11" s="2" t="s">
        <v>141</v>
      </c>
      <c r="G11" s="2" t="s">
        <v>83</v>
      </c>
      <c r="H11" s="2">
        <v>9</v>
      </c>
      <c r="I11" s="2">
        <v>132</v>
      </c>
      <c r="J11" s="2" t="s">
        <v>932</v>
      </c>
      <c r="L11" s="2" t="s">
        <v>130</v>
      </c>
    </row>
    <row r="12" spans="1:12" ht="293.25">
      <c r="A12">
        <v>118</v>
      </c>
      <c r="B12" s="2" t="s">
        <v>20</v>
      </c>
      <c r="C12" t="s">
        <v>105</v>
      </c>
      <c r="D12" s="2" t="s">
        <v>72</v>
      </c>
      <c r="E12" t="s">
        <v>131</v>
      </c>
      <c r="F12" s="2" t="s">
        <v>65</v>
      </c>
      <c r="G12" s="2" t="s">
        <v>116</v>
      </c>
      <c r="H12" s="2">
        <v>-5</v>
      </c>
      <c r="I12" s="2">
        <v>100</v>
      </c>
      <c r="J12" s="2" t="s">
        <v>914</v>
      </c>
      <c r="L12" s="2" t="s">
        <v>130</v>
      </c>
    </row>
    <row r="13" spans="1:12" ht="242.25">
      <c r="A13">
        <v>154</v>
      </c>
      <c r="B13" s="2" t="s">
        <v>20</v>
      </c>
      <c r="C13" t="s">
        <v>21</v>
      </c>
      <c r="D13" s="2" t="s">
        <v>72</v>
      </c>
      <c r="E13" t="s">
        <v>129</v>
      </c>
      <c r="F13" s="2" t="s">
        <v>142</v>
      </c>
      <c r="G13" s="2" t="s">
        <v>83</v>
      </c>
      <c r="H13" s="2">
        <v>9</v>
      </c>
      <c r="I13" s="2">
        <v>126</v>
      </c>
      <c r="J13" s="2" t="s">
        <v>961</v>
      </c>
      <c r="L13" s="2" t="s">
        <v>130</v>
      </c>
    </row>
    <row r="14" spans="1:12" ht="76.5">
      <c r="A14">
        <v>182</v>
      </c>
      <c r="B14" s="2" t="s">
        <v>20</v>
      </c>
      <c r="C14" t="s">
        <v>21</v>
      </c>
      <c r="D14" s="2" t="s">
        <v>72</v>
      </c>
      <c r="E14" t="s">
        <v>131</v>
      </c>
      <c r="F14" s="2" t="s">
        <v>143</v>
      </c>
      <c r="G14" s="2" t="s">
        <v>108</v>
      </c>
      <c r="H14" s="2">
        <v>-21</v>
      </c>
      <c r="I14" s="2">
        <v>0</v>
      </c>
      <c r="L14" s="2" t="s">
        <v>130</v>
      </c>
    </row>
    <row r="15" spans="1:12" ht="127.5">
      <c r="A15">
        <v>187</v>
      </c>
      <c r="B15" s="2" t="s">
        <v>20</v>
      </c>
      <c r="C15" t="s">
        <v>210</v>
      </c>
      <c r="D15" s="2" t="s">
        <v>72</v>
      </c>
      <c r="E15" t="s">
        <v>140</v>
      </c>
      <c r="F15" s="2" t="s">
        <v>911</v>
      </c>
      <c r="G15" s="2" t="s">
        <v>116</v>
      </c>
      <c r="H15" s="2">
        <v>-5</v>
      </c>
      <c r="I15" s="2">
        <v>26</v>
      </c>
      <c r="J15" s="2" t="s">
        <v>962</v>
      </c>
      <c r="L15" s="2" t="s">
        <v>130</v>
      </c>
    </row>
    <row r="16" spans="1:12" ht="63.75">
      <c r="A16">
        <v>193</v>
      </c>
      <c r="B16" s="2" t="s">
        <v>20</v>
      </c>
      <c r="C16" t="s">
        <v>21</v>
      </c>
      <c r="D16" s="2" t="s">
        <v>72</v>
      </c>
      <c r="E16" t="s">
        <v>129</v>
      </c>
      <c r="F16" s="2" t="s">
        <v>933</v>
      </c>
      <c r="G16" s="2" t="s">
        <v>83</v>
      </c>
      <c r="H16" s="2">
        <v>9</v>
      </c>
      <c r="I16" s="2">
        <v>8</v>
      </c>
      <c r="J16" s="2" t="s">
        <v>963</v>
      </c>
      <c r="L16" s="2" t="s">
        <v>130</v>
      </c>
    </row>
    <row r="17" spans="1:12" ht="38.25">
      <c r="A17">
        <v>194</v>
      </c>
      <c r="B17" s="2" t="s">
        <v>20</v>
      </c>
      <c r="C17" t="s">
        <v>50</v>
      </c>
      <c r="D17" s="2" t="s">
        <v>72</v>
      </c>
      <c r="E17" t="s">
        <v>129</v>
      </c>
      <c r="F17" s="2" t="s">
        <v>934</v>
      </c>
      <c r="G17" s="2" t="s">
        <v>86</v>
      </c>
      <c r="H17" s="2">
        <v>16</v>
      </c>
      <c r="I17" s="2">
        <v>0</v>
      </c>
      <c r="L17" s="2" t="s">
        <v>130</v>
      </c>
    </row>
    <row r="18" spans="1:12" ht="38.25">
      <c r="A18">
        <v>199</v>
      </c>
      <c r="B18" s="2" t="s">
        <v>20</v>
      </c>
      <c r="C18" t="s">
        <v>964</v>
      </c>
      <c r="D18" s="2" t="s">
        <v>72</v>
      </c>
      <c r="E18" t="s">
        <v>131</v>
      </c>
      <c r="F18" s="2" t="s">
        <v>965</v>
      </c>
      <c r="G18" s="2" t="s">
        <v>907</v>
      </c>
      <c r="H18" s="2">
        <v>2</v>
      </c>
      <c r="I18" s="2">
        <v>8</v>
      </c>
      <c r="L18" s="2" t="s">
        <v>130</v>
      </c>
    </row>
    <row r="19" spans="1:12" ht="408">
      <c r="A19">
        <v>37</v>
      </c>
      <c r="B19" s="2" t="s">
        <v>121</v>
      </c>
      <c r="C19" t="s">
        <v>58</v>
      </c>
      <c r="D19" s="2" t="s">
        <v>72</v>
      </c>
      <c r="E19" t="s">
        <v>133</v>
      </c>
      <c r="F19" s="2" t="s">
        <v>144</v>
      </c>
      <c r="G19" s="2" t="s">
        <v>86</v>
      </c>
      <c r="H19" s="2">
        <v>16</v>
      </c>
      <c r="I19" s="2">
        <v>317</v>
      </c>
      <c r="J19" s="2" t="s">
        <v>145</v>
      </c>
      <c r="L19" s="2" t="s">
        <v>130</v>
      </c>
    </row>
    <row r="20" spans="1:12" ht="51">
      <c r="A20">
        <v>202</v>
      </c>
      <c r="B20" s="2" t="s">
        <v>121</v>
      </c>
      <c r="C20" t="s">
        <v>360</v>
      </c>
      <c r="D20" s="2" t="s">
        <v>72</v>
      </c>
      <c r="E20" t="s">
        <v>131</v>
      </c>
      <c r="F20" s="2" t="s">
        <v>994</v>
      </c>
      <c r="G20" s="2" t="s">
        <v>979</v>
      </c>
      <c r="H20" s="2">
        <v>22</v>
      </c>
      <c r="I20" s="2">
        <v>1</v>
      </c>
      <c r="J20" s="2" t="s">
        <v>995</v>
      </c>
      <c r="L20" s="2" t="s">
        <v>130</v>
      </c>
    </row>
    <row r="21" spans="1:12" ht="204">
      <c r="A21">
        <v>24</v>
      </c>
      <c r="B21" s="2" t="s">
        <v>42</v>
      </c>
      <c r="C21" t="s">
        <v>58</v>
      </c>
      <c r="D21" s="2" t="s">
        <v>72</v>
      </c>
      <c r="E21" t="s">
        <v>133</v>
      </c>
      <c r="F21" s="2" t="s">
        <v>146</v>
      </c>
      <c r="G21" s="2" t="s">
        <v>935</v>
      </c>
      <c r="H21" s="2">
        <v>71</v>
      </c>
      <c r="I21" s="2">
        <v>269</v>
      </c>
      <c r="J21" s="2" t="s">
        <v>936</v>
      </c>
      <c r="L21" s="2" t="s">
        <v>130</v>
      </c>
    </row>
    <row r="22" spans="1:12" ht="409.5">
      <c r="A22">
        <v>71</v>
      </c>
      <c r="B22" s="2" t="s">
        <v>42</v>
      </c>
      <c r="C22" t="s">
        <v>58</v>
      </c>
      <c r="D22" s="2" t="s">
        <v>72</v>
      </c>
      <c r="E22" t="s">
        <v>129</v>
      </c>
      <c r="F22" s="2" t="s">
        <v>937</v>
      </c>
      <c r="G22" s="2" t="s">
        <v>83</v>
      </c>
      <c r="H22" s="2">
        <v>9</v>
      </c>
      <c r="I22" s="2">
        <v>163</v>
      </c>
      <c r="J22" s="2" t="s">
        <v>938</v>
      </c>
      <c r="L22" s="2" t="s">
        <v>130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M98"/>
  <sheetViews>
    <sheetView workbookViewId="0">
      <selection activeCell="H5" sqref="H5"/>
    </sheetView>
  </sheetViews>
  <sheetFormatPr defaultRowHeight="12.75"/>
  <cols>
    <col min="1" max="1" width="5" style="2" customWidth="1"/>
    <col min="2" max="2" width="14" style="2" customWidth="1"/>
    <col min="3" max="3" width="13.5703125" style="2" customWidth="1"/>
    <col min="4" max="4" width="9.140625" style="2" customWidth="1"/>
    <col min="5" max="5" width="8.7109375" style="2" customWidth="1"/>
    <col min="6" max="6" width="16" style="2" customWidth="1"/>
    <col min="7" max="7" width="14.5703125" style="2" customWidth="1"/>
    <col min="8" max="8" width="17" style="2" customWidth="1"/>
    <col min="9" max="9" width="13.42578125" style="2" customWidth="1"/>
    <col min="10" max="10" width="12.85546875" style="2" customWidth="1"/>
    <col min="11" max="11" width="34.140625" style="2" customWidth="1"/>
    <col min="12" max="13" width="29.5703125" style="2" customWidth="1"/>
  </cols>
  <sheetData>
    <row r="1" spans="1:13">
      <c r="A1" s="3" t="s">
        <v>0</v>
      </c>
      <c r="B1" s="3" t="s">
        <v>1</v>
      </c>
      <c r="C1" s="3" t="s">
        <v>10</v>
      </c>
      <c r="D1" s="3" t="s">
        <v>3</v>
      </c>
      <c r="E1" s="3" t="s">
        <v>31</v>
      </c>
      <c r="F1" s="3" t="s">
        <v>5</v>
      </c>
      <c r="G1" s="3" t="s">
        <v>13</v>
      </c>
      <c r="H1" s="3" t="s">
        <v>14</v>
      </c>
      <c r="I1" s="3" t="s">
        <v>6</v>
      </c>
      <c r="J1" s="3" t="s">
        <v>7</v>
      </c>
      <c r="K1" s="3" t="s">
        <v>8</v>
      </c>
      <c r="L1" s="3" t="s">
        <v>9</v>
      </c>
      <c r="M1" s="3" t="s">
        <v>39</v>
      </c>
    </row>
    <row r="2" spans="1:13" ht="178.5">
      <c r="A2" s="2">
        <v>218</v>
      </c>
      <c r="B2" s="2" t="s">
        <v>147</v>
      </c>
      <c r="C2" s="2" t="s">
        <v>148</v>
      </c>
      <c r="D2" s="2" t="s">
        <v>72</v>
      </c>
      <c r="E2" s="2" t="s">
        <v>149</v>
      </c>
      <c r="F2" s="2" t="s">
        <v>150</v>
      </c>
      <c r="G2" s="2" t="s">
        <v>148</v>
      </c>
      <c r="H2" s="2" t="s">
        <v>151</v>
      </c>
      <c r="I2" s="2">
        <v>0</v>
      </c>
      <c r="J2" s="2">
        <v>0</v>
      </c>
      <c r="K2" s="2" t="s">
        <v>152</v>
      </c>
      <c r="M2" s="2" t="s">
        <v>153</v>
      </c>
    </row>
    <row r="3" spans="1:13" ht="76.5">
      <c r="A3" s="2">
        <v>219</v>
      </c>
      <c r="B3" s="2" t="s">
        <v>147</v>
      </c>
      <c r="C3" s="2" t="s">
        <v>148</v>
      </c>
      <c r="D3" s="2" t="s">
        <v>72</v>
      </c>
      <c r="E3" s="2" t="s">
        <v>149</v>
      </c>
      <c r="F3" s="2" t="s">
        <v>154</v>
      </c>
      <c r="G3" s="2" t="s">
        <v>148</v>
      </c>
      <c r="H3" s="2" t="s">
        <v>151</v>
      </c>
      <c r="I3" s="2">
        <v>0</v>
      </c>
      <c r="J3" s="2">
        <v>0</v>
      </c>
      <c r="K3" s="2" t="s">
        <v>155</v>
      </c>
      <c r="M3" s="2" t="s">
        <v>153</v>
      </c>
    </row>
    <row r="4" spans="1:13" ht="51">
      <c r="A4" s="2">
        <v>93</v>
      </c>
      <c r="B4" s="2" t="s">
        <v>68</v>
      </c>
      <c r="C4" s="2" t="s">
        <v>156</v>
      </c>
      <c r="D4" s="2" t="s">
        <v>72</v>
      </c>
      <c r="E4" s="2" t="s">
        <v>149</v>
      </c>
      <c r="F4" s="2" t="s">
        <v>157</v>
      </c>
      <c r="G4" s="2" t="s">
        <v>156</v>
      </c>
      <c r="H4" s="2" t="s">
        <v>158</v>
      </c>
      <c r="I4" s="2">
        <v>0</v>
      </c>
      <c r="J4" s="2">
        <v>0</v>
      </c>
      <c r="M4" s="2" t="s">
        <v>153</v>
      </c>
    </row>
    <row r="5" spans="1:13" ht="51">
      <c r="A5" s="2">
        <v>94</v>
      </c>
      <c r="B5" s="2" t="s">
        <v>68</v>
      </c>
      <c r="C5" s="2" t="s">
        <v>156</v>
      </c>
      <c r="D5" s="2" t="s">
        <v>72</v>
      </c>
      <c r="E5" s="2" t="s">
        <v>149</v>
      </c>
      <c r="F5" s="2" t="s">
        <v>159</v>
      </c>
      <c r="G5" s="2" t="s">
        <v>156</v>
      </c>
      <c r="H5" s="2" t="s">
        <v>158</v>
      </c>
      <c r="I5" s="2">
        <v>0</v>
      </c>
      <c r="J5" s="2">
        <v>0</v>
      </c>
      <c r="M5" s="2" t="s">
        <v>153</v>
      </c>
    </row>
    <row r="6" spans="1:13" ht="63.75">
      <c r="A6" s="2">
        <v>95</v>
      </c>
      <c r="B6" s="2" t="s">
        <v>68</v>
      </c>
      <c r="C6" s="2" t="s">
        <v>156</v>
      </c>
      <c r="D6" s="2" t="s">
        <v>72</v>
      </c>
      <c r="E6" s="2" t="s">
        <v>149</v>
      </c>
      <c r="F6" s="2" t="s">
        <v>160</v>
      </c>
      <c r="G6" s="2" t="s">
        <v>156</v>
      </c>
      <c r="H6" s="2" t="s">
        <v>158</v>
      </c>
      <c r="I6" s="2">
        <v>0</v>
      </c>
      <c r="J6" s="2">
        <v>0</v>
      </c>
      <c r="K6" s="2" t="s">
        <v>161</v>
      </c>
      <c r="L6" s="2" t="s">
        <v>162</v>
      </c>
      <c r="M6" s="2" t="s">
        <v>153</v>
      </c>
    </row>
    <row r="7" spans="1:13" ht="51">
      <c r="A7" s="2">
        <v>96</v>
      </c>
      <c r="B7" s="2" t="s">
        <v>68</v>
      </c>
      <c r="C7" s="2" t="s">
        <v>156</v>
      </c>
      <c r="D7" s="2" t="s">
        <v>72</v>
      </c>
      <c r="E7" s="2" t="s">
        <v>149</v>
      </c>
      <c r="F7" s="2" t="s">
        <v>163</v>
      </c>
      <c r="G7" s="2" t="s">
        <v>156</v>
      </c>
      <c r="H7" s="2" t="s">
        <v>164</v>
      </c>
      <c r="I7" s="2">
        <v>0</v>
      </c>
      <c r="J7" s="2">
        <v>0</v>
      </c>
      <c r="M7" s="2" t="s">
        <v>153</v>
      </c>
    </row>
    <row r="8" spans="1:13" ht="102">
      <c r="A8" s="2">
        <v>21</v>
      </c>
      <c r="B8" s="2" t="s">
        <v>80</v>
      </c>
      <c r="C8" s="2" t="s">
        <v>81</v>
      </c>
      <c r="D8" s="2" t="s">
        <v>72</v>
      </c>
      <c r="E8" s="2" t="s">
        <v>165</v>
      </c>
      <c r="F8" s="2" t="s">
        <v>166</v>
      </c>
      <c r="G8" s="2" t="s">
        <v>167</v>
      </c>
      <c r="H8" s="2" t="s">
        <v>168</v>
      </c>
      <c r="I8" s="2">
        <v>-20</v>
      </c>
      <c r="J8" s="2">
        <v>141</v>
      </c>
      <c r="K8" s="2" t="s">
        <v>169</v>
      </c>
      <c r="M8" s="2" t="s">
        <v>153</v>
      </c>
    </row>
    <row r="9" spans="1:13" ht="140.25">
      <c r="A9" s="2">
        <v>22</v>
      </c>
      <c r="B9" s="2" t="s">
        <v>80</v>
      </c>
      <c r="C9" s="2" t="s">
        <v>81</v>
      </c>
      <c r="D9" s="2" t="s">
        <v>72</v>
      </c>
      <c r="E9" s="2" t="s">
        <v>165</v>
      </c>
      <c r="F9" s="2" t="s">
        <v>170</v>
      </c>
      <c r="G9" s="2" t="s">
        <v>167</v>
      </c>
      <c r="H9" s="2" t="s">
        <v>168</v>
      </c>
      <c r="I9" s="2">
        <v>-20</v>
      </c>
      <c r="J9" s="2">
        <v>141</v>
      </c>
      <c r="K9" s="2" t="s">
        <v>171</v>
      </c>
      <c r="M9" s="2" t="s">
        <v>153</v>
      </c>
    </row>
    <row r="10" spans="1:13" ht="102">
      <c r="A10" s="2">
        <v>23</v>
      </c>
      <c r="B10" s="2" t="s">
        <v>80</v>
      </c>
      <c r="C10" s="2" t="s">
        <v>81</v>
      </c>
      <c r="D10" s="2" t="s">
        <v>72</v>
      </c>
      <c r="E10" s="2" t="s">
        <v>149</v>
      </c>
      <c r="F10" s="2" t="s">
        <v>172</v>
      </c>
      <c r="G10" s="2" t="s">
        <v>167</v>
      </c>
      <c r="H10" s="2" t="s">
        <v>173</v>
      </c>
      <c r="I10" s="2">
        <v>0</v>
      </c>
      <c r="J10" s="2">
        <v>0</v>
      </c>
      <c r="K10" s="2" t="s">
        <v>174</v>
      </c>
      <c r="M10" s="2" t="s">
        <v>153</v>
      </c>
    </row>
    <row r="11" spans="1:13" ht="331.5">
      <c r="A11" s="2">
        <v>10</v>
      </c>
      <c r="B11" s="2" t="s">
        <v>19</v>
      </c>
      <c r="C11" s="2" t="s">
        <v>90</v>
      </c>
      <c r="D11" s="2" t="s">
        <v>72</v>
      </c>
      <c r="E11" s="2" t="s">
        <v>149</v>
      </c>
      <c r="F11" s="2" t="s">
        <v>175</v>
      </c>
      <c r="G11" s="2" t="s">
        <v>176</v>
      </c>
      <c r="H11" s="2" t="s">
        <v>177</v>
      </c>
      <c r="I11" s="2">
        <v>0</v>
      </c>
      <c r="J11" s="2">
        <v>0</v>
      </c>
      <c r="K11" s="2" t="s">
        <v>178</v>
      </c>
      <c r="M11" s="2" t="s">
        <v>153</v>
      </c>
    </row>
    <row r="12" spans="1:13" ht="409.5">
      <c r="A12" s="2">
        <v>182</v>
      </c>
      <c r="B12" s="2" t="s">
        <v>19</v>
      </c>
      <c r="C12" s="2" t="s">
        <v>179</v>
      </c>
      <c r="D12" s="2" t="s">
        <v>72</v>
      </c>
      <c r="E12" s="2" t="s">
        <v>149</v>
      </c>
      <c r="F12" s="2" t="s">
        <v>180</v>
      </c>
      <c r="G12" s="2" t="s">
        <v>181</v>
      </c>
      <c r="H12" s="2" t="s">
        <v>182</v>
      </c>
      <c r="I12" s="2">
        <v>0</v>
      </c>
      <c r="J12" s="2">
        <v>0</v>
      </c>
      <c r="K12" s="2" t="s">
        <v>183</v>
      </c>
      <c r="M12" s="2" t="s">
        <v>153</v>
      </c>
    </row>
    <row r="13" spans="1:13" ht="76.5">
      <c r="A13" s="2">
        <v>183</v>
      </c>
      <c r="B13" s="2" t="s">
        <v>19</v>
      </c>
      <c r="C13" s="2" t="s">
        <v>184</v>
      </c>
      <c r="D13" s="2" t="s">
        <v>72</v>
      </c>
      <c r="E13" s="2" t="s">
        <v>149</v>
      </c>
      <c r="F13" s="2" t="s">
        <v>185</v>
      </c>
      <c r="G13" s="2" t="s">
        <v>186</v>
      </c>
      <c r="H13" s="2" t="s">
        <v>187</v>
      </c>
      <c r="I13" s="2">
        <v>0</v>
      </c>
      <c r="J13" s="2">
        <v>0</v>
      </c>
      <c r="K13" s="2" t="s">
        <v>188</v>
      </c>
      <c r="L13" s="2" t="s">
        <v>189</v>
      </c>
      <c r="M13" s="2" t="s">
        <v>153</v>
      </c>
    </row>
    <row r="14" spans="1:13" ht="76.5">
      <c r="A14" s="2">
        <v>187</v>
      </c>
      <c r="B14" s="2" t="s">
        <v>19</v>
      </c>
      <c r="C14" s="2" t="s">
        <v>184</v>
      </c>
      <c r="D14" s="2" t="s">
        <v>72</v>
      </c>
      <c r="E14" s="2" t="s">
        <v>149</v>
      </c>
      <c r="F14" s="2" t="s">
        <v>190</v>
      </c>
      <c r="G14" s="2" t="s">
        <v>191</v>
      </c>
      <c r="H14" s="2" t="s">
        <v>192</v>
      </c>
      <c r="I14" s="2">
        <v>0</v>
      </c>
      <c r="J14" s="2">
        <v>0</v>
      </c>
      <c r="K14" s="2" t="s">
        <v>193</v>
      </c>
      <c r="M14" s="2" t="s">
        <v>153</v>
      </c>
    </row>
    <row r="15" spans="1:13" ht="76.5">
      <c r="A15" s="2">
        <v>189</v>
      </c>
      <c r="B15" s="2" t="s">
        <v>19</v>
      </c>
      <c r="C15" s="2" t="s">
        <v>184</v>
      </c>
      <c r="D15" s="2" t="s">
        <v>72</v>
      </c>
      <c r="E15" s="2" t="s">
        <v>149</v>
      </c>
      <c r="F15" s="2" t="s">
        <v>194</v>
      </c>
      <c r="G15" s="2" t="s">
        <v>195</v>
      </c>
      <c r="H15" s="2" t="s">
        <v>192</v>
      </c>
      <c r="I15" s="2">
        <v>0</v>
      </c>
      <c r="J15" s="2">
        <v>0</v>
      </c>
      <c r="K15" s="2" t="s">
        <v>196</v>
      </c>
      <c r="M15" s="2" t="s">
        <v>153</v>
      </c>
    </row>
    <row r="16" spans="1:13" ht="63.75">
      <c r="A16" s="2">
        <v>97</v>
      </c>
      <c r="B16" s="2" t="s">
        <v>49</v>
      </c>
      <c r="C16" s="2" t="s">
        <v>197</v>
      </c>
      <c r="D16" s="2" t="s">
        <v>72</v>
      </c>
      <c r="E16" s="2" t="s">
        <v>149</v>
      </c>
      <c r="F16" s="2" t="s">
        <v>198</v>
      </c>
      <c r="G16" s="2" t="s">
        <v>199</v>
      </c>
      <c r="H16" s="2" t="s">
        <v>200</v>
      </c>
      <c r="I16" s="2">
        <v>0</v>
      </c>
      <c r="J16" s="2">
        <v>0</v>
      </c>
      <c r="K16" s="2" t="s">
        <v>201</v>
      </c>
      <c r="M16" s="2" t="s">
        <v>153</v>
      </c>
    </row>
    <row r="17" spans="1:13" ht="140.25">
      <c r="A17" s="2">
        <v>98</v>
      </c>
      <c r="B17" s="2" t="s">
        <v>49</v>
      </c>
      <c r="C17" s="2" t="s">
        <v>148</v>
      </c>
      <c r="D17" s="2" t="s">
        <v>70</v>
      </c>
      <c r="E17" s="2" t="s">
        <v>149</v>
      </c>
      <c r="F17" s="2" t="s">
        <v>202</v>
      </c>
      <c r="G17" s="2" t="s">
        <v>203</v>
      </c>
      <c r="H17" s="2" t="s">
        <v>204</v>
      </c>
      <c r="I17" s="2">
        <v>0</v>
      </c>
      <c r="J17" s="2">
        <v>0</v>
      </c>
      <c r="K17" s="2" t="s">
        <v>205</v>
      </c>
      <c r="M17" s="2" t="s">
        <v>153</v>
      </c>
    </row>
    <row r="18" spans="1:13" ht="344.25">
      <c r="A18" s="2">
        <v>6</v>
      </c>
      <c r="B18" s="2" t="s">
        <v>20</v>
      </c>
      <c r="C18" s="2" t="s">
        <v>21</v>
      </c>
      <c r="D18" s="2" t="s">
        <v>72</v>
      </c>
      <c r="E18" s="2" t="s">
        <v>149</v>
      </c>
      <c r="F18" s="2" t="s">
        <v>206</v>
      </c>
      <c r="G18" s="2" t="s">
        <v>40</v>
      </c>
      <c r="H18" s="2" t="s">
        <v>207</v>
      </c>
      <c r="I18" s="2">
        <v>0</v>
      </c>
      <c r="J18" s="2">
        <v>0</v>
      </c>
      <c r="K18" s="2" t="s">
        <v>208</v>
      </c>
      <c r="M18" s="2" t="s">
        <v>209</v>
      </c>
    </row>
    <row r="19" spans="1:13" ht="102">
      <c r="A19" s="2">
        <v>16</v>
      </c>
      <c r="B19" s="2" t="s">
        <v>20</v>
      </c>
      <c r="C19" s="2" t="s">
        <v>210</v>
      </c>
      <c r="D19" s="2" t="s">
        <v>72</v>
      </c>
      <c r="E19" s="2" t="s">
        <v>165</v>
      </c>
      <c r="F19" s="2" t="s">
        <v>211</v>
      </c>
      <c r="G19" s="2" t="s">
        <v>195</v>
      </c>
      <c r="H19" s="2" t="s">
        <v>173</v>
      </c>
      <c r="I19" s="2">
        <v>-165</v>
      </c>
      <c r="J19" s="2">
        <v>162</v>
      </c>
      <c r="K19" s="2" t="s">
        <v>212</v>
      </c>
      <c r="M19" s="2" t="s">
        <v>153</v>
      </c>
    </row>
    <row r="20" spans="1:13" ht="76.5">
      <c r="A20" s="2">
        <v>17</v>
      </c>
      <c r="B20" s="2" t="s">
        <v>20</v>
      </c>
      <c r="C20" s="2" t="s">
        <v>210</v>
      </c>
      <c r="D20" s="2" t="s">
        <v>72</v>
      </c>
      <c r="E20" s="2" t="s">
        <v>165</v>
      </c>
      <c r="F20" s="2" t="s">
        <v>213</v>
      </c>
      <c r="G20" s="2" t="s">
        <v>195</v>
      </c>
      <c r="H20" s="2" t="s">
        <v>173</v>
      </c>
      <c r="I20" s="2">
        <v>-165</v>
      </c>
      <c r="J20" s="2">
        <v>141</v>
      </c>
      <c r="K20" s="2" t="s">
        <v>214</v>
      </c>
      <c r="M20" s="2" t="s">
        <v>215</v>
      </c>
    </row>
    <row r="21" spans="1:13" ht="165.75">
      <c r="A21" s="2">
        <v>18</v>
      </c>
      <c r="B21" s="2" t="s">
        <v>20</v>
      </c>
      <c r="C21" s="2" t="s">
        <v>210</v>
      </c>
      <c r="D21" s="2" t="s">
        <v>72</v>
      </c>
      <c r="E21" s="2" t="s">
        <v>165</v>
      </c>
      <c r="F21" s="2" t="s">
        <v>216</v>
      </c>
      <c r="G21" s="2" t="s">
        <v>217</v>
      </c>
      <c r="H21" s="2" t="s">
        <v>218</v>
      </c>
      <c r="I21" s="2">
        <v>-267</v>
      </c>
      <c r="J21" s="2">
        <v>141</v>
      </c>
      <c r="K21" s="2" t="s">
        <v>219</v>
      </c>
      <c r="M21" s="2" t="s">
        <v>153</v>
      </c>
    </row>
    <row r="22" spans="1:13" ht="51">
      <c r="A22" s="2">
        <v>19</v>
      </c>
      <c r="B22" s="2" t="s">
        <v>20</v>
      </c>
      <c r="C22" s="2" t="s">
        <v>210</v>
      </c>
      <c r="D22" s="2" t="s">
        <v>72</v>
      </c>
      <c r="E22" s="2" t="s">
        <v>165</v>
      </c>
      <c r="F22" s="2" t="s">
        <v>220</v>
      </c>
      <c r="G22" s="2" t="s">
        <v>221</v>
      </c>
      <c r="H22" s="2" t="s">
        <v>222</v>
      </c>
      <c r="I22" s="2">
        <v>30</v>
      </c>
      <c r="J22" s="2">
        <v>152</v>
      </c>
      <c r="K22" s="2" t="s">
        <v>223</v>
      </c>
      <c r="M22" s="2" t="s">
        <v>153</v>
      </c>
    </row>
    <row r="23" spans="1:13" ht="255">
      <c r="A23" s="2">
        <v>20</v>
      </c>
      <c r="B23" s="2" t="s">
        <v>20</v>
      </c>
      <c r="C23" s="2" t="s">
        <v>179</v>
      </c>
      <c r="D23" s="2" t="s">
        <v>72</v>
      </c>
      <c r="E23" s="2" t="s">
        <v>149</v>
      </c>
      <c r="F23" s="2" t="s">
        <v>224</v>
      </c>
      <c r="G23" s="2" t="s">
        <v>225</v>
      </c>
      <c r="H23" s="2" t="s">
        <v>226</v>
      </c>
      <c r="I23" s="2">
        <v>0</v>
      </c>
      <c r="J23" s="2">
        <v>0</v>
      </c>
      <c r="K23" s="2" t="s">
        <v>227</v>
      </c>
      <c r="L23" s="2" t="s">
        <v>228</v>
      </c>
      <c r="M23" s="2" t="s">
        <v>153</v>
      </c>
    </row>
    <row r="24" spans="1:13" ht="229.5">
      <c r="A24" s="2">
        <v>89</v>
      </c>
      <c r="B24" s="2" t="s">
        <v>20</v>
      </c>
      <c r="C24" s="2" t="s">
        <v>113</v>
      </c>
      <c r="D24" s="2" t="s">
        <v>72</v>
      </c>
      <c r="E24" s="2" t="s">
        <v>149</v>
      </c>
      <c r="F24" s="2" t="s">
        <v>229</v>
      </c>
      <c r="G24" s="2" t="s">
        <v>230</v>
      </c>
      <c r="H24" s="2" t="s">
        <v>231</v>
      </c>
      <c r="I24" s="2">
        <v>0</v>
      </c>
      <c r="J24" s="2">
        <v>0</v>
      </c>
      <c r="K24" s="2" t="s">
        <v>232</v>
      </c>
      <c r="M24" s="2" t="s">
        <v>153</v>
      </c>
    </row>
    <row r="25" spans="1:13" ht="153">
      <c r="A25" s="2">
        <v>185</v>
      </c>
      <c r="B25" s="2" t="s">
        <v>20</v>
      </c>
      <c r="C25" s="2" t="s">
        <v>21</v>
      </c>
      <c r="D25" s="2" t="s">
        <v>72</v>
      </c>
      <c r="E25" s="2" t="s">
        <v>149</v>
      </c>
      <c r="F25" s="2" t="s">
        <v>233</v>
      </c>
      <c r="G25" s="2" t="s">
        <v>234</v>
      </c>
      <c r="H25" s="2" t="s">
        <v>235</v>
      </c>
      <c r="I25" s="2">
        <v>0</v>
      </c>
      <c r="J25" s="2">
        <v>0</v>
      </c>
      <c r="K25" s="2" t="s">
        <v>236</v>
      </c>
      <c r="M25" s="2" t="s">
        <v>153</v>
      </c>
    </row>
    <row r="26" spans="1:13" ht="76.5">
      <c r="A26" s="2">
        <v>188</v>
      </c>
      <c r="B26" s="2" t="s">
        <v>20</v>
      </c>
      <c r="C26" s="2" t="s">
        <v>179</v>
      </c>
      <c r="D26" s="2" t="s">
        <v>72</v>
      </c>
      <c r="E26" s="2" t="s">
        <v>149</v>
      </c>
      <c r="F26" s="2" t="s">
        <v>237</v>
      </c>
      <c r="G26" s="2" t="s">
        <v>195</v>
      </c>
      <c r="H26" s="2" t="s">
        <v>192</v>
      </c>
      <c r="I26" s="2">
        <v>0</v>
      </c>
      <c r="J26" s="2">
        <v>0</v>
      </c>
      <c r="K26" s="2" t="s">
        <v>238</v>
      </c>
      <c r="M26" s="2" t="s">
        <v>153</v>
      </c>
    </row>
    <row r="27" spans="1:13" ht="127.5">
      <c r="A27" s="2">
        <v>190</v>
      </c>
      <c r="B27" s="2" t="s">
        <v>20</v>
      </c>
      <c r="C27" s="2" t="s">
        <v>21</v>
      </c>
      <c r="D27" s="2" t="s">
        <v>72</v>
      </c>
      <c r="E27" s="2" t="s">
        <v>149</v>
      </c>
      <c r="F27" s="2" t="s">
        <v>239</v>
      </c>
      <c r="G27" s="2" t="s">
        <v>240</v>
      </c>
      <c r="H27" s="2" t="s">
        <v>241</v>
      </c>
      <c r="I27" s="2">
        <v>0</v>
      </c>
      <c r="J27" s="2">
        <v>0</v>
      </c>
      <c r="K27" s="2" t="s">
        <v>242</v>
      </c>
      <c r="M27" s="2" t="s">
        <v>153</v>
      </c>
    </row>
    <row r="28" spans="1:13" ht="102">
      <c r="A28" s="2">
        <v>191</v>
      </c>
      <c r="B28" s="2" t="s">
        <v>20</v>
      </c>
      <c r="C28" s="2" t="s">
        <v>179</v>
      </c>
      <c r="D28" s="2" t="s">
        <v>72</v>
      </c>
      <c r="E28" s="2" t="s">
        <v>149</v>
      </c>
      <c r="F28" s="2" t="s">
        <v>243</v>
      </c>
      <c r="G28" s="2" t="s">
        <v>195</v>
      </c>
      <c r="H28" s="2" t="s">
        <v>192</v>
      </c>
      <c r="I28" s="2">
        <v>0</v>
      </c>
      <c r="J28" s="2">
        <v>0</v>
      </c>
      <c r="K28" s="2" t="s">
        <v>244</v>
      </c>
      <c r="M28" s="2" t="s">
        <v>153</v>
      </c>
    </row>
    <row r="29" spans="1:13" ht="204">
      <c r="A29" s="2">
        <v>15</v>
      </c>
      <c r="B29" s="2" t="s">
        <v>121</v>
      </c>
      <c r="C29" s="2" t="s">
        <v>245</v>
      </c>
      <c r="D29" s="2" t="s">
        <v>72</v>
      </c>
      <c r="E29" s="2" t="s">
        <v>149</v>
      </c>
      <c r="F29" s="2" t="s">
        <v>246</v>
      </c>
      <c r="G29" s="2" t="s">
        <v>247</v>
      </c>
      <c r="H29" s="2" t="s">
        <v>248</v>
      </c>
      <c r="I29" s="2">
        <v>0</v>
      </c>
      <c r="J29" s="2">
        <v>0</v>
      </c>
      <c r="K29" s="2" t="s">
        <v>249</v>
      </c>
      <c r="M29" s="2" t="s">
        <v>153</v>
      </c>
    </row>
    <row r="30" spans="1:13" ht="114.75">
      <c r="A30" s="2">
        <v>99</v>
      </c>
      <c r="B30" s="2" t="s">
        <v>121</v>
      </c>
      <c r="C30" s="2" t="s">
        <v>250</v>
      </c>
      <c r="D30" s="2" t="s">
        <v>72</v>
      </c>
      <c r="E30" s="2" t="s">
        <v>149</v>
      </c>
      <c r="F30" s="2" t="s">
        <v>251</v>
      </c>
      <c r="G30" s="2" t="s">
        <v>195</v>
      </c>
      <c r="H30" s="2" t="s">
        <v>192</v>
      </c>
      <c r="I30" s="2">
        <v>0</v>
      </c>
      <c r="J30" s="2">
        <v>0</v>
      </c>
      <c r="K30" s="2" t="s">
        <v>252</v>
      </c>
      <c r="M30" s="2" t="s">
        <v>153</v>
      </c>
    </row>
    <row r="31" spans="1:13" ht="114.75">
      <c r="A31" s="2">
        <v>100</v>
      </c>
      <c r="B31" s="2" t="s">
        <v>121</v>
      </c>
      <c r="C31" s="2" t="s">
        <v>250</v>
      </c>
      <c r="D31" s="2" t="s">
        <v>72</v>
      </c>
      <c r="E31" s="2" t="s">
        <v>149</v>
      </c>
      <c r="F31" s="2" t="s">
        <v>253</v>
      </c>
      <c r="G31" s="2" t="s">
        <v>195</v>
      </c>
      <c r="H31" s="2" t="s">
        <v>192</v>
      </c>
      <c r="I31" s="2">
        <v>0</v>
      </c>
      <c r="J31" s="2">
        <v>0</v>
      </c>
      <c r="K31" s="2" t="s">
        <v>254</v>
      </c>
      <c r="M31" s="2" t="s">
        <v>153</v>
      </c>
    </row>
    <row r="32" spans="1:13" ht="102">
      <c r="A32" s="2">
        <v>101</v>
      </c>
      <c r="B32" s="2" t="s">
        <v>121</v>
      </c>
      <c r="C32" s="2" t="s">
        <v>250</v>
      </c>
      <c r="D32" s="2" t="s">
        <v>72</v>
      </c>
      <c r="E32" s="2" t="s">
        <v>149</v>
      </c>
      <c r="F32" s="2" t="s">
        <v>255</v>
      </c>
      <c r="G32" s="2" t="s">
        <v>195</v>
      </c>
      <c r="H32" s="2" t="s">
        <v>192</v>
      </c>
      <c r="I32" s="2">
        <v>0</v>
      </c>
      <c r="J32" s="2">
        <v>0</v>
      </c>
      <c r="K32" s="2" t="s">
        <v>256</v>
      </c>
      <c r="M32" s="2" t="s">
        <v>153</v>
      </c>
    </row>
    <row r="33" spans="1:13" ht="63.75">
      <c r="A33" s="2">
        <v>102</v>
      </c>
      <c r="B33" s="2" t="s">
        <v>121</v>
      </c>
      <c r="C33" s="2" t="s">
        <v>250</v>
      </c>
      <c r="D33" s="2" t="s">
        <v>72</v>
      </c>
      <c r="E33" s="2" t="s">
        <v>149</v>
      </c>
      <c r="F33" s="2" t="s">
        <v>257</v>
      </c>
      <c r="G33" s="2" t="s">
        <v>195</v>
      </c>
      <c r="H33" s="2" t="s">
        <v>192</v>
      </c>
      <c r="I33" s="2">
        <v>0</v>
      </c>
      <c r="J33" s="2">
        <v>0</v>
      </c>
      <c r="K33" s="2" t="s">
        <v>258</v>
      </c>
      <c r="M33" s="2" t="s">
        <v>153</v>
      </c>
    </row>
    <row r="34" spans="1:13" ht="63.75">
      <c r="A34" s="2">
        <v>103</v>
      </c>
      <c r="B34" s="2" t="s">
        <v>121</v>
      </c>
      <c r="C34" s="2" t="s">
        <v>250</v>
      </c>
      <c r="D34" s="2" t="s">
        <v>72</v>
      </c>
      <c r="E34" s="2" t="s">
        <v>149</v>
      </c>
      <c r="F34" s="2" t="s">
        <v>259</v>
      </c>
      <c r="G34" s="2" t="s">
        <v>195</v>
      </c>
      <c r="H34" s="2" t="s">
        <v>192</v>
      </c>
      <c r="I34" s="2">
        <v>0</v>
      </c>
      <c r="J34" s="2">
        <v>0</v>
      </c>
      <c r="K34" s="2" t="s">
        <v>260</v>
      </c>
      <c r="M34" s="2" t="s">
        <v>153</v>
      </c>
    </row>
    <row r="35" spans="1:13" ht="114.75">
      <c r="A35" s="2">
        <v>104</v>
      </c>
      <c r="B35" s="2" t="s">
        <v>121</v>
      </c>
      <c r="C35" s="2" t="s">
        <v>250</v>
      </c>
      <c r="D35" s="2" t="s">
        <v>72</v>
      </c>
      <c r="E35" s="2" t="s">
        <v>149</v>
      </c>
      <c r="F35" s="2" t="s">
        <v>261</v>
      </c>
      <c r="G35" s="2" t="s">
        <v>195</v>
      </c>
      <c r="H35" s="2" t="s">
        <v>192</v>
      </c>
      <c r="I35" s="2">
        <v>0</v>
      </c>
      <c r="J35" s="2">
        <v>0</v>
      </c>
      <c r="K35" s="2" t="s">
        <v>262</v>
      </c>
      <c r="M35" s="2" t="s">
        <v>153</v>
      </c>
    </row>
    <row r="36" spans="1:13" ht="76.5">
      <c r="A36" s="2">
        <v>105</v>
      </c>
      <c r="B36" s="2" t="s">
        <v>121</v>
      </c>
      <c r="C36" s="2" t="s">
        <v>250</v>
      </c>
      <c r="D36" s="2" t="s">
        <v>72</v>
      </c>
      <c r="E36" s="2" t="s">
        <v>149</v>
      </c>
      <c r="F36" s="2" t="s">
        <v>263</v>
      </c>
      <c r="G36" s="2" t="s">
        <v>195</v>
      </c>
      <c r="H36" s="2" t="s">
        <v>192</v>
      </c>
      <c r="I36" s="2">
        <v>0</v>
      </c>
      <c r="J36" s="2">
        <v>0</v>
      </c>
      <c r="K36" s="2" t="s">
        <v>264</v>
      </c>
      <c r="M36" s="2" t="s">
        <v>153</v>
      </c>
    </row>
    <row r="37" spans="1:13" ht="76.5">
      <c r="A37" s="2">
        <v>106</v>
      </c>
      <c r="B37" s="2" t="s">
        <v>121</v>
      </c>
      <c r="C37" s="2" t="s">
        <v>250</v>
      </c>
      <c r="D37" s="2" t="s">
        <v>72</v>
      </c>
      <c r="E37" s="2" t="s">
        <v>149</v>
      </c>
      <c r="F37" s="2" t="s">
        <v>265</v>
      </c>
      <c r="G37" s="2" t="s">
        <v>195</v>
      </c>
      <c r="H37" s="2" t="s">
        <v>192</v>
      </c>
      <c r="I37" s="2">
        <v>0</v>
      </c>
      <c r="J37" s="2">
        <v>0</v>
      </c>
      <c r="K37" s="2" t="s">
        <v>264</v>
      </c>
      <c r="M37" s="2" t="s">
        <v>153</v>
      </c>
    </row>
    <row r="38" spans="1:13" ht="89.25">
      <c r="A38" s="2">
        <v>126</v>
      </c>
      <c r="B38" s="2" t="s">
        <v>121</v>
      </c>
      <c r="C38" s="2" t="s">
        <v>250</v>
      </c>
      <c r="D38" s="2" t="s">
        <v>72</v>
      </c>
      <c r="E38" s="2" t="s">
        <v>149</v>
      </c>
      <c r="F38" s="2" t="s">
        <v>266</v>
      </c>
      <c r="G38" s="2" t="s">
        <v>250</v>
      </c>
      <c r="H38" s="2" t="s">
        <v>267</v>
      </c>
      <c r="I38" s="2">
        <v>0</v>
      </c>
      <c r="J38" s="2">
        <v>0</v>
      </c>
      <c r="K38" s="2" t="s">
        <v>268</v>
      </c>
      <c r="M38" s="2" t="s">
        <v>153</v>
      </c>
    </row>
    <row r="39" spans="1:13" ht="76.5">
      <c r="A39" s="2">
        <v>127</v>
      </c>
      <c r="B39" s="2" t="s">
        <v>121</v>
      </c>
      <c r="C39" s="2" t="s">
        <v>250</v>
      </c>
      <c r="D39" s="2" t="s">
        <v>72</v>
      </c>
      <c r="E39" s="2" t="s">
        <v>149</v>
      </c>
      <c r="F39" s="2" t="s">
        <v>269</v>
      </c>
      <c r="G39" s="2" t="s">
        <v>250</v>
      </c>
      <c r="H39" s="2" t="s">
        <v>267</v>
      </c>
      <c r="I39" s="2">
        <v>0</v>
      </c>
      <c r="J39" s="2">
        <v>0</v>
      </c>
      <c r="K39" s="2" t="s">
        <v>270</v>
      </c>
      <c r="M39" s="2" t="s">
        <v>153</v>
      </c>
    </row>
    <row r="40" spans="1:13" ht="89.25">
      <c r="A40" s="2">
        <v>128</v>
      </c>
      <c r="B40" s="2" t="s">
        <v>121</v>
      </c>
      <c r="C40" s="2" t="s">
        <v>250</v>
      </c>
      <c r="D40" s="2" t="s">
        <v>72</v>
      </c>
      <c r="E40" s="2" t="s">
        <v>149</v>
      </c>
      <c r="F40" s="2" t="s">
        <v>271</v>
      </c>
      <c r="G40" s="2" t="s">
        <v>250</v>
      </c>
      <c r="H40" s="2" t="s">
        <v>272</v>
      </c>
      <c r="I40" s="2">
        <v>0</v>
      </c>
      <c r="J40" s="2">
        <v>0</v>
      </c>
      <c r="K40" s="2" t="s">
        <v>273</v>
      </c>
      <c r="M40" s="2" t="s">
        <v>153</v>
      </c>
    </row>
    <row r="41" spans="1:13" ht="63.75">
      <c r="A41" s="2">
        <v>129</v>
      </c>
      <c r="B41" s="2" t="s">
        <v>121</v>
      </c>
      <c r="C41" s="2" t="s">
        <v>250</v>
      </c>
      <c r="D41" s="2" t="s">
        <v>72</v>
      </c>
      <c r="E41" s="2" t="s">
        <v>149</v>
      </c>
      <c r="F41" s="2" t="s">
        <v>274</v>
      </c>
      <c r="G41" s="2" t="s">
        <v>250</v>
      </c>
      <c r="H41" s="2" t="s">
        <v>272</v>
      </c>
      <c r="I41" s="2">
        <v>0</v>
      </c>
      <c r="J41" s="2">
        <v>0</v>
      </c>
      <c r="K41" s="2" t="s">
        <v>275</v>
      </c>
      <c r="M41" s="2" t="s">
        <v>153</v>
      </c>
    </row>
    <row r="42" spans="1:13" ht="76.5">
      <c r="A42" s="2">
        <v>130</v>
      </c>
      <c r="B42" s="2" t="s">
        <v>121</v>
      </c>
      <c r="C42" s="2" t="s">
        <v>250</v>
      </c>
      <c r="D42" s="2" t="s">
        <v>72</v>
      </c>
      <c r="E42" s="2" t="s">
        <v>149</v>
      </c>
      <c r="F42" s="2" t="s">
        <v>276</v>
      </c>
      <c r="G42" s="2" t="s">
        <v>250</v>
      </c>
      <c r="H42" s="2" t="s">
        <v>272</v>
      </c>
      <c r="I42" s="2">
        <v>0</v>
      </c>
      <c r="J42" s="2">
        <v>0</v>
      </c>
      <c r="K42" s="2" t="s">
        <v>275</v>
      </c>
      <c r="M42" s="2" t="s">
        <v>153</v>
      </c>
    </row>
    <row r="43" spans="1:13" ht="51">
      <c r="A43" s="2">
        <v>131</v>
      </c>
      <c r="B43" s="2" t="s">
        <v>121</v>
      </c>
      <c r="C43" s="2" t="s">
        <v>250</v>
      </c>
      <c r="D43" s="2" t="s">
        <v>72</v>
      </c>
      <c r="E43" s="2" t="s">
        <v>149</v>
      </c>
      <c r="F43" s="2" t="s">
        <v>277</v>
      </c>
      <c r="G43" s="2" t="s">
        <v>250</v>
      </c>
      <c r="H43" s="2" t="s">
        <v>272</v>
      </c>
      <c r="I43" s="2">
        <v>0</v>
      </c>
      <c r="J43" s="2">
        <v>0</v>
      </c>
      <c r="K43" s="2" t="s">
        <v>275</v>
      </c>
      <c r="M43" s="2" t="s">
        <v>153</v>
      </c>
    </row>
    <row r="44" spans="1:13" ht="51">
      <c r="A44" s="2">
        <v>132</v>
      </c>
      <c r="B44" s="2" t="s">
        <v>121</v>
      </c>
      <c r="C44" s="2" t="s">
        <v>250</v>
      </c>
      <c r="D44" s="2" t="s">
        <v>72</v>
      </c>
      <c r="E44" s="2" t="s">
        <v>149</v>
      </c>
      <c r="F44" s="2" t="s">
        <v>278</v>
      </c>
      <c r="G44" s="2" t="s">
        <v>250</v>
      </c>
      <c r="H44" s="2" t="s">
        <v>272</v>
      </c>
      <c r="I44" s="2">
        <v>0</v>
      </c>
      <c r="J44" s="2">
        <v>0</v>
      </c>
      <c r="K44" s="2" t="s">
        <v>275</v>
      </c>
      <c r="M44" s="2" t="s">
        <v>153</v>
      </c>
    </row>
    <row r="45" spans="1:13" ht="63.75">
      <c r="A45" s="2">
        <v>133</v>
      </c>
      <c r="B45" s="2" t="s">
        <v>121</v>
      </c>
      <c r="C45" s="2" t="s">
        <v>191</v>
      </c>
      <c r="D45" s="2" t="s">
        <v>72</v>
      </c>
      <c r="E45" s="2" t="s">
        <v>149</v>
      </c>
      <c r="F45" s="2" t="s">
        <v>279</v>
      </c>
      <c r="G45" s="2" t="s">
        <v>280</v>
      </c>
      <c r="H45" s="2" t="s">
        <v>281</v>
      </c>
      <c r="I45" s="2">
        <v>0</v>
      </c>
      <c r="J45" s="2">
        <v>0</v>
      </c>
      <c r="K45" s="2" t="s">
        <v>282</v>
      </c>
      <c r="M45" s="2" t="s">
        <v>153</v>
      </c>
    </row>
    <row r="46" spans="1:13" ht="51">
      <c r="A46" s="2">
        <v>134</v>
      </c>
      <c r="B46" s="2" t="s">
        <v>121</v>
      </c>
      <c r="C46" s="2" t="s">
        <v>250</v>
      </c>
      <c r="D46" s="2" t="s">
        <v>72</v>
      </c>
      <c r="E46" s="2" t="s">
        <v>149</v>
      </c>
      <c r="F46" s="2" t="s">
        <v>283</v>
      </c>
      <c r="G46" s="2" t="s">
        <v>250</v>
      </c>
      <c r="H46" s="2" t="s">
        <v>272</v>
      </c>
      <c r="I46" s="2">
        <v>0</v>
      </c>
      <c r="J46" s="2">
        <v>0</v>
      </c>
      <c r="K46" s="2" t="s">
        <v>284</v>
      </c>
      <c r="M46" s="2" t="s">
        <v>153</v>
      </c>
    </row>
    <row r="47" spans="1:13" ht="63.75">
      <c r="A47" s="2">
        <v>135</v>
      </c>
      <c r="B47" s="2" t="s">
        <v>121</v>
      </c>
      <c r="C47" s="2" t="s">
        <v>250</v>
      </c>
      <c r="D47" s="2" t="s">
        <v>72</v>
      </c>
      <c r="E47" s="2" t="s">
        <v>149</v>
      </c>
      <c r="F47" s="2" t="s">
        <v>285</v>
      </c>
      <c r="G47" s="2" t="s">
        <v>250</v>
      </c>
      <c r="H47" s="2" t="s">
        <v>272</v>
      </c>
      <c r="I47" s="2">
        <v>0</v>
      </c>
      <c r="J47" s="2">
        <v>0</v>
      </c>
      <c r="K47" s="2" t="s">
        <v>286</v>
      </c>
      <c r="M47" s="2" t="s">
        <v>153</v>
      </c>
    </row>
    <row r="48" spans="1:13" ht="114.75">
      <c r="A48" s="2">
        <v>136</v>
      </c>
      <c r="B48" s="2" t="s">
        <v>121</v>
      </c>
      <c r="C48" s="2" t="s">
        <v>250</v>
      </c>
      <c r="D48" s="2" t="s">
        <v>72</v>
      </c>
      <c r="E48" s="2" t="s">
        <v>149</v>
      </c>
      <c r="F48" s="2" t="s">
        <v>287</v>
      </c>
      <c r="G48" s="2" t="s">
        <v>250</v>
      </c>
      <c r="H48" s="2" t="s">
        <v>272</v>
      </c>
      <c r="I48" s="2">
        <v>0</v>
      </c>
      <c r="J48" s="2">
        <v>0</v>
      </c>
      <c r="K48" s="2" t="s">
        <v>288</v>
      </c>
      <c r="M48" s="2" t="s">
        <v>153</v>
      </c>
    </row>
    <row r="49" spans="1:13" ht="51">
      <c r="A49" s="2">
        <v>137</v>
      </c>
      <c r="B49" s="2" t="s">
        <v>121</v>
      </c>
      <c r="C49" s="2" t="s">
        <v>250</v>
      </c>
      <c r="D49" s="2" t="s">
        <v>72</v>
      </c>
      <c r="E49" s="2" t="s">
        <v>149</v>
      </c>
      <c r="F49" s="2" t="s">
        <v>289</v>
      </c>
      <c r="G49" s="2" t="s">
        <v>250</v>
      </c>
      <c r="H49" s="2" t="s">
        <v>267</v>
      </c>
      <c r="I49" s="2">
        <v>0</v>
      </c>
      <c r="J49" s="2">
        <v>0</v>
      </c>
      <c r="K49" s="2" t="s">
        <v>290</v>
      </c>
      <c r="M49" s="2" t="s">
        <v>153</v>
      </c>
    </row>
    <row r="50" spans="1:13" ht="63.75">
      <c r="A50" s="2">
        <v>138</v>
      </c>
      <c r="B50" s="2" t="s">
        <v>121</v>
      </c>
      <c r="C50" s="2" t="s">
        <v>250</v>
      </c>
      <c r="D50" s="2" t="s">
        <v>72</v>
      </c>
      <c r="E50" s="2" t="s">
        <v>149</v>
      </c>
      <c r="F50" s="2" t="s">
        <v>291</v>
      </c>
      <c r="G50" s="2" t="s">
        <v>250</v>
      </c>
      <c r="H50" s="2" t="s">
        <v>267</v>
      </c>
      <c r="I50" s="2">
        <v>0</v>
      </c>
      <c r="J50" s="2">
        <v>0</v>
      </c>
      <c r="K50" s="2" t="s">
        <v>270</v>
      </c>
      <c r="M50" s="2" t="s">
        <v>153</v>
      </c>
    </row>
    <row r="51" spans="1:13" ht="63.75">
      <c r="A51" s="2">
        <v>139</v>
      </c>
      <c r="B51" s="2" t="s">
        <v>121</v>
      </c>
      <c r="C51" s="2" t="s">
        <v>250</v>
      </c>
      <c r="D51" s="2" t="s">
        <v>72</v>
      </c>
      <c r="E51" s="2" t="s">
        <v>149</v>
      </c>
      <c r="F51" s="2" t="s">
        <v>292</v>
      </c>
      <c r="G51" s="2" t="s">
        <v>250</v>
      </c>
      <c r="H51" s="2" t="s">
        <v>267</v>
      </c>
      <c r="I51" s="2">
        <v>0</v>
      </c>
      <c r="J51" s="2">
        <v>0</v>
      </c>
      <c r="K51" s="2" t="s">
        <v>275</v>
      </c>
      <c r="M51" s="2" t="s">
        <v>153</v>
      </c>
    </row>
    <row r="52" spans="1:13" ht="51">
      <c r="A52" s="2">
        <v>140</v>
      </c>
      <c r="B52" s="2" t="s">
        <v>121</v>
      </c>
      <c r="C52" s="2" t="s">
        <v>250</v>
      </c>
      <c r="D52" s="2" t="s">
        <v>72</v>
      </c>
      <c r="E52" s="2" t="s">
        <v>149</v>
      </c>
      <c r="F52" s="2" t="s">
        <v>293</v>
      </c>
      <c r="G52" s="2" t="s">
        <v>250</v>
      </c>
      <c r="H52" s="2" t="s">
        <v>272</v>
      </c>
      <c r="I52" s="2">
        <v>0</v>
      </c>
      <c r="J52" s="2">
        <v>0</v>
      </c>
      <c r="K52" s="2" t="s">
        <v>273</v>
      </c>
      <c r="M52" s="2" t="s">
        <v>153</v>
      </c>
    </row>
    <row r="53" spans="1:13" ht="51">
      <c r="A53" s="2">
        <v>141</v>
      </c>
      <c r="B53" s="2" t="s">
        <v>121</v>
      </c>
      <c r="C53" s="2" t="s">
        <v>250</v>
      </c>
      <c r="D53" s="2" t="s">
        <v>72</v>
      </c>
      <c r="E53" s="2" t="s">
        <v>149</v>
      </c>
      <c r="F53" s="2" t="s">
        <v>294</v>
      </c>
      <c r="G53" s="2" t="s">
        <v>250</v>
      </c>
      <c r="H53" s="2" t="s">
        <v>272</v>
      </c>
      <c r="I53" s="2">
        <v>0</v>
      </c>
      <c r="J53" s="2">
        <v>0</v>
      </c>
      <c r="K53" s="2" t="s">
        <v>273</v>
      </c>
      <c r="M53" s="2" t="s">
        <v>153</v>
      </c>
    </row>
    <row r="54" spans="1:13" ht="51">
      <c r="A54" s="2">
        <v>142</v>
      </c>
      <c r="B54" s="2" t="s">
        <v>121</v>
      </c>
      <c r="C54" s="2" t="s">
        <v>250</v>
      </c>
      <c r="D54" s="2" t="s">
        <v>72</v>
      </c>
      <c r="E54" s="2" t="s">
        <v>149</v>
      </c>
      <c r="F54" s="2" t="s">
        <v>295</v>
      </c>
      <c r="G54" s="2" t="s">
        <v>250</v>
      </c>
      <c r="H54" s="2" t="s">
        <v>272</v>
      </c>
      <c r="I54" s="2">
        <v>0</v>
      </c>
      <c r="J54" s="2">
        <v>0</v>
      </c>
      <c r="K54" s="2" t="s">
        <v>275</v>
      </c>
      <c r="M54" s="2" t="s">
        <v>153</v>
      </c>
    </row>
    <row r="55" spans="1:13" ht="51">
      <c r="A55" s="2">
        <v>143</v>
      </c>
      <c r="B55" s="2" t="s">
        <v>121</v>
      </c>
      <c r="C55" s="2" t="s">
        <v>250</v>
      </c>
      <c r="D55" s="2" t="s">
        <v>72</v>
      </c>
      <c r="E55" s="2" t="s">
        <v>149</v>
      </c>
      <c r="F55" s="2" t="s">
        <v>296</v>
      </c>
      <c r="G55" s="2" t="s">
        <v>250</v>
      </c>
      <c r="H55" s="2" t="s">
        <v>272</v>
      </c>
      <c r="I55" s="2">
        <v>0</v>
      </c>
      <c r="J55" s="2">
        <v>0</v>
      </c>
      <c r="K55" s="2" t="s">
        <v>275</v>
      </c>
      <c r="M55" s="2" t="s">
        <v>153</v>
      </c>
    </row>
    <row r="56" spans="1:13" ht="51">
      <c r="A56" s="2">
        <v>144</v>
      </c>
      <c r="B56" s="2" t="s">
        <v>121</v>
      </c>
      <c r="C56" s="2" t="s">
        <v>250</v>
      </c>
      <c r="D56" s="2" t="s">
        <v>72</v>
      </c>
      <c r="E56" s="2" t="s">
        <v>149</v>
      </c>
      <c r="F56" s="2" t="s">
        <v>297</v>
      </c>
      <c r="G56" s="2" t="s">
        <v>250</v>
      </c>
      <c r="H56" s="2" t="s">
        <v>272</v>
      </c>
      <c r="I56" s="2">
        <v>0</v>
      </c>
      <c r="J56" s="2">
        <v>0</v>
      </c>
      <c r="K56" s="2" t="s">
        <v>275</v>
      </c>
      <c r="M56" s="2" t="s">
        <v>153</v>
      </c>
    </row>
    <row r="57" spans="1:13" ht="63.75">
      <c r="A57" s="2">
        <v>145</v>
      </c>
      <c r="B57" s="2" t="s">
        <v>121</v>
      </c>
      <c r="C57" s="2" t="s">
        <v>250</v>
      </c>
      <c r="D57" s="2" t="s">
        <v>72</v>
      </c>
      <c r="E57" s="2" t="s">
        <v>149</v>
      </c>
      <c r="F57" s="2" t="s">
        <v>298</v>
      </c>
      <c r="G57" s="2" t="s">
        <v>250</v>
      </c>
      <c r="H57" s="2" t="s">
        <v>272</v>
      </c>
      <c r="I57" s="2">
        <v>0</v>
      </c>
      <c r="J57" s="2">
        <v>0</v>
      </c>
      <c r="K57" s="2" t="s">
        <v>275</v>
      </c>
      <c r="M57" s="2" t="s">
        <v>153</v>
      </c>
    </row>
    <row r="58" spans="1:13" ht="63.75">
      <c r="A58" s="2">
        <v>146</v>
      </c>
      <c r="B58" s="2" t="s">
        <v>121</v>
      </c>
      <c r="C58" s="2" t="s">
        <v>250</v>
      </c>
      <c r="D58" s="2" t="s">
        <v>72</v>
      </c>
      <c r="E58" s="2" t="s">
        <v>149</v>
      </c>
      <c r="F58" s="2" t="s">
        <v>299</v>
      </c>
      <c r="G58" s="2" t="s">
        <v>250</v>
      </c>
      <c r="H58" s="2" t="s">
        <v>272</v>
      </c>
      <c r="I58" s="2">
        <v>0</v>
      </c>
      <c r="J58" s="2">
        <v>0</v>
      </c>
      <c r="K58" s="2" t="s">
        <v>275</v>
      </c>
      <c r="M58" s="2" t="s">
        <v>153</v>
      </c>
    </row>
    <row r="59" spans="1:13" ht="51">
      <c r="A59" s="2">
        <v>147</v>
      </c>
      <c r="B59" s="2" t="s">
        <v>121</v>
      </c>
      <c r="C59" s="2" t="s">
        <v>250</v>
      </c>
      <c r="D59" s="2" t="s">
        <v>72</v>
      </c>
      <c r="E59" s="2" t="s">
        <v>149</v>
      </c>
      <c r="F59" s="2" t="s">
        <v>300</v>
      </c>
      <c r="G59" s="2" t="s">
        <v>250</v>
      </c>
      <c r="H59" s="2" t="s">
        <v>272</v>
      </c>
      <c r="I59" s="2">
        <v>0</v>
      </c>
      <c r="J59" s="2">
        <v>0</v>
      </c>
      <c r="K59" s="2" t="s">
        <v>275</v>
      </c>
      <c r="M59" s="2" t="s">
        <v>153</v>
      </c>
    </row>
    <row r="60" spans="1:13" ht="63.75">
      <c r="A60" s="2">
        <v>148</v>
      </c>
      <c r="B60" s="2" t="s">
        <v>121</v>
      </c>
      <c r="C60" s="2" t="s">
        <v>250</v>
      </c>
      <c r="D60" s="2" t="s">
        <v>72</v>
      </c>
      <c r="E60" s="2" t="s">
        <v>149</v>
      </c>
      <c r="F60" s="2" t="s">
        <v>301</v>
      </c>
      <c r="G60" s="2" t="s">
        <v>250</v>
      </c>
      <c r="H60" s="2" t="s">
        <v>272</v>
      </c>
      <c r="I60" s="2">
        <v>0</v>
      </c>
      <c r="J60" s="2">
        <v>0</v>
      </c>
      <c r="K60" s="2" t="s">
        <v>275</v>
      </c>
      <c r="M60" s="2" t="s">
        <v>153</v>
      </c>
    </row>
    <row r="61" spans="1:13" ht="76.5">
      <c r="A61" s="2">
        <v>149</v>
      </c>
      <c r="B61" s="2" t="s">
        <v>121</v>
      </c>
      <c r="C61" s="2" t="s">
        <v>250</v>
      </c>
      <c r="D61" s="2" t="s">
        <v>72</v>
      </c>
      <c r="E61" s="2" t="s">
        <v>149</v>
      </c>
      <c r="F61" s="2" t="s">
        <v>302</v>
      </c>
      <c r="G61" s="2" t="s">
        <v>250</v>
      </c>
      <c r="H61" s="2" t="s">
        <v>272</v>
      </c>
      <c r="I61" s="2">
        <v>0</v>
      </c>
      <c r="J61" s="2">
        <v>0</v>
      </c>
      <c r="K61" s="2" t="s">
        <v>275</v>
      </c>
      <c r="M61" s="2" t="s">
        <v>153</v>
      </c>
    </row>
    <row r="62" spans="1:13" ht="63.75">
      <c r="A62" s="2">
        <v>150</v>
      </c>
      <c r="B62" s="2" t="s">
        <v>121</v>
      </c>
      <c r="C62" s="2" t="s">
        <v>303</v>
      </c>
      <c r="D62" s="2" t="s">
        <v>72</v>
      </c>
      <c r="E62" s="2" t="s">
        <v>149</v>
      </c>
      <c r="F62" s="2" t="s">
        <v>304</v>
      </c>
      <c r="G62" s="2" t="s">
        <v>305</v>
      </c>
      <c r="H62" s="2" t="s">
        <v>306</v>
      </c>
      <c r="I62" s="2">
        <v>0</v>
      </c>
      <c r="J62" s="2">
        <v>0</v>
      </c>
      <c r="K62" s="2" t="s">
        <v>307</v>
      </c>
      <c r="M62" s="2" t="s">
        <v>153</v>
      </c>
    </row>
    <row r="63" spans="1:13" ht="127.5">
      <c r="A63" s="2">
        <v>151</v>
      </c>
      <c r="B63" s="2" t="s">
        <v>121</v>
      </c>
      <c r="C63" s="2" t="s">
        <v>303</v>
      </c>
      <c r="D63" s="2" t="s">
        <v>72</v>
      </c>
      <c r="E63" s="2" t="s">
        <v>149</v>
      </c>
      <c r="F63" s="2" t="s">
        <v>308</v>
      </c>
      <c r="G63" s="2" t="s">
        <v>245</v>
      </c>
      <c r="H63" s="2" t="s">
        <v>306</v>
      </c>
      <c r="I63" s="2">
        <v>0</v>
      </c>
      <c r="J63" s="2">
        <v>0</v>
      </c>
      <c r="K63" s="2" t="s">
        <v>309</v>
      </c>
      <c r="M63" s="2" t="s">
        <v>153</v>
      </c>
    </row>
    <row r="64" spans="1:13" ht="102">
      <c r="A64" s="2">
        <v>152</v>
      </c>
      <c r="B64" s="2" t="s">
        <v>121</v>
      </c>
      <c r="C64" s="2" t="s">
        <v>250</v>
      </c>
      <c r="D64" s="2" t="s">
        <v>72</v>
      </c>
      <c r="E64" s="2" t="s">
        <v>149</v>
      </c>
      <c r="F64" s="2" t="s">
        <v>310</v>
      </c>
      <c r="G64" s="2" t="s">
        <v>311</v>
      </c>
      <c r="H64" s="2" t="s">
        <v>312</v>
      </c>
      <c r="I64" s="2">
        <v>0</v>
      </c>
      <c r="J64" s="2">
        <v>0</v>
      </c>
      <c r="K64" s="2" t="s">
        <v>313</v>
      </c>
      <c r="M64" s="2" t="s">
        <v>153</v>
      </c>
    </row>
    <row r="65" spans="1:13" ht="63.75">
      <c r="A65" s="2">
        <v>153</v>
      </c>
      <c r="B65" s="2" t="s">
        <v>121</v>
      </c>
      <c r="C65" s="2" t="s">
        <v>250</v>
      </c>
      <c r="D65" s="2" t="s">
        <v>72</v>
      </c>
      <c r="E65" s="2" t="s">
        <v>149</v>
      </c>
      <c r="F65" s="2" t="s">
        <v>314</v>
      </c>
      <c r="G65" s="2" t="s">
        <v>315</v>
      </c>
      <c r="H65" s="2" t="s">
        <v>312</v>
      </c>
      <c r="I65" s="2">
        <v>0</v>
      </c>
      <c r="J65" s="2">
        <v>0</v>
      </c>
      <c r="K65" s="2" t="s">
        <v>313</v>
      </c>
      <c r="M65" s="2" t="s">
        <v>153</v>
      </c>
    </row>
    <row r="66" spans="1:13" ht="127.5">
      <c r="A66" s="2">
        <v>154</v>
      </c>
      <c r="B66" s="2" t="s">
        <v>121</v>
      </c>
      <c r="C66" s="2" t="s">
        <v>250</v>
      </c>
      <c r="D66" s="2" t="s">
        <v>72</v>
      </c>
      <c r="E66" s="2" t="s">
        <v>149</v>
      </c>
      <c r="F66" s="2" t="s">
        <v>316</v>
      </c>
      <c r="G66" s="2" t="s">
        <v>315</v>
      </c>
      <c r="H66" s="2" t="s">
        <v>312</v>
      </c>
      <c r="I66" s="2">
        <v>0</v>
      </c>
      <c r="J66" s="2">
        <v>0</v>
      </c>
      <c r="K66" s="2" t="s">
        <v>313</v>
      </c>
      <c r="M66" s="2" t="s">
        <v>153</v>
      </c>
    </row>
    <row r="67" spans="1:13" ht="63.75">
      <c r="A67" s="2">
        <v>155</v>
      </c>
      <c r="B67" s="2" t="s">
        <v>121</v>
      </c>
      <c r="C67" s="2" t="s">
        <v>250</v>
      </c>
      <c r="D67" s="2" t="s">
        <v>72</v>
      </c>
      <c r="E67" s="2" t="s">
        <v>149</v>
      </c>
      <c r="F67" s="2" t="s">
        <v>317</v>
      </c>
      <c r="G67" s="2" t="s">
        <v>315</v>
      </c>
      <c r="H67" s="2" t="s">
        <v>312</v>
      </c>
      <c r="I67" s="2">
        <v>0</v>
      </c>
      <c r="J67" s="2">
        <v>0</v>
      </c>
      <c r="K67" s="2" t="s">
        <v>318</v>
      </c>
      <c r="M67" s="2" t="s">
        <v>153</v>
      </c>
    </row>
    <row r="68" spans="1:13" ht="51">
      <c r="A68" s="2">
        <v>156</v>
      </c>
      <c r="B68" s="2" t="s">
        <v>121</v>
      </c>
      <c r="C68" s="2" t="s">
        <v>250</v>
      </c>
      <c r="D68" s="2" t="s">
        <v>72</v>
      </c>
      <c r="E68" s="2" t="s">
        <v>149</v>
      </c>
      <c r="F68" s="2" t="s">
        <v>319</v>
      </c>
      <c r="G68" s="2" t="s">
        <v>320</v>
      </c>
      <c r="H68" s="2" t="s">
        <v>312</v>
      </c>
      <c r="I68" s="2">
        <v>0</v>
      </c>
      <c r="J68" s="2">
        <v>0</v>
      </c>
      <c r="K68" s="2" t="s">
        <v>313</v>
      </c>
      <c r="M68" s="2" t="s">
        <v>153</v>
      </c>
    </row>
    <row r="69" spans="1:13" ht="51">
      <c r="A69" s="2">
        <v>157</v>
      </c>
      <c r="B69" s="2" t="s">
        <v>121</v>
      </c>
      <c r="C69" s="2" t="s">
        <v>250</v>
      </c>
      <c r="D69" s="2" t="s">
        <v>72</v>
      </c>
      <c r="E69" s="2" t="s">
        <v>149</v>
      </c>
      <c r="F69" s="2" t="s">
        <v>321</v>
      </c>
      <c r="G69" s="2" t="s">
        <v>322</v>
      </c>
      <c r="H69" s="2" t="s">
        <v>312</v>
      </c>
      <c r="I69" s="2">
        <v>0</v>
      </c>
      <c r="J69" s="2">
        <v>0</v>
      </c>
      <c r="K69" s="2" t="s">
        <v>313</v>
      </c>
      <c r="M69" s="2" t="s">
        <v>153</v>
      </c>
    </row>
    <row r="70" spans="1:13" ht="76.5">
      <c r="A70" s="2">
        <v>158</v>
      </c>
      <c r="B70" s="2" t="s">
        <v>121</v>
      </c>
      <c r="C70" s="2" t="s">
        <v>250</v>
      </c>
      <c r="D70" s="2" t="s">
        <v>72</v>
      </c>
      <c r="E70" s="2" t="s">
        <v>149</v>
      </c>
      <c r="F70" s="2" t="s">
        <v>323</v>
      </c>
      <c r="G70" s="2" t="s">
        <v>324</v>
      </c>
      <c r="H70" s="2" t="s">
        <v>312</v>
      </c>
      <c r="I70" s="2">
        <v>0</v>
      </c>
      <c r="J70" s="2">
        <v>0</v>
      </c>
      <c r="K70" s="2" t="s">
        <v>313</v>
      </c>
      <c r="M70" s="2" t="s">
        <v>153</v>
      </c>
    </row>
    <row r="71" spans="1:13" ht="63.75">
      <c r="A71" s="2">
        <v>159</v>
      </c>
      <c r="B71" s="2" t="s">
        <v>121</v>
      </c>
      <c r="C71" s="2" t="s">
        <v>250</v>
      </c>
      <c r="D71" s="2" t="s">
        <v>72</v>
      </c>
      <c r="E71" s="2" t="s">
        <v>149</v>
      </c>
      <c r="F71" s="2" t="s">
        <v>325</v>
      </c>
      <c r="G71" s="2" t="s">
        <v>324</v>
      </c>
      <c r="H71" s="2" t="s">
        <v>312</v>
      </c>
      <c r="I71" s="2">
        <v>0</v>
      </c>
      <c r="J71" s="2">
        <v>0</v>
      </c>
      <c r="K71" s="2" t="s">
        <v>313</v>
      </c>
      <c r="M71" s="2" t="s">
        <v>153</v>
      </c>
    </row>
    <row r="72" spans="1:13" ht="102">
      <c r="A72" s="2">
        <v>160</v>
      </c>
      <c r="B72" s="2" t="s">
        <v>121</v>
      </c>
      <c r="C72" s="2" t="s">
        <v>250</v>
      </c>
      <c r="D72" s="2" t="s">
        <v>72</v>
      </c>
      <c r="E72" s="2" t="s">
        <v>149</v>
      </c>
      <c r="F72" s="2" t="s">
        <v>326</v>
      </c>
      <c r="G72" s="2" t="s">
        <v>324</v>
      </c>
      <c r="H72" s="2" t="s">
        <v>312</v>
      </c>
      <c r="I72" s="2">
        <v>0</v>
      </c>
      <c r="J72" s="2">
        <v>0</v>
      </c>
      <c r="K72" s="2" t="s">
        <v>313</v>
      </c>
      <c r="M72" s="2" t="s">
        <v>153</v>
      </c>
    </row>
    <row r="73" spans="1:13" ht="89.25">
      <c r="A73" s="2">
        <v>161</v>
      </c>
      <c r="B73" s="2" t="s">
        <v>121</v>
      </c>
      <c r="C73" s="2" t="s">
        <v>250</v>
      </c>
      <c r="D73" s="2" t="s">
        <v>72</v>
      </c>
      <c r="E73" s="2" t="s">
        <v>149</v>
      </c>
      <c r="F73" s="2" t="s">
        <v>327</v>
      </c>
      <c r="G73" s="2" t="s">
        <v>324</v>
      </c>
      <c r="H73" s="2" t="s">
        <v>312</v>
      </c>
      <c r="I73" s="2">
        <v>0</v>
      </c>
      <c r="J73" s="2">
        <v>0</v>
      </c>
      <c r="K73" s="2" t="s">
        <v>313</v>
      </c>
      <c r="M73" s="2" t="s">
        <v>153</v>
      </c>
    </row>
    <row r="74" spans="1:13" ht="51">
      <c r="A74" s="2">
        <v>162</v>
      </c>
      <c r="B74" s="2" t="s">
        <v>121</v>
      </c>
      <c r="C74" s="2" t="s">
        <v>250</v>
      </c>
      <c r="D74" s="2" t="s">
        <v>72</v>
      </c>
      <c r="E74" s="2" t="s">
        <v>149</v>
      </c>
      <c r="F74" s="2" t="s">
        <v>328</v>
      </c>
      <c r="G74" s="2" t="s">
        <v>324</v>
      </c>
      <c r="H74" s="2" t="s">
        <v>312</v>
      </c>
      <c r="I74" s="2">
        <v>0</v>
      </c>
      <c r="J74" s="2">
        <v>0</v>
      </c>
      <c r="K74" s="2" t="s">
        <v>313</v>
      </c>
      <c r="M74" s="2" t="s">
        <v>153</v>
      </c>
    </row>
    <row r="75" spans="1:13" ht="51">
      <c r="A75" s="2">
        <v>163</v>
      </c>
      <c r="B75" s="2" t="s">
        <v>121</v>
      </c>
      <c r="C75" s="2" t="s">
        <v>250</v>
      </c>
      <c r="D75" s="2" t="s">
        <v>72</v>
      </c>
      <c r="E75" s="2" t="s">
        <v>149</v>
      </c>
      <c r="F75" s="2" t="s">
        <v>329</v>
      </c>
      <c r="G75" s="2" t="s">
        <v>324</v>
      </c>
      <c r="H75" s="2" t="s">
        <v>312</v>
      </c>
      <c r="I75" s="2">
        <v>0</v>
      </c>
      <c r="J75" s="2">
        <v>0</v>
      </c>
      <c r="K75" s="2" t="s">
        <v>313</v>
      </c>
      <c r="M75" s="2" t="s">
        <v>153</v>
      </c>
    </row>
    <row r="76" spans="1:13" ht="51">
      <c r="A76" s="2">
        <v>164</v>
      </c>
      <c r="B76" s="2" t="s">
        <v>121</v>
      </c>
      <c r="C76" s="2" t="s">
        <v>250</v>
      </c>
      <c r="D76" s="2" t="s">
        <v>72</v>
      </c>
      <c r="E76" s="2" t="s">
        <v>149</v>
      </c>
      <c r="F76" s="2" t="s">
        <v>330</v>
      </c>
      <c r="G76" s="2" t="s">
        <v>324</v>
      </c>
      <c r="H76" s="2" t="s">
        <v>312</v>
      </c>
      <c r="I76" s="2">
        <v>0</v>
      </c>
      <c r="J76" s="2">
        <v>0</v>
      </c>
      <c r="K76" s="2" t="s">
        <v>313</v>
      </c>
      <c r="M76" s="2" t="s">
        <v>153</v>
      </c>
    </row>
    <row r="77" spans="1:13" ht="63.75">
      <c r="A77" s="2">
        <v>165</v>
      </c>
      <c r="B77" s="2" t="s">
        <v>121</v>
      </c>
      <c r="C77" s="2" t="s">
        <v>250</v>
      </c>
      <c r="D77" s="2" t="s">
        <v>72</v>
      </c>
      <c r="E77" s="2" t="s">
        <v>149</v>
      </c>
      <c r="F77" s="2" t="s">
        <v>331</v>
      </c>
      <c r="G77" s="2" t="s">
        <v>324</v>
      </c>
      <c r="H77" s="2" t="s">
        <v>312</v>
      </c>
      <c r="I77" s="2">
        <v>0</v>
      </c>
      <c r="J77" s="2">
        <v>0</v>
      </c>
      <c r="K77" s="2" t="s">
        <v>313</v>
      </c>
      <c r="M77" s="2" t="s">
        <v>153</v>
      </c>
    </row>
    <row r="78" spans="1:13" ht="76.5">
      <c r="A78" s="2">
        <v>166</v>
      </c>
      <c r="B78" s="2" t="s">
        <v>121</v>
      </c>
      <c r="C78" s="2" t="s">
        <v>250</v>
      </c>
      <c r="D78" s="2" t="s">
        <v>72</v>
      </c>
      <c r="E78" s="2" t="s">
        <v>149</v>
      </c>
      <c r="F78" s="2" t="s">
        <v>332</v>
      </c>
      <c r="G78" s="2" t="s">
        <v>324</v>
      </c>
      <c r="H78" s="2" t="s">
        <v>312</v>
      </c>
      <c r="I78" s="2">
        <v>0</v>
      </c>
      <c r="J78" s="2">
        <v>0</v>
      </c>
      <c r="K78" s="2" t="s">
        <v>313</v>
      </c>
      <c r="M78" s="2" t="s">
        <v>153</v>
      </c>
    </row>
    <row r="79" spans="1:13" ht="51">
      <c r="A79" s="2">
        <v>167</v>
      </c>
      <c r="B79" s="2" t="s">
        <v>121</v>
      </c>
      <c r="C79" s="2" t="s">
        <v>250</v>
      </c>
      <c r="D79" s="2" t="s">
        <v>72</v>
      </c>
      <c r="E79" s="2" t="s">
        <v>149</v>
      </c>
      <c r="F79" s="2" t="s">
        <v>333</v>
      </c>
      <c r="G79" s="2" t="s">
        <v>324</v>
      </c>
      <c r="H79" s="2" t="s">
        <v>312</v>
      </c>
      <c r="I79" s="2">
        <v>0</v>
      </c>
      <c r="J79" s="2">
        <v>0</v>
      </c>
      <c r="K79" s="2" t="s">
        <v>313</v>
      </c>
      <c r="M79" s="2" t="s">
        <v>153</v>
      </c>
    </row>
    <row r="80" spans="1:13" ht="51">
      <c r="A80" s="2">
        <v>168</v>
      </c>
      <c r="B80" s="2" t="s">
        <v>121</v>
      </c>
      <c r="C80" s="2" t="s">
        <v>250</v>
      </c>
      <c r="D80" s="2" t="s">
        <v>72</v>
      </c>
      <c r="E80" s="2" t="s">
        <v>149</v>
      </c>
      <c r="F80" s="2" t="s">
        <v>334</v>
      </c>
      <c r="G80" s="2" t="s">
        <v>324</v>
      </c>
      <c r="H80" s="2" t="s">
        <v>312</v>
      </c>
      <c r="I80" s="2">
        <v>0</v>
      </c>
      <c r="J80" s="2">
        <v>0</v>
      </c>
      <c r="K80" s="2" t="s">
        <v>318</v>
      </c>
      <c r="M80" s="2" t="s">
        <v>153</v>
      </c>
    </row>
    <row r="81" spans="1:13" ht="89.25">
      <c r="A81" s="2">
        <v>169</v>
      </c>
      <c r="B81" s="2" t="s">
        <v>121</v>
      </c>
      <c r="C81" s="2" t="s">
        <v>250</v>
      </c>
      <c r="D81" s="2" t="s">
        <v>72</v>
      </c>
      <c r="E81" s="2" t="s">
        <v>149</v>
      </c>
      <c r="F81" s="2" t="s">
        <v>335</v>
      </c>
      <c r="G81" s="2" t="s">
        <v>336</v>
      </c>
      <c r="H81" s="2" t="s">
        <v>312</v>
      </c>
      <c r="I81" s="2">
        <v>0</v>
      </c>
      <c r="J81" s="2">
        <v>0</v>
      </c>
      <c r="K81" s="2" t="s">
        <v>313</v>
      </c>
      <c r="M81" s="2" t="s">
        <v>153</v>
      </c>
    </row>
    <row r="82" spans="1:13" ht="51">
      <c r="A82" s="2">
        <v>170</v>
      </c>
      <c r="B82" s="2" t="s">
        <v>121</v>
      </c>
      <c r="C82" s="2" t="s">
        <v>250</v>
      </c>
      <c r="D82" s="2" t="s">
        <v>72</v>
      </c>
      <c r="E82" s="2" t="s">
        <v>149</v>
      </c>
      <c r="F82" s="2" t="s">
        <v>337</v>
      </c>
      <c r="G82" s="2" t="s">
        <v>338</v>
      </c>
      <c r="H82" s="2" t="s">
        <v>312</v>
      </c>
      <c r="I82" s="2">
        <v>0</v>
      </c>
      <c r="J82" s="2">
        <v>0</v>
      </c>
      <c r="K82" s="2" t="s">
        <v>318</v>
      </c>
      <c r="M82" s="2" t="s">
        <v>153</v>
      </c>
    </row>
    <row r="83" spans="1:13" ht="76.5">
      <c r="A83" s="2">
        <v>171</v>
      </c>
      <c r="B83" s="2" t="s">
        <v>121</v>
      </c>
      <c r="C83" s="2" t="s">
        <v>250</v>
      </c>
      <c r="D83" s="2" t="s">
        <v>72</v>
      </c>
      <c r="E83" s="2" t="s">
        <v>149</v>
      </c>
      <c r="F83" s="2" t="s">
        <v>339</v>
      </c>
      <c r="G83" s="2" t="s">
        <v>305</v>
      </c>
      <c r="H83" s="2" t="s">
        <v>312</v>
      </c>
      <c r="I83" s="2">
        <v>0</v>
      </c>
      <c r="J83" s="2">
        <v>0</v>
      </c>
      <c r="K83" s="2" t="s">
        <v>340</v>
      </c>
      <c r="M83" s="2" t="s">
        <v>153</v>
      </c>
    </row>
    <row r="84" spans="1:13" ht="51">
      <c r="A84" s="2">
        <v>172</v>
      </c>
      <c r="B84" s="2" t="s">
        <v>121</v>
      </c>
      <c r="C84" s="2" t="s">
        <v>341</v>
      </c>
      <c r="D84" s="2" t="s">
        <v>72</v>
      </c>
      <c r="E84" s="2" t="s">
        <v>149</v>
      </c>
      <c r="F84" s="2" t="s">
        <v>342</v>
      </c>
      <c r="G84" s="2" t="s">
        <v>338</v>
      </c>
      <c r="H84" s="2" t="s">
        <v>312</v>
      </c>
      <c r="I84" s="2">
        <v>0</v>
      </c>
      <c r="J84" s="2">
        <v>0</v>
      </c>
      <c r="K84" s="2" t="s">
        <v>318</v>
      </c>
      <c r="M84" s="2" t="s">
        <v>153</v>
      </c>
    </row>
    <row r="85" spans="1:13" ht="63.75">
      <c r="A85" s="2">
        <v>173</v>
      </c>
      <c r="B85" s="2" t="s">
        <v>121</v>
      </c>
      <c r="C85" s="2" t="s">
        <v>303</v>
      </c>
      <c r="D85" s="2" t="s">
        <v>72</v>
      </c>
      <c r="E85" s="2" t="s">
        <v>149</v>
      </c>
      <c r="F85" s="2" t="s">
        <v>343</v>
      </c>
      <c r="G85" s="2" t="s">
        <v>344</v>
      </c>
      <c r="H85" s="2" t="s">
        <v>312</v>
      </c>
      <c r="I85" s="2">
        <v>0</v>
      </c>
      <c r="J85" s="2">
        <v>0</v>
      </c>
      <c r="K85" s="2" t="s">
        <v>313</v>
      </c>
      <c r="M85" s="2" t="s">
        <v>153</v>
      </c>
    </row>
    <row r="86" spans="1:13" ht="51">
      <c r="A86" s="2">
        <v>174</v>
      </c>
      <c r="B86" s="2" t="s">
        <v>121</v>
      </c>
      <c r="C86" s="2" t="s">
        <v>303</v>
      </c>
      <c r="D86" s="2" t="s">
        <v>72</v>
      </c>
      <c r="E86" s="2" t="s">
        <v>149</v>
      </c>
      <c r="F86" s="2" t="s">
        <v>345</v>
      </c>
      <c r="G86" s="2" t="s">
        <v>344</v>
      </c>
      <c r="H86" s="2" t="s">
        <v>312</v>
      </c>
      <c r="I86" s="2">
        <v>0</v>
      </c>
      <c r="J86" s="2">
        <v>0</v>
      </c>
      <c r="K86" s="2" t="s">
        <v>313</v>
      </c>
      <c r="M86" s="2" t="s">
        <v>153</v>
      </c>
    </row>
    <row r="87" spans="1:13" ht="51">
      <c r="A87" s="2">
        <v>175</v>
      </c>
      <c r="B87" s="2" t="s">
        <v>121</v>
      </c>
      <c r="C87" s="2" t="s">
        <v>303</v>
      </c>
      <c r="D87" s="2" t="s">
        <v>72</v>
      </c>
      <c r="E87" s="2" t="s">
        <v>149</v>
      </c>
      <c r="F87" s="2" t="s">
        <v>346</v>
      </c>
      <c r="G87" s="2" t="s">
        <v>344</v>
      </c>
      <c r="H87" s="2" t="s">
        <v>312</v>
      </c>
      <c r="I87" s="2">
        <v>0</v>
      </c>
      <c r="J87" s="2">
        <v>0</v>
      </c>
      <c r="K87" s="2" t="s">
        <v>313</v>
      </c>
      <c r="M87" s="2" t="s">
        <v>153</v>
      </c>
    </row>
    <row r="88" spans="1:13" ht="51">
      <c r="A88" s="2">
        <v>176</v>
      </c>
      <c r="B88" s="2" t="s">
        <v>121</v>
      </c>
      <c r="C88" s="2" t="s">
        <v>303</v>
      </c>
      <c r="D88" s="2" t="s">
        <v>72</v>
      </c>
      <c r="E88" s="2" t="s">
        <v>149</v>
      </c>
      <c r="F88" s="2" t="s">
        <v>347</v>
      </c>
      <c r="G88" s="2" t="s">
        <v>348</v>
      </c>
      <c r="H88" s="2" t="s">
        <v>312</v>
      </c>
      <c r="I88" s="2">
        <v>0</v>
      </c>
      <c r="J88" s="2">
        <v>0</v>
      </c>
      <c r="K88" s="2" t="s">
        <v>313</v>
      </c>
      <c r="M88" s="2" t="s">
        <v>153</v>
      </c>
    </row>
    <row r="89" spans="1:13" ht="114.75">
      <c r="A89" s="2">
        <v>177</v>
      </c>
      <c r="B89" s="2" t="s">
        <v>121</v>
      </c>
      <c r="C89" s="2" t="s">
        <v>303</v>
      </c>
      <c r="D89" s="2" t="s">
        <v>72</v>
      </c>
      <c r="E89" s="2" t="s">
        <v>149</v>
      </c>
      <c r="F89" s="2" t="s">
        <v>349</v>
      </c>
      <c r="G89" s="2" t="s">
        <v>348</v>
      </c>
      <c r="H89" s="2" t="s">
        <v>312</v>
      </c>
      <c r="I89" s="2">
        <v>0</v>
      </c>
      <c r="J89" s="2">
        <v>0</v>
      </c>
      <c r="K89" s="2" t="s">
        <v>313</v>
      </c>
      <c r="M89" s="2" t="s">
        <v>153</v>
      </c>
    </row>
    <row r="90" spans="1:13" ht="51">
      <c r="A90" s="2">
        <v>178</v>
      </c>
      <c r="B90" s="2" t="s">
        <v>121</v>
      </c>
      <c r="C90" s="2" t="s">
        <v>303</v>
      </c>
      <c r="D90" s="2" t="s">
        <v>72</v>
      </c>
      <c r="E90" s="2" t="s">
        <v>149</v>
      </c>
      <c r="F90" s="2" t="s">
        <v>350</v>
      </c>
      <c r="G90" s="2" t="s">
        <v>348</v>
      </c>
      <c r="H90" s="2" t="s">
        <v>312</v>
      </c>
      <c r="I90" s="2">
        <v>0</v>
      </c>
      <c r="J90" s="2">
        <v>0</v>
      </c>
      <c r="K90" s="2" t="s">
        <v>318</v>
      </c>
      <c r="M90" s="2" t="s">
        <v>153</v>
      </c>
    </row>
    <row r="91" spans="1:13" ht="76.5">
      <c r="A91" s="2">
        <v>179</v>
      </c>
      <c r="B91" s="2" t="s">
        <v>121</v>
      </c>
      <c r="C91" s="2" t="s">
        <v>303</v>
      </c>
      <c r="D91" s="2" t="s">
        <v>72</v>
      </c>
      <c r="E91" s="2" t="s">
        <v>149</v>
      </c>
      <c r="F91" s="2" t="s">
        <v>351</v>
      </c>
      <c r="G91" s="2" t="s">
        <v>348</v>
      </c>
      <c r="H91" s="2" t="s">
        <v>312</v>
      </c>
      <c r="I91" s="2">
        <v>0</v>
      </c>
      <c r="J91" s="2">
        <v>0</v>
      </c>
      <c r="K91" s="2" t="s">
        <v>313</v>
      </c>
      <c r="M91" s="2" t="s">
        <v>153</v>
      </c>
    </row>
    <row r="92" spans="1:13" ht="51">
      <c r="A92" s="2">
        <v>180</v>
      </c>
      <c r="B92" s="2" t="s">
        <v>121</v>
      </c>
      <c r="C92" s="2" t="s">
        <v>303</v>
      </c>
      <c r="D92" s="2" t="s">
        <v>72</v>
      </c>
      <c r="E92" s="2" t="s">
        <v>149</v>
      </c>
      <c r="F92" s="2" t="s">
        <v>352</v>
      </c>
      <c r="G92" s="2" t="s">
        <v>348</v>
      </c>
      <c r="H92" s="2" t="s">
        <v>312</v>
      </c>
      <c r="I92" s="2">
        <v>0</v>
      </c>
      <c r="J92" s="2">
        <v>0</v>
      </c>
      <c r="K92" s="2" t="s">
        <v>313</v>
      </c>
      <c r="M92" s="2" t="s">
        <v>153</v>
      </c>
    </row>
    <row r="93" spans="1:13" ht="76.5">
      <c r="A93" s="2">
        <v>181</v>
      </c>
      <c r="B93" s="2" t="s">
        <v>121</v>
      </c>
      <c r="C93" s="2" t="s">
        <v>303</v>
      </c>
      <c r="D93" s="2" t="s">
        <v>72</v>
      </c>
      <c r="E93" s="2" t="s">
        <v>149</v>
      </c>
      <c r="F93" s="2" t="s">
        <v>353</v>
      </c>
      <c r="G93" s="2" t="s">
        <v>348</v>
      </c>
      <c r="H93" s="2" t="s">
        <v>312</v>
      </c>
      <c r="I93" s="2">
        <v>0</v>
      </c>
      <c r="J93" s="2">
        <v>0</v>
      </c>
      <c r="K93" s="2" t="s">
        <v>318</v>
      </c>
      <c r="M93" s="2" t="s">
        <v>153</v>
      </c>
    </row>
    <row r="94" spans="1:13" ht="409.5">
      <c r="A94" s="2">
        <v>184</v>
      </c>
      <c r="B94" s="2" t="s">
        <v>121</v>
      </c>
      <c r="C94" s="2" t="s">
        <v>250</v>
      </c>
      <c r="D94" s="2" t="s">
        <v>72</v>
      </c>
      <c r="E94" s="2" t="s">
        <v>149</v>
      </c>
      <c r="F94" s="2" t="s">
        <v>354</v>
      </c>
      <c r="G94" s="2" t="s">
        <v>250</v>
      </c>
      <c r="H94" s="2" t="s">
        <v>267</v>
      </c>
      <c r="I94" s="2">
        <v>0</v>
      </c>
      <c r="J94" s="2">
        <v>0</v>
      </c>
      <c r="K94" s="2" t="s">
        <v>355</v>
      </c>
      <c r="M94" s="2" t="s">
        <v>153</v>
      </c>
    </row>
    <row r="95" spans="1:13" ht="102">
      <c r="A95" s="2">
        <v>192</v>
      </c>
      <c r="B95" s="2" t="s">
        <v>121</v>
      </c>
      <c r="C95" s="2" t="s">
        <v>250</v>
      </c>
      <c r="D95" s="2" t="s">
        <v>72</v>
      </c>
      <c r="E95" s="2" t="s">
        <v>149</v>
      </c>
      <c r="F95" s="2" t="s">
        <v>356</v>
      </c>
      <c r="G95" s="2" t="s">
        <v>250</v>
      </c>
      <c r="H95" s="2" t="s">
        <v>272</v>
      </c>
      <c r="I95" s="2">
        <v>0</v>
      </c>
      <c r="J95" s="2">
        <v>0</v>
      </c>
      <c r="K95" s="2" t="s">
        <v>275</v>
      </c>
      <c r="M95" s="2" t="s">
        <v>153</v>
      </c>
    </row>
    <row r="96" spans="1:13" ht="63.75">
      <c r="A96" s="2">
        <v>193</v>
      </c>
      <c r="B96" s="2" t="s">
        <v>121</v>
      </c>
      <c r="C96" s="2" t="s">
        <v>303</v>
      </c>
      <c r="D96" s="2" t="s">
        <v>72</v>
      </c>
      <c r="E96" s="2" t="s">
        <v>149</v>
      </c>
      <c r="F96" s="2" t="s">
        <v>357</v>
      </c>
      <c r="G96" s="2" t="s">
        <v>358</v>
      </c>
      <c r="H96" s="2" t="s">
        <v>306</v>
      </c>
      <c r="I96" s="2">
        <v>0</v>
      </c>
      <c r="J96" s="2">
        <v>0</v>
      </c>
      <c r="K96" s="2" t="s">
        <v>359</v>
      </c>
      <c r="M96" s="2" t="s">
        <v>153</v>
      </c>
    </row>
    <row r="97" spans="1:13" ht="229.5">
      <c r="A97" s="2">
        <v>194</v>
      </c>
      <c r="B97" s="2" t="s">
        <v>121</v>
      </c>
      <c r="C97" s="2" t="s">
        <v>360</v>
      </c>
      <c r="D97" s="2" t="s">
        <v>72</v>
      </c>
      <c r="E97" s="2" t="s">
        <v>32</v>
      </c>
      <c r="F97" s="2" t="s">
        <v>361</v>
      </c>
      <c r="G97" s="2" t="s">
        <v>362</v>
      </c>
      <c r="H97" s="2" t="s">
        <v>168</v>
      </c>
      <c r="I97" s="2">
        <v>-20</v>
      </c>
      <c r="J97" s="2">
        <v>211</v>
      </c>
      <c r="K97" s="2" t="s">
        <v>363</v>
      </c>
      <c r="M97" s="2" t="s">
        <v>153</v>
      </c>
    </row>
    <row r="98" spans="1:13" ht="89.25">
      <c r="A98" s="2">
        <v>195</v>
      </c>
      <c r="B98" s="2" t="s">
        <v>121</v>
      </c>
      <c r="C98" s="2" t="s">
        <v>360</v>
      </c>
      <c r="D98" s="2" t="s">
        <v>72</v>
      </c>
      <c r="E98" s="2" t="s">
        <v>149</v>
      </c>
      <c r="F98" s="2" t="s">
        <v>364</v>
      </c>
      <c r="G98" s="2" t="s">
        <v>250</v>
      </c>
      <c r="H98" s="2" t="s">
        <v>272</v>
      </c>
      <c r="I98" s="2">
        <v>0</v>
      </c>
      <c r="J98" s="2">
        <v>0</v>
      </c>
      <c r="K98" s="2" t="s">
        <v>365</v>
      </c>
      <c r="M98" s="2" t="s">
        <v>153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L197"/>
  <sheetViews>
    <sheetView workbookViewId="0">
      <selection activeCell="A2" sqref="A2:L197"/>
    </sheetView>
  </sheetViews>
  <sheetFormatPr defaultRowHeight="12.75"/>
  <cols>
    <col min="1" max="1" width="5" style="2" customWidth="1"/>
    <col min="2" max="2" width="14" style="2" customWidth="1"/>
    <col min="3" max="3" width="14.140625" style="2" customWidth="1"/>
    <col min="4" max="4" width="12" style="2" customWidth="1"/>
    <col min="5" max="5" width="27.7109375" style="2" customWidth="1"/>
    <col min="6" max="6" width="17.28515625" style="2" customWidth="1"/>
    <col min="7" max="7" width="14.7109375" style="2" customWidth="1"/>
    <col min="8" max="8" width="13.42578125" style="2" customWidth="1"/>
    <col min="9" max="9" width="12.85546875" style="2" customWidth="1"/>
    <col min="10" max="10" width="38.28515625" style="2" customWidth="1"/>
    <col min="11" max="12" width="27.140625" style="2" customWidth="1"/>
  </cols>
  <sheetData>
    <row r="1" spans="1:12">
      <c r="A1" s="3" t="s">
        <v>0</v>
      </c>
      <c r="B1" s="3" t="s">
        <v>1</v>
      </c>
      <c r="C1" s="3" t="s">
        <v>2</v>
      </c>
      <c r="D1" s="3" t="s">
        <v>31</v>
      </c>
      <c r="E1" s="3" t="s">
        <v>5</v>
      </c>
      <c r="F1" s="3" t="s">
        <v>15</v>
      </c>
      <c r="G1" s="3" t="s">
        <v>16</v>
      </c>
      <c r="H1" s="3" t="s">
        <v>6</v>
      </c>
      <c r="I1" s="3" t="s">
        <v>7</v>
      </c>
      <c r="J1" s="3" t="s">
        <v>8</v>
      </c>
      <c r="K1" s="3" t="s">
        <v>9</v>
      </c>
      <c r="L1" s="3" t="s">
        <v>39</v>
      </c>
    </row>
    <row r="2" spans="1:12" ht="76.5">
      <c r="A2" s="2">
        <v>63</v>
      </c>
      <c r="B2" s="2" t="s">
        <v>68</v>
      </c>
      <c r="C2" s="2" t="s">
        <v>156</v>
      </c>
      <c r="D2" s="2" t="s">
        <v>366</v>
      </c>
      <c r="E2" s="2" t="s">
        <v>367</v>
      </c>
      <c r="F2" s="2" t="s">
        <v>368</v>
      </c>
      <c r="G2" s="2" t="s">
        <v>369</v>
      </c>
      <c r="H2" s="2">
        <v>0</v>
      </c>
      <c r="I2" s="2">
        <v>0</v>
      </c>
      <c r="J2" s="2" t="s">
        <v>370</v>
      </c>
      <c r="L2" s="2" t="s">
        <v>371</v>
      </c>
    </row>
    <row r="3" spans="1:12" ht="51">
      <c r="A3" s="2">
        <v>117</v>
      </c>
      <c r="B3" s="2" t="s">
        <v>44</v>
      </c>
      <c r="C3" s="2" t="s">
        <v>40</v>
      </c>
      <c r="D3" s="2" t="s">
        <v>366</v>
      </c>
      <c r="E3" s="2" t="s">
        <v>372</v>
      </c>
      <c r="F3" s="2" t="s">
        <v>373</v>
      </c>
      <c r="G3" s="2" t="s">
        <v>267</v>
      </c>
      <c r="H3" s="2">
        <v>0</v>
      </c>
      <c r="I3" s="2">
        <v>0</v>
      </c>
      <c r="J3" s="2" t="s">
        <v>374</v>
      </c>
      <c r="L3" s="2" t="s">
        <v>375</v>
      </c>
    </row>
    <row r="4" spans="1:12" ht="114.75">
      <c r="A4" s="2">
        <v>256</v>
      </c>
      <c r="B4" s="2" t="s">
        <v>44</v>
      </c>
      <c r="C4" s="2" t="s">
        <v>73</v>
      </c>
      <c r="D4" s="2" t="s">
        <v>366</v>
      </c>
      <c r="E4" s="2" t="s">
        <v>376</v>
      </c>
      <c r="F4" s="2" t="s">
        <v>377</v>
      </c>
      <c r="G4" s="2" t="s">
        <v>378</v>
      </c>
      <c r="H4" s="2">
        <v>0</v>
      </c>
      <c r="I4" s="2">
        <v>0</v>
      </c>
      <c r="J4" s="2" t="s">
        <v>967</v>
      </c>
      <c r="L4" s="2" t="s">
        <v>375</v>
      </c>
    </row>
    <row r="5" spans="1:12" ht="153">
      <c r="A5" s="2">
        <v>13</v>
      </c>
      <c r="B5" s="2" t="s">
        <v>80</v>
      </c>
      <c r="C5" s="2" t="s">
        <v>81</v>
      </c>
      <c r="D5" s="2" t="s">
        <v>366</v>
      </c>
      <c r="E5" s="2" t="s">
        <v>379</v>
      </c>
      <c r="F5" s="2" t="s">
        <v>380</v>
      </c>
      <c r="G5" s="2" t="s">
        <v>381</v>
      </c>
      <c r="H5" s="2">
        <v>0</v>
      </c>
      <c r="I5" s="2">
        <v>0</v>
      </c>
      <c r="J5" s="2" t="s">
        <v>382</v>
      </c>
      <c r="L5" s="2" t="s">
        <v>375</v>
      </c>
    </row>
    <row r="6" spans="1:12" ht="51">
      <c r="A6" s="2">
        <v>196</v>
      </c>
      <c r="B6" s="2" t="s">
        <v>80</v>
      </c>
      <c r="C6" s="2" t="s">
        <v>81</v>
      </c>
      <c r="D6" s="2" t="s">
        <v>366</v>
      </c>
      <c r="E6" s="2" t="s">
        <v>383</v>
      </c>
      <c r="F6" s="2" t="s">
        <v>384</v>
      </c>
      <c r="G6" s="2" t="s">
        <v>385</v>
      </c>
      <c r="H6" s="2">
        <v>0</v>
      </c>
      <c r="I6" s="2">
        <v>0</v>
      </c>
      <c r="J6" s="2" t="s">
        <v>386</v>
      </c>
      <c r="L6" s="2" t="s">
        <v>375</v>
      </c>
    </row>
    <row r="7" spans="1:12" ht="409.5">
      <c r="A7" s="2">
        <v>15</v>
      </c>
      <c r="B7" s="2" t="s">
        <v>19</v>
      </c>
      <c r="C7" s="2" t="s">
        <v>62</v>
      </c>
      <c r="D7" s="2" t="s">
        <v>366</v>
      </c>
      <c r="E7" s="2" t="s">
        <v>387</v>
      </c>
      <c r="F7" s="2" t="s">
        <v>388</v>
      </c>
      <c r="G7" s="2" t="s">
        <v>389</v>
      </c>
      <c r="H7" s="2">
        <v>0</v>
      </c>
      <c r="I7" s="2">
        <v>0</v>
      </c>
      <c r="J7" s="2" t="s">
        <v>390</v>
      </c>
      <c r="L7" s="2" t="s">
        <v>375</v>
      </c>
    </row>
    <row r="8" spans="1:12" ht="51">
      <c r="A8" s="2">
        <v>55</v>
      </c>
      <c r="B8" s="2" t="s">
        <v>19</v>
      </c>
      <c r="C8" s="2" t="s">
        <v>90</v>
      </c>
      <c r="D8" s="2" t="s">
        <v>366</v>
      </c>
      <c r="E8" s="2" t="s">
        <v>391</v>
      </c>
      <c r="F8" s="2" t="s">
        <v>392</v>
      </c>
      <c r="G8" s="2" t="s">
        <v>393</v>
      </c>
      <c r="H8" s="2">
        <v>0</v>
      </c>
      <c r="I8" s="2">
        <v>0</v>
      </c>
      <c r="L8" s="2" t="s">
        <v>394</v>
      </c>
    </row>
    <row r="9" spans="1:12" ht="51">
      <c r="A9" s="2">
        <v>59</v>
      </c>
      <c r="B9" s="2" t="s">
        <v>19</v>
      </c>
      <c r="C9" s="2" t="s">
        <v>184</v>
      </c>
      <c r="D9" s="2" t="s">
        <v>366</v>
      </c>
      <c r="E9" s="2" t="s">
        <v>395</v>
      </c>
      <c r="F9" s="2" t="s">
        <v>396</v>
      </c>
      <c r="G9" s="2" t="s">
        <v>397</v>
      </c>
      <c r="H9" s="2">
        <v>0</v>
      </c>
      <c r="I9" s="2">
        <v>0</v>
      </c>
      <c r="J9" s="2" t="s">
        <v>398</v>
      </c>
      <c r="L9" s="2" t="s">
        <v>375</v>
      </c>
    </row>
    <row r="10" spans="1:12" ht="51">
      <c r="A10" s="2">
        <v>64</v>
      </c>
      <c r="B10" s="2" t="s">
        <v>19</v>
      </c>
      <c r="C10" s="2" t="s">
        <v>184</v>
      </c>
      <c r="D10" s="2" t="s">
        <v>366</v>
      </c>
      <c r="E10" s="2" t="s">
        <v>399</v>
      </c>
      <c r="F10" s="2" t="s">
        <v>380</v>
      </c>
      <c r="G10" s="2" t="s">
        <v>400</v>
      </c>
      <c r="H10" s="2">
        <v>0</v>
      </c>
      <c r="I10" s="2">
        <v>0</v>
      </c>
      <c r="J10" s="2" t="s">
        <v>401</v>
      </c>
      <c r="K10" s="2" t="s">
        <v>402</v>
      </c>
      <c r="L10" s="2" t="s">
        <v>375</v>
      </c>
    </row>
    <row r="11" spans="1:12" ht="178.5">
      <c r="A11" s="2">
        <v>65</v>
      </c>
      <c r="B11" s="2" t="s">
        <v>19</v>
      </c>
      <c r="C11" s="2" t="s">
        <v>403</v>
      </c>
      <c r="D11" s="2" t="s">
        <v>366</v>
      </c>
      <c r="E11" s="2" t="s">
        <v>404</v>
      </c>
      <c r="F11" s="2" t="s">
        <v>380</v>
      </c>
      <c r="G11" s="2" t="s">
        <v>312</v>
      </c>
      <c r="H11" s="2">
        <v>0</v>
      </c>
      <c r="I11" s="2">
        <v>0</v>
      </c>
      <c r="J11" s="2" t="s">
        <v>405</v>
      </c>
      <c r="L11" s="2" t="s">
        <v>406</v>
      </c>
    </row>
    <row r="12" spans="1:12" ht="229.5">
      <c r="A12" s="2">
        <v>66</v>
      </c>
      <c r="B12" s="2" t="s">
        <v>19</v>
      </c>
      <c r="C12" s="2" t="s">
        <v>184</v>
      </c>
      <c r="D12" s="2" t="s">
        <v>366</v>
      </c>
      <c r="E12" s="2" t="s">
        <v>407</v>
      </c>
      <c r="F12" s="2" t="s">
        <v>368</v>
      </c>
      <c r="G12" s="2" t="s">
        <v>408</v>
      </c>
      <c r="H12" s="2">
        <v>0</v>
      </c>
      <c r="I12" s="2">
        <v>0</v>
      </c>
      <c r="J12" s="2" t="s">
        <v>409</v>
      </c>
      <c r="L12" s="2" t="s">
        <v>410</v>
      </c>
    </row>
    <row r="13" spans="1:12" ht="89.25">
      <c r="A13" s="2">
        <v>68</v>
      </c>
      <c r="B13" s="2" t="s">
        <v>19</v>
      </c>
      <c r="C13" s="2" t="s">
        <v>184</v>
      </c>
      <c r="D13" s="2" t="s">
        <v>366</v>
      </c>
      <c r="E13" s="2" t="s">
        <v>411</v>
      </c>
      <c r="F13" s="2" t="s">
        <v>380</v>
      </c>
      <c r="G13" s="2" t="s">
        <v>408</v>
      </c>
      <c r="H13" s="2">
        <v>0</v>
      </c>
      <c r="I13" s="2">
        <v>0</v>
      </c>
      <c r="J13" s="2" t="s">
        <v>412</v>
      </c>
      <c r="L13" s="2" t="s">
        <v>413</v>
      </c>
    </row>
    <row r="14" spans="1:12" ht="395.25">
      <c r="A14" s="2">
        <v>118</v>
      </c>
      <c r="B14" s="2" t="s">
        <v>19</v>
      </c>
      <c r="C14" s="2" t="s">
        <v>88</v>
      </c>
      <c r="D14" s="2" t="s">
        <v>33</v>
      </c>
      <c r="E14" s="2" t="s">
        <v>414</v>
      </c>
      <c r="F14" s="2" t="s">
        <v>380</v>
      </c>
      <c r="G14" s="2" t="s">
        <v>907</v>
      </c>
      <c r="H14" s="2">
        <v>2</v>
      </c>
      <c r="I14" s="2">
        <v>159</v>
      </c>
      <c r="J14" s="2" t="s">
        <v>968</v>
      </c>
      <c r="L14" s="2" t="s">
        <v>375</v>
      </c>
    </row>
    <row r="15" spans="1:12" ht="409.5">
      <c r="A15" s="2">
        <v>206</v>
      </c>
      <c r="B15" s="2" t="s">
        <v>19</v>
      </c>
      <c r="C15" s="2" t="s">
        <v>62</v>
      </c>
      <c r="D15" s="2" t="s">
        <v>33</v>
      </c>
      <c r="E15" s="2" t="s">
        <v>415</v>
      </c>
      <c r="F15" s="2" t="s">
        <v>416</v>
      </c>
      <c r="G15" s="2" t="s">
        <v>922</v>
      </c>
      <c r="H15" s="2">
        <v>15</v>
      </c>
      <c r="I15" s="2">
        <v>237</v>
      </c>
      <c r="J15" s="2" t="s">
        <v>923</v>
      </c>
      <c r="L15" s="2" t="s">
        <v>375</v>
      </c>
    </row>
    <row r="16" spans="1:12" ht="51">
      <c r="A16" s="2">
        <v>210</v>
      </c>
      <c r="B16" s="2" t="s">
        <v>19</v>
      </c>
      <c r="C16" s="2" t="s">
        <v>62</v>
      </c>
      <c r="D16" s="2" t="s">
        <v>366</v>
      </c>
      <c r="E16" s="2" t="s">
        <v>417</v>
      </c>
      <c r="F16" s="2" t="s">
        <v>416</v>
      </c>
      <c r="G16" s="2" t="s">
        <v>418</v>
      </c>
      <c r="H16" s="2">
        <v>0</v>
      </c>
      <c r="I16" s="2">
        <v>0</v>
      </c>
      <c r="L16" s="2" t="s">
        <v>375</v>
      </c>
    </row>
    <row r="17" spans="1:12" ht="51">
      <c r="A17" s="2">
        <v>211</v>
      </c>
      <c r="B17" s="2" t="s">
        <v>19</v>
      </c>
      <c r="C17" s="2" t="s">
        <v>62</v>
      </c>
      <c r="D17" s="2" t="s">
        <v>366</v>
      </c>
      <c r="E17" s="2" t="s">
        <v>419</v>
      </c>
      <c r="F17" s="2" t="s">
        <v>416</v>
      </c>
      <c r="G17" s="2" t="s">
        <v>420</v>
      </c>
      <c r="H17" s="2">
        <v>0</v>
      </c>
      <c r="I17" s="2">
        <v>0</v>
      </c>
      <c r="L17" s="2" t="s">
        <v>375</v>
      </c>
    </row>
    <row r="18" spans="1:12" ht="102">
      <c r="A18" s="2">
        <v>216</v>
      </c>
      <c r="B18" s="2" t="s">
        <v>19</v>
      </c>
      <c r="C18" s="2" t="s">
        <v>88</v>
      </c>
      <c r="D18" s="2" t="s">
        <v>33</v>
      </c>
      <c r="E18" s="2" t="s">
        <v>421</v>
      </c>
      <c r="F18" s="2" t="s">
        <v>380</v>
      </c>
      <c r="G18" s="2" t="s">
        <v>907</v>
      </c>
      <c r="H18" s="2">
        <v>2</v>
      </c>
      <c r="I18" s="2">
        <v>132</v>
      </c>
      <c r="J18" s="2" t="s">
        <v>969</v>
      </c>
      <c r="L18" s="2" t="s">
        <v>375</v>
      </c>
    </row>
    <row r="19" spans="1:12" ht="63.75">
      <c r="A19" s="2">
        <v>217</v>
      </c>
      <c r="B19" s="2" t="s">
        <v>19</v>
      </c>
      <c r="C19" s="2" t="s">
        <v>88</v>
      </c>
      <c r="D19" s="2" t="s">
        <v>366</v>
      </c>
      <c r="E19" s="2" t="s">
        <v>422</v>
      </c>
      <c r="F19" s="2" t="s">
        <v>388</v>
      </c>
      <c r="G19" s="2" t="s">
        <v>139</v>
      </c>
      <c r="H19" s="2">
        <v>0</v>
      </c>
      <c r="I19" s="2">
        <v>0</v>
      </c>
      <c r="J19" s="2" t="s">
        <v>423</v>
      </c>
      <c r="L19" s="2" t="s">
        <v>375</v>
      </c>
    </row>
    <row r="20" spans="1:12" ht="331.5">
      <c r="A20" s="2">
        <v>220</v>
      </c>
      <c r="B20" s="2" t="s">
        <v>19</v>
      </c>
      <c r="C20" s="2" t="s">
        <v>88</v>
      </c>
      <c r="D20" s="2" t="s">
        <v>33</v>
      </c>
      <c r="E20" s="2" t="s">
        <v>424</v>
      </c>
      <c r="F20" s="2" t="s">
        <v>380</v>
      </c>
      <c r="G20" s="2" t="s">
        <v>970</v>
      </c>
      <c r="H20" s="2">
        <v>39</v>
      </c>
      <c r="I20" s="2">
        <v>131</v>
      </c>
      <c r="J20" s="2" t="s">
        <v>971</v>
      </c>
      <c r="L20" s="2" t="s">
        <v>375</v>
      </c>
    </row>
    <row r="21" spans="1:12" ht="51">
      <c r="A21" s="2">
        <v>258</v>
      </c>
      <c r="B21" s="2" t="s">
        <v>19</v>
      </c>
      <c r="C21" s="2" t="s">
        <v>90</v>
      </c>
      <c r="D21" s="2" t="s">
        <v>366</v>
      </c>
      <c r="E21" s="2" t="s">
        <v>425</v>
      </c>
      <c r="F21" s="2" t="s">
        <v>426</v>
      </c>
      <c r="G21" s="2" t="s">
        <v>427</v>
      </c>
      <c r="H21" s="2">
        <v>0</v>
      </c>
      <c r="I21" s="2">
        <v>0</v>
      </c>
      <c r="L21" s="2" t="s">
        <v>375</v>
      </c>
    </row>
    <row r="22" spans="1:12" ht="242.25">
      <c r="A22" s="2">
        <v>16</v>
      </c>
      <c r="B22" s="2" t="s">
        <v>49</v>
      </c>
      <c r="C22" s="2" t="s">
        <v>428</v>
      </c>
      <c r="D22" s="2" t="s">
        <v>366</v>
      </c>
      <c r="E22" s="2" t="s">
        <v>429</v>
      </c>
      <c r="F22" s="2" t="s">
        <v>380</v>
      </c>
      <c r="G22" s="2" t="s">
        <v>430</v>
      </c>
      <c r="H22" s="2">
        <v>0</v>
      </c>
      <c r="I22" s="2">
        <v>0</v>
      </c>
      <c r="J22" s="2" t="s">
        <v>431</v>
      </c>
      <c r="L22" s="2" t="s">
        <v>432</v>
      </c>
    </row>
    <row r="23" spans="1:12" ht="409.5">
      <c r="A23" s="2">
        <v>18</v>
      </c>
      <c r="B23" s="2" t="s">
        <v>49</v>
      </c>
      <c r="C23" s="2" t="s">
        <v>303</v>
      </c>
      <c r="D23" s="2" t="s">
        <v>366</v>
      </c>
      <c r="E23" s="2" t="s">
        <v>433</v>
      </c>
      <c r="F23" s="2" t="s">
        <v>434</v>
      </c>
      <c r="G23" s="2" t="s">
        <v>435</v>
      </c>
      <c r="H23" s="2">
        <v>0</v>
      </c>
      <c r="I23" s="2">
        <v>0</v>
      </c>
      <c r="J23" s="2" t="s">
        <v>436</v>
      </c>
      <c r="L23" s="2" t="s">
        <v>375</v>
      </c>
    </row>
    <row r="24" spans="1:12" ht="114.75">
      <c r="A24" s="2">
        <v>69</v>
      </c>
      <c r="B24" s="2" t="s">
        <v>49</v>
      </c>
      <c r="C24" s="2" t="s">
        <v>62</v>
      </c>
      <c r="D24" s="2" t="s">
        <v>366</v>
      </c>
      <c r="E24" s="2" t="s">
        <v>437</v>
      </c>
      <c r="F24" s="2" t="s">
        <v>380</v>
      </c>
      <c r="G24" s="2" t="s">
        <v>438</v>
      </c>
      <c r="H24" s="2">
        <v>0</v>
      </c>
      <c r="I24" s="2">
        <v>0</v>
      </c>
      <c r="J24" s="2" t="s">
        <v>439</v>
      </c>
      <c r="L24" s="2" t="s">
        <v>440</v>
      </c>
    </row>
    <row r="25" spans="1:12" ht="178.5">
      <c r="A25" s="2">
        <v>70</v>
      </c>
      <c r="B25" s="2" t="s">
        <v>49</v>
      </c>
      <c r="C25" s="2" t="s">
        <v>62</v>
      </c>
      <c r="D25" s="2" t="s">
        <v>366</v>
      </c>
      <c r="E25" s="2" t="s">
        <v>441</v>
      </c>
      <c r="F25" s="2" t="s">
        <v>380</v>
      </c>
      <c r="G25" s="2" t="s">
        <v>438</v>
      </c>
      <c r="H25" s="2">
        <v>0</v>
      </c>
      <c r="I25" s="2">
        <v>0</v>
      </c>
      <c r="J25" s="2" t="s">
        <v>442</v>
      </c>
      <c r="L25" s="2" t="s">
        <v>443</v>
      </c>
    </row>
    <row r="26" spans="1:12" ht="127.5">
      <c r="A26" s="2">
        <v>71</v>
      </c>
      <c r="B26" s="2" t="s">
        <v>49</v>
      </c>
      <c r="C26" s="2" t="s">
        <v>148</v>
      </c>
      <c r="D26" s="2" t="s">
        <v>366</v>
      </c>
      <c r="E26" s="2" t="s">
        <v>444</v>
      </c>
      <c r="F26" s="2" t="s">
        <v>368</v>
      </c>
      <c r="G26" s="2" t="s">
        <v>369</v>
      </c>
      <c r="H26" s="2">
        <v>0</v>
      </c>
      <c r="I26" s="2">
        <v>0</v>
      </c>
      <c r="J26" s="2" t="s">
        <v>445</v>
      </c>
      <c r="L26" s="2" t="s">
        <v>446</v>
      </c>
    </row>
    <row r="27" spans="1:12" ht="102">
      <c r="A27" s="2">
        <v>72</v>
      </c>
      <c r="B27" s="2" t="s">
        <v>49</v>
      </c>
      <c r="C27" s="2" t="s">
        <v>148</v>
      </c>
      <c r="D27" s="2" t="s">
        <v>366</v>
      </c>
      <c r="E27" s="2" t="s">
        <v>447</v>
      </c>
      <c r="F27" s="2" t="s">
        <v>368</v>
      </c>
      <c r="G27" s="2" t="s">
        <v>369</v>
      </c>
      <c r="H27" s="2">
        <v>0</v>
      </c>
      <c r="I27" s="2">
        <v>0</v>
      </c>
      <c r="J27" s="2" t="s">
        <v>448</v>
      </c>
      <c r="L27" s="2" t="s">
        <v>449</v>
      </c>
    </row>
    <row r="28" spans="1:12" ht="102">
      <c r="A28" s="2">
        <v>73</v>
      </c>
      <c r="B28" s="2" t="s">
        <v>49</v>
      </c>
      <c r="C28" s="2" t="s">
        <v>450</v>
      </c>
      <c r="D28" s="2" t="s">
        <v>366</v>
      </c>
      <c r="E28" s="2" t="s">
        <v>451</v>
      </c>
      <c r="F28" s="2" t="s">
        <v>380</v>
      </c>
      <c r="G28" s="2" t="s">
        <v>452</v>
      </c>
      <c r="H28" s="2">
        <v>0</v>
      </c>
      <c r="I28" s="2">
        <v>0</v>
      </c>
      <c r="J28" s="2" t="s">
        <v>453</v>
      </c>
      <c r="L28" s="2" t="s">
        <v>454</v>
      </c>
    </row>
    <row r="29" spans="1:12" ht="114.75">
      <c r="A29" s="2">
        <v>88</v>
      </c>
      <c r="B29" s="2" t="s">
        <v>49</v>
      </c>
      <c r="C29" s="2" t="s">
        <v>58</v>
      </c>
      <c r="D29" s="2" t="s">
        <v>366</v>
      </c>
      <c r="E29" s="2" t="s">
        <v>455</v>
      </c>
      <c r="F29" s="2" t="s">
        <v>380</v>
      </c>
      <c r="G29" s="2" t="s">
        <v>306</v>
      </c>
      <c r="H29" s="2">
        <v>0</v>
      </c>
      <c r="I29" s="2">
        <v>0</v>
      </c>
      <c r="J29" s="2" t="s">
        <v>456</v>
      </c>
      <c r="L29" s="2" t="s">
        <v>457</v>
      </c>
    </row>
    <row r="30" spans="1:12" ht="114.75">
      <c r="A30" s="2">
        <v>189</v>
      </c>
      <c r="B30" s="2" t="s">
        <v>49</v>
      </c>
      <c r="C30" s="2" t="s">
        <v>428</v>
      </c>
      <c r="D30" s="2" t="s">
        <v>366</v>
      </c>
      <c r="E30" s="2" t="s">
        <v>458</v>
      </c>
      <c r="F30" s="2" t="s">
        <v>380</v>
      </c>
      <c r="G30" s="2" t="s">
        <v>459</v>
      </c>
      <c r="H30" s="2">
        <v>0</v>
      </c>
      <c r="I30" s="2">
        <v>0</v>
      </c>
      <c r="J30" s="2" t="s">
        <v>460</v>
      </c>
      <c r="L30" s="2" t="s">
        <v>461</v>
      </c>
    </row>
    <row r="31" spans="1:12" ht="89.25">
      <c r="A31" s="2">
        <v>190</v>
      </c>
      <c r="B31" s="2" t="s">
        <v>49</v>
      </c>
      <c r="C31" s="2" t="s">
        <v>428</v>
      </c>
      <c r="D31" s="2" t="s">
        <v>366</v>
      </c>
      <c r="E31" s="2" t="s">
        <v>462</v>
      </c>
      <c r="F31" s="2" t="s">
        <v>380</v>
      </c>
      <c r="G31" s="2" t="s">
        <v>463</v>
      </c>
      <c r="H31" s="2">
        <v>0</v>
      </c>
      <c r="I31" s="2">
        <v>0</v>
      </c>
      <c r="J31" s="2" t="s">
        <v>464</v>
      </c>
      <c r="L31" s="2" t="s">
        <v>465</v>
      </c>
    </row>
    <row r="32" spans="1:12" ht="409.5">
      <c r="A32" s="2">
        <v>14</v>
      </c>
      <c r="B32" s="2" t="s">
        <v>20</v>
      </c>
      <c r="C32" s="2" t="s">
        <v>66</v>
      </c>
      <c r="D32" s="2" t="s">
        <v>366</v>
      </c>
      <c r="E32" s="2" t="s">
        <v>466</v>
      </c>
      <c r="F32" s="2" t="s">
        <v>380</v>
      </c>
      <c r="G32" s="2" t="s">
        <v>467</v>
      </c>
      <c r="H32" s="2">
        <v>0</v>
      </c>
      <c r="I32" s="2">
        <v>0</v>
      </c>
      <c r="J32" s="2" t="s">
        <v>468</v>
      </c>
      <c r="L32" s="2" t="s">
        <v>375</v>
      </c>
    </row>
    <row r="33" spans="1:12" ht="409.5">
      <c r="A33" s="2">
        <v>19</v>
      </c>
      <c r="B33" s="2" t="s">
        <v>20</v>
      </c>
      <c r="C33" s="2" t="s">
        <v>54</v>
      </c>
      <c r="D33" s="2" t="s">
        <v>366</v>
      </c>
      <c r="E33" s="2" t="s">
        <v>469</v>
      </c>
      <c r="F33" s="2" t="s">
        <v>470</v>
      </c>
      <c r="G33" s="2" t="s">
        <v>471</v>
      </c>
      <c r="H33" s="2">
        <v>0</v>
      </c>
      <c r="I33" s="2">
        <v>0</v>
      </c>
      <c r="J33" s="2" t="s">
        <v>472</v>
      </c>
      <c r="L33" s="2" t="s">
        <v>375</v>
      </c>
    </row>
    <row r="34" spans="1:12" ht="409.5">
      <c r="A34" s="2">
        <v>21</v>
      </c>
      <c r="B34" s="2" t="s">
        <v>20</v>
      </c>
      <c r="C34" s="2" t="s">
        <v>21</v>
      </c>
      <c r="D34" s="2" t="s">
        <v>366</v>
      </c>
      <c r="E34" s="2" t="s">
        <v>473</v>
      </c>
      <c r="F34" s="2" t="s">
        <v>373</v>
      </c>
      <c r="G34" s="2" t="s">
        <v>474</v>
      </c>
      <c r="H34" s="2">
        <v>0</v>
      </c>
      <c r="I34" s="2">
        <v>0</v>
      </c>
      <c r="J34" s="2" t="s">
        <v>475</v>
      </c>
      <c r="L34" s="2" t="s">
        <v>375</v>
      </c>
    </row>
    <row r="35" spans="1:12" ht="229.5">
      <c r="A35" s="2">
        <v>22</v>
      </c>
      <c r="B35" s="2" t="s">
        <v>20</v>
      </c>
      <c r="C35" s="2" t="s">
        <v>179</v>
      </c>
      <c r="D35" s="2" t="s">
        <v>366</v>
      </c>
      <c r="E35" s="2" t="s">
        <v>476</v>
      </c>
      <c r="F35" s="2" t="s">
        <v>380</v>
      </c>
      <c r="G35" s="2" t="s">
        <v>477</v>
      </c>
      <c r="H35" s="2">
        <v>0</v>
      </c>
      <c r="I35" s="2">
        <v>0</v>
      </c>
      <c r="J35" s="2" t="s">
        <v>478</v>
      </c>
      <c r="L35" s="2" t="s">
        <v>375</v>
      </c>
    </row>
    <row r="36" spans="1:12" ht="409.5">
      <c r="A36" s="2">
        <v>24</v>
      </c>
      <c r="B36" s="2" t="s">
        <v>20</v>
      </c>
      <c r="C36" s="2" t="s">
        <v>21</v>
      </c>
      <c r="D36" s="2" t="s">
        <v>366</v>
      </c>
      <c r="E36" s="2" t="s">
        <v>479</v>
      </c>
      <c r="F36" s="2" t="s">
        <v>480</v>
      </c>
      <c r="G36" s="2" t="s">
        <v>385</v>
      </c>
      <c r="H36" s="2">
        <v>0</v>
      </c>
      <c r="I36" s="2">
        <v>0</v>
      </c>
      <c r="J36" s="2" t="s">
        <v>481</v>
      </c>
      <c r="L36" s="2" t="s">
        <v>375</v>
      </c>
    </row>
    <row r="37" spans="1:12" ht="409.5">
      <c r="A37" s="2">
        <v>25</v>
      </c>
      <c r="B37" s="2" t="s">
        <v>20</v>
      </c>
      <c r="C37" s="2" t="s">
        <v>21</v>
      </c>
      <c r="D37" s="2" t="s">
        <v>366</v>
      </c>
      <c r="E37" s="2" t="s">
        <v>482</v>
      </c>
      <c r="F37" s="2" t="s">
        <v>377</v>
      </c>
      <c r="G37" s="2" t="s">
        <v>483</v>
      </c>
      <c r="H37" s="2">
        <v>0</v>
      </c>
      <c r="I37" s="2">
        <v>0</v>
      </c>
      <c r="J37" s="2" t="s">
        <v>484</v>
      </c>
      <c r="L37" s="2" t="s">
        <v>375</v>
      </c>
    </row>
    <row r="38" spans="1:12" ht="267.75">
      <c r="A38" s="2">
        <v>33</v>
      </c>
      <c r="B38" s="2" t="s">
        <v>20</v>
      </c>
      <c r="C38" s="2" t="s">
        <v>40</v>
      </c>
      <c r="D38" s="2" t="s">
        <v>366</v>
      </c>
      <c r="E38" s="2" t="s">
        <v>485</v>
      </c>
      <c r="F38" s="2" t="s">
        <v>388</v>
      </c>
      <c r="G38" s="2" t="s">
        <v>486</v>
      </c>
      <c r="H38" s="2">
        <v>0</v>
      </c>
      <c r="I38" s="2">
        <v>0</v>
      </c>
      <c r="J38" s="2" t="s">
        <v>487</v>
      </c>
      <c r="L38" s="2" t="s">
        <v>375</v>
      </c>
    </row>
    <row r="39" spans="1:12" ht="51">
      <c r="A39" s="2">
        <v>77</v>
      </c>
      <c r="B39" s="2" t="s">
        <v>20</v>
      </c>
      <c r="C39" s="2" t="s">
        <v>488</v>
      </c>
      <c r="D39" s="2" t="s">
        <v>366</v>
      </c>
      <c r="E39" s="2" t="s">
        <v>489</v>
      </c>
      <c r="F39" s="2" t="s">
        <v>392</v>
      </c>
      <c r="G39" s="2" t="s">
        <v>490</v>
      </c>
      <c r="H39" s="2">
        <v>0</v>
      </c>
      <c r="I39" s="2">
        <v>0</v>
      </c>
      <c r="J39" s="2" t="s">
        <v>491</v>
      </c>
      <c r="L39" s="2" t="s">
        <v>375</v>
      </c>
    </row>
    <row r="40" spans="1:12" ht="51">
      <c r="A40" s="2">
        <v>78</v>
      </c>
      <c r="B40" s="2" t="s">
        <v>20</v>
      </c>
      <c r="C40" s="2" t="s">
        <v>488</v>
      </c>
      <c r="D40" s="2" t="s">
        <v>366</v>
      </c>
      <c r="E40" s="2" t="s">
        <v>492</v>
      </c>
      <c r="F40" s="2" t="s">
        <v>392</v>
      </c>
      <c r="G40" s="2" t="s">
        <v>490</v>
      </c>
      <c r="H40" s="2">
        <v>0</v>
      </c>
      <c r="I40" s="2">
        <v>0</v>
      </c>
      <c r="J40" s="2" t="s">
        <v>493</v>
      </c>
      <c r="L40" s="2" t="s">
        <v>375</v>
      </c>
    </row>
    <row r="41" spans="1:12" ht="280.5">
      <c r="A41" s="2">
        <v>82</v>
      </c>
      <c r="B41" s="2" t="s">
        <v>20</v>
      </c>
      <c r="C41" s="2" t="s">
        <v>179</v>
      </c>
      <c r="D41" s="2" t="s">
        <v>366</v>
      </c>
      <c r="E41" s="2" t="s">
        <v>494</v>
      </c>
      <c r="F41" s="2" t="s">
        <v>416</v>
      </c>
      <c r="G41" s="2" t="s">
        <v>490</v>
      </c>
      <c r="H41" s="2">
        <v>0</v>
      </c>
      <c r="I41" s="2">
        <v>0</v>
      </c>
      <c r="J41" s="2" t="s">
        <v>495</v>
      </c>
      <c r="L41" s="2" t="s">
        <v>375</v>
      </c>
    </row>
    <row r="42" spans="1:12" ht="51">
      <c r="A42" s="2">
        <v>83</v>
      </c>
      <c r="B42" s="2" t="s">
        <v>20</v>
      </c>
      <c r="C42" s="2" t="s">
        <v>488</v>
      </c>
      <c r="D42" s="2" t="s">
        <v>366</v>
      </c>
      <c r="E42" s="2" t="s">
        <v>496</v>
      </c>
      <c r="F42" s="2" t="s">
        <v>392</v>
      </c>
      <c r="G42" s="2" t="s">
        <v>490</v>
      </c>
      <c r="H42" s="2">
        <v>0</v>
      </c>
      <c r="I42" s="2">
        <v>0</v>
      </c>
      <c r="J42" s="2" t="s">
        <v>497</v>
      </c>
      <c r="L42" s="2" t="s">
        <v>498</v>
      </c>
    </row>
    <row r="43" spans="1:12" ht="216.75">
      <c r="A43" s="2">
        <v>87</v>
      </c>
      <c r="B43" s="2" t="s">
        <v>20</v>
      </c>
      <c r="C43" s="2" t="s">
        <v>21</v>
      </c>
      <c r="D43" s="2" t="s">
        <v>366</v>
      </c>
      <c r="E43" s="2" t="s">
        <v>499</v>
      </c>
      <c r="F43" s="2" t="s">
        <v>373</v>
      </c>
      <c r="G43" s="2" t="s">
        <v>385</v>
      </c>
      <c r="H43" s="2">
        <v>0</v>
      </c>
      <c r="I43" s="2">
        <v>0</v>
      </c>
      <c r="J43" s="2" t="s">
        <v>500</v>
      </c>
      <c r="L43" s="2" t="s">
        <v>375</v>
      </c>
    </row>
    <row r="44" spans="1:12" ht="191.25">
      <c r="A44" s="2">
        <v>90</v>
      </c>
      <c r="B44" s="2" t="s">
        <v>20</v>
      </c>
      <c r="C44" s="2" t="s">
        <v>179</v>
      </c>
      <c r="D44" s="2" t="s">
        <v>366</v>
      </c>
      <c r="E44" s="2" t="s">
        <v>501</v>
      </c>
      <c r="F44" s="2" t="s">
        <v>502</v>
      </c>
      <c r="G44" s="2" t="s">
        <v>503</v>
      </c>
      <c r="H44" s="2">
        <v>0</v>
      </c>
      <c r="I44" s="2">
        <v>0</v>
      </c>
      <c r="J44" s="2" t="s">
        <v>504</v>
      </c>
      <c r="L44" s="2" t="s">
        <v>375</v>
      </c>
    </row>
    <row r="45" spans="1:12" ht="409.5">
      <c r="A45" s="2">
        <v>91</v>
      </c>
      <c r="B45" s="2" t="s">
        <v>20</v>
      </c>
      <c r="C45" s="2" t="s">
        <v>62</v>
      </c>
      <c r="D45" s="2" t="s">
        <v>366</v>
      </c>
      <c r="E45" s="2" t="s">
        <v>505</v>
      </c>
      <c r="F45" s="2" t="s">
        <v>416</v>
      </c>
      <c r="G45" s="2" t="s">
        <v>158</v>
      </c>
      <c r="H45" s="2">
        <v>0</v>
      </c>
      <c r="I45" s="2">
        <v>0</v>
      </c>
      <c r="J45" s="2" t="s">
        <v>506</v>
      </c>
      <c r="L45" s="2" t="s">
        <v>507</v>
      </c>
    </row>
    <row r="46" spans="1:12" ht="409.5">
      <c r="A46" s="2">
        <v>92</v>
      </c>
      <c r="B46" s="2" t="s">
        <v>20</v>
      </c>
      <c r="C46" s="2" t="s">
        <v>179</v>
      </c>
      <c r="D46" s="2" t="s">
        <v>366</v>
      </c>
      <c r="E46" s="2" t="s">
        <v>508</v>
      </c>
      <c r="F46" s="2" t="s">
        <v>396</v>
      </c>
      <c r="G46" s="2" t="s">
        <v>509</v>
      </c>
      <c r="H46" s="2">
        <v>0</v>
      </c>
      <c r="I46" s="2">
        <v>0</v>
      </c>
      <c r="J46" s="2" t="s">
        <v>510</v>
      </c>
      <c r="L46" s="2" t="s">
        <v>375</v>
      </c>
    </row>
    <row r="47" spans="1:12" ht="267.75">
      <c r="A47" s="2">
        <v>93</v>
      </c>
      <c r="B47" s="2" t="s">
        <v>20</v>
      </c>
      <c r="C47" s="2" t="s">
        <v>62</v>
      </c>
      <c r="D47" s="2" t="s">
        <v>366</v>
      </c>
      <c r="E47" s="2" t="s">
        <v>511</v>
      </c>
      <c r="F47" s="2" t="s">
        <v>368</v>
      </c>
      <c r="G47" s="2" t="s">
        <v>512</v>
      </c>
      <c r="H47" s="2">
        <v>0</v>
      </c>
      <c r="I47" s="2">
        <v>0</v>
      </c>
      <c r="J47" s="2" t="s">
        <v>513</v>
      </c>
      <c r="L47" s="2" t="s">
        <v>375</v>
      </c>
    </row>
    <row r="48" spans="1:12" ht="280.5">
      <c r="A48" s="2">
        <v>94</v>
      </c>
      <c r="B48" s="2" t="s">
        <v>20</v>
      </c>
      <c r="C48" s="2" t="s">
        <v>62</v>
      </c>
      <c r="D48" s="2" t="s">
        <v>366</v>
      </c>
      <c r="E48" s="2" t="s">
        <v>514</v>
      </c>
      <c r="F48" s="2" t="s">
        <v>368</v>
      </c>
      <c r="G48" s="2" t="s">
        <v>512</v>
      </c>
      <c r="H48" s="2">
        <v>0</v>
      </c>
      <c r="I48" s="2">
        <v>0</v>
      </c>
      <c r="J48" s="2" t="s">
        <v>515</v>
      </c>
      <c r="L48" s="2" t="s">
        <v>375</v>
      </c>
    </row>
    <row r="49" spans="1:12" ht="165.75">
      <c r="A49" s="2">
        <v>96</v>
      </c>
      <c r="B49" s="2" t="s">
        <v>20</v>
      </c>
      <c r="C49" s="2" t="s">
        <v>179</v>
      </c>
      <c r="D49" s="2" t="s">
        <v>366</v>
      </c>
      <c r="E49" s="2" t="s">
        <v>516</v>
      </c>
      <c r="F49" s="2" t="s">
        <v>368</v>
      </c>
      <c r="G49" s="2" t="s">
        <v>517</v>
      </c>
      <c r="H49" s="2">
        <v>0</v>
      </c>
      <c r="I49" s="2">
        <v>0</v>
      </c>
      <c r="J49" s="2" t="s">
        <v>518</v>
      </c>
      <c r="L49" s="2" t="s">
        <v>519</v>
      </c>
    </row>
    <row r="50" spans="1:12" ht="102">
      <c r="A50" s="2">
        <v>97</v>
      </c>
      <c r="B50" s="2" t="s">
        <v>20</v>
      </c>
      <c r="C50" s="2" t="s">
        <v>179</v>
      </c>
      <c r="D50" s="2" t="s">
        <v>366</v>
      </c>
      <c r="E50" s="2" t="s">
        <v>520</v>
      </c>
      <c r="F50" s="2" t="s">
        <v>380</v>
      </c>
      <c r="G50" s="2" t="s">
        <v>521</v>
      </c>
      <c r="H50" s="2">
        <v>0</v>
      </c>
      <c r="I50" s="2">
        <v>0</v>
      </c>
      <c r="J50" s="2" t="s">
        <v>522</v>
      </c>
      <c r="L50" s="2" t="s">
        <v>523</v>
      </c>
    </row>
    <row r="51" spans="1:12" ht="216.75">
      <c r="A51" s="2">
        <v>98</v>
      </c>
      <c r="B51" s="2" t="s">
        <v>20</v>
      </c>
      <c r="C51" s="2" t="s">
        <v>179</v>
      </c>
      <c r="D51" s="2" t="s">
        <v>366</v>
      </c>
      <c r="E51" s="2" t="s">
        <v>524</v>
      </c>
      <c r="F51" s="2" t="s">
        <v>396</v>
      </c>
      <c r="G51" s="2" t="s">
        <v>521</v>
      </c>
      <c r="H51" s="2">
        <v>0</v>
      </c>
      <c r="I51" s="2">
        <v>0</v>
      </c>
      <c r="J51" s="2" t="s">
        <v>525</v>
      </c>
      <c r="L51" s="2" t="s">
        <v>375</v>
      </c>
    </row>
    <row r="52" spans="1:12" ht="140.25">
      <c r="A52" s="2">
        <v>99</v>
      </c>
      <c r="B52" s="2" t="s">
        <v>20</v>
      </c>
      <c r="C52" s="2" t="s">
        <v>179</v>
      </c>
      <c r="D52" s="2" t="s">
        <v>366</v>
      </c>
      <c r="E52" s="2" t="s">
        <v>526</v>
      </c>
      <c r="F52" s="2" t="s">
        <v>392</v>
      </c>
      <c r="G52" s="2" t="s">
        <v>527</v>
      </c>
      <c r="H52" s="2">
        <v>0</v>
      </c>
      <c r="I52" s="2">
        <v>0</v>
      </c>
      <c r="J52" s="2" t="s">
        <v>528</v>
      </c>
      <c r="L52" s="2" t="s">
        <v>529</v>
      </c>
    </row>
    <row r="53" spans="1:12" ht="409.5">
      <c r="A53" s="2">
        <v>100</v>
      </c>
      <c r="B53" s="2" t="s">
        <v>20</v>
      </c>
      <c r="C53" s="2" t="s">
        <v>225</v>
      </c>
      <c r="D53" s="2" t="s">
        <v>366</v>
      </c>
      <c r="E53" s="2" t="s">
        <v>530</v>
      </c>
      <c r="F53" s="2" t="s">
        <v>396</v>
      </c>
      <c r="G53" s="2" t="s">
        <v>531</v>
      </c>
      <c r="H53" s="2">
        <v>0</v>
      </c>
      <c r="I53" s="2">
        <v>0</v>
      </c>
      <c r="J53" s="2" t="s">
        <v>532</v>
      </c>
      <c r="L53" s="2" t="s">
        <v>375</v>
      </c>
    </row>
    <row r="54" spans="1:12" ht="229.5">
      <c r="A54" s="2">
        <v>101</v>
      </c>
      <c r="B54" s="2" t="s">
        <v>20</v>
      </c>
      <c r="C54" s="2" t="s">
        <v>225</v>
      </c>
      <c r="D54" s="2" t="s">
        <v>366</v>
      </c>
      <c r="E54" s="2" t="s">
        <v>533</v>
      </c>
      <c r="F54" s="2" t="s">
        <v>392</v>
      </c>
      <c r="G54" s="2" t="s">
        <v>534</v>
      </c>
      <c r="H54" s="2">
        <v>0</v>
      </c>
      <c r="I54" s="2">
        <v>0</v>
      </c>
      <c r="J54" s="2" t="s">
        <v>535</v>
      </c>
      <c r="L54" s="2" t="s">
        <v>536</v>
      </c>
    </row>
    <row r="55" spans="1:12" ht="178.5">
      <c r="A55" s="2">
        <v>102</v>
      </c>
      <c r="B55" s="2" t="s">
        <v>20</v>
      </c>
      <c r="C55" s="2" t="s">
        <v>179</v>
      </c>
      <c r="D55" s="2" t="s">
        <v>366</v>
      </c>
      <c r="E55" s="2" t="s">
        <v>537</v>
      </c>
      <c r="F55" s="2" t="s">
        <v>416</v>
      </c>
      <c r="G55" s="2" t="s">
        <v>418</v>
      </c>
      <c r="H55" s="2">
        <v>0</v>
      </c>
      <c r="I55" s="2">
        <v>0</v>
      </c>
      <c r="J55" s="2" t="s">
        <v>538</v>
      </c>
      <c r="L55" s="2" t="s">
        <v>375</v>
      </c>
    </row>
    <row r="56" spans="1:12" ht="102">
      <c r="A56" s="2">
        <v>103</v>
      </c>
      <c r="B56" s="2" t="s">
        <v>20</v>
      </c>
      <c r="C56" s="2" t="s">
        <v>179</v>
      </c>
      <c r="D56" s="2" t="s">
        <v>366</v>
      </c>
      <c r="E56" s="2" t="s">
        <v>539</v>
      </c>
      <c r="F56" s="2" t="s">
        <v>392</v>
      </c>
      <c r="G56" s="2" t="s">
        <v>540</v>
      </c>
      <c r="H56" s="2">
        <v>0</v>
      </c>
      <c r="I56" s="2">
        <v>0</v>
      </c>
      <c r="J56" s="2" t="s">
        <v>541</v>
      </c>
      <c r="L56" s="2" t="s">
        <v>375</v>
      </c>
    </row>
    <row r="57" spans="1:12" ht="51">
      <c r="A57" s="2">
        <v>104</v>
      </c>
      <c r="B57" s="2" t="s">
        <v>20</v>
      </c>
      <c r="C57" s="2" t="s">
        <v>179</v>
      </c>
      <c r="D57" s="2" t="s">
        <v>366</v>
      </c>
      <c r="E57" s="2" t="s">
        <v>542</v>
      </c>
      <c r="F57" s="2" t="s">
        <v>380</v>
      </c>
      <c r="G57" s="2" t="s">
        <v>543</v>
      </c>
      <c r="H57" s="2">
        <v>0</v>
      </c>
      <c r="I57" s="2">
        <v>0</v>
      </c>
      <c r="J57" s="2" t="s">
        <v>544</v>
      </c>
      <c r="L57" s="2" t="s">
        <v>545</v>
      </c>
    </row>
    <row r="58" spans="1:12" ht="76.5">
      <c r="A58" s="2">
        <v>105</v>
      </c>
      <c r="B58" s="2" t="s">
        <v>20</v>
      </c>
      <c r="C58" s="2" t="s">
        <v>179</v>
      </c>
      <c r="D58" s="2" t="s">
        <v>366</v>
      </c>
      <c r="E58" s="2" t="s">
        <v>546</v>
      </c>
      <c r="F58" s="2" t="s">
        <v>380</v>
      </c>
      <c r="G58" s="2" t="s">
        <v>543</v>
      </c>
      <c r="H58" s="2">
        <v>0</v>
      </c>
      <c r="I58" s="2">
        <v>0</v>
      </c>
      <c r="J58" s="2" t="s">
        <v>547</v>
      </c>
      <c r="L58" s="2" t="s">
        <v>375</v>
      </c>
    </row>
    <row r="59" spans="1:12" ht="306">
      <c r="A59" s="2">
        <v>108</v>
      </c>
      <c r="B59" s="2" t="s">
        <v>20</v>
      </c>
      <c r="C59" s="2" t="s">
        <v>548</v>
      </c>
      <c r="D59" s="2" t="s">
        <v>366</v>
      </c>
      <c r="E59" s="2" t="s">
        <v>549</v>
      </c>
      <c r="F59" s="2" t="s">
        <v>380</v>
      </c>
      <c r="G59" s="2" t="s">
        <v>550</v>
      </c>
      <c r="H59" s="2">
        <v>0</v>
      </c>
      <c r="I59" s="2">
        <v>0</v>
      </c>
      <c r="J59" s="2" t="s">
        <v>551</v>
      </c>
      <c r="L59" s="2" t="s">
        <v>552</v>
      </c>
    </row>
    <row r="60" spans="1:12" ht="395.25">
      <c r="A60" s="2">
        <v>109</v>
      </c>
      <c r="B60" s="2" t="s">
        <v>20</v>
      </c>
      <c r="C60" s="2" t="s">
        <v>21</v>
      </c>
      <c r="D60" s="2" t="s">
        <v>366</v>
      </c>
      <c r="E60" s="2" t="s">
        <v>553</v>
      </c>
      <c r="F60" s="2" t="s">
        <v>368</v>
      </c>
      <c r="G60" s="2" t="s">
        <v>554</v>
      </c>
      <c r="H60" s="2">
        <v>0</v>
      </c>
      <c r="I60" s="2">
        <v>0</v>
      </c>
      <c r="J60" s="2" t="s">
        <v>555</v>
      </c>
      <c r="L60" s="2" t="s">
        <v>375</v>
      </c>
    </row>
    <row r="61" spans="1:12" ht="114.75">
      <c r="A61" s="2">
        <v>110</v>
      </c>
      <c r="B61" s="2" t="s">
        <v>20</v>
      </c>
      <c r="C61" s="2" t="s">
        <v>21</v>
      </c>
      <c r="D61" s="2" t="s">
        <v>366</v>
      </c>
      <c r="E61" s="2" t="s">
        <v>556</v>
      </c>
      <c r="F61" s="2" t="s">
        <v>377</v>
      </c>
      <c r="G61" s="2" t="s">
        <v>557</v>
      </c>
      <c r="H61" s="2">
        <v>0</v>
      </c>
      <c r="I61" s="2">
        <v>0</v>
      </c>
      <c r="J61" s="2" t="s">
        <v>558</v>
      </c>
      <c r="L61" s="2" t="s">
        <v>375</v>
      </c>
    </row>
    <row r="62" spans="1:12" ht="102">
      <c r="A62" s="2">
        <v>111</v>
      </c>
      <c r="B62" s="2" t="s">
        <v>20</v>
      </c>
      <c r="C62" s="2" t="s">
        <v>21</v>
      </c>
      <c r="D62" s="2" t="s">
        <v>366</v>
      </c>
      <c r="E62" s="2" t="s">
        <v>559</v>
      </c>
      <c r="F62" s="2" t="s">
        <v>368</v>
      </c>
      <c r="G62" s="2" t="s">
        <v>369</v>
      </c>
      <c r="H62" s="2">
        <v>0</v>
      </c>
      <c r="I62" s="2">
        <v>0</v>
      </c>
      <c r="J62" s="2" t="s">
        <v>560</v>
      </c>
      <c r="L62" s="2" t="s">
        <v>561</v>
      </c>
    </row>
    <row r="63" spans="1:12" ht="204">
      <c r="A63" s="2">
        <v>112</v>
      </c>
      <c r="B63" s="2" t="s">
        <v>20</v>
      </c>
      <c r="C63" s="2" t="s">
        <v>21</v>
      </c>
      <c r="D63" s="2" t="s">
        <v>366</v>
      </c>
      <c r="E63" s="2" t="s">
        <v>562</v>
      </c>
      <c r="F63" s="2" t="s">
        <v>368</v>
      </c>
      <c r="G63" s="2" t="s">
        <v>408</v>
      </c>
      <c r="H63" s="2">
        <v>0</v>
      </c>
      <c r="I63" s="2">
        <v>0</v>
      </c>
      <c r="J63" s="2" t="s">
        <v>563</v>
      </c>
      <c r="L63" s="2" t="s">
        <v>375</v>
      </c>
    </row>
    <row r="64" spans="1:12" ht="51">
      <c r="A64" s="2">
        <v>203</v>
      </c>
      <c r="B64" s="2" t="s">
        <v>20</v>
      </c>
      <c r="C64" s="2" t="s">
        <v>21</v>
      </c>
      <c r="D64" s="2" t="s">
        <v>366</v>
      </c>
      <c r="E64" s="2" t="s">
        <v>564</v>
      </c>
      <c r="F64" s="2" t="s">
        <v>384</v>
      </c>
      <c r="G64" s="2" t="s">
        <v>477</v>
      </c>
      <c r="H64" s="2">
        <v>0</v>
      </c>
      <c r="I64" s="2">
        <v>0</v>
      </c>
      <c r="J64" s="2" t="s">
        <v>565</v>
      </c>
      <c r="L64" s="2" t="s">
        <v>375</v>
      </c>
    </row>
    <row r="65" spans="1:12" ht="51">
      <c r="A65" s="2">
        <v>212</v>
      </c>
      <c r="B65" s="2" t="s">
        <v>20</v>
      </c>
      <c r="C65" s="2" t="s">
        <v>62</v>
      </c>
      <c r="D65" s="2" t="s">
        <v>366</v>
      </c>
      <c r="E65" s="2" t="s">
        <v>566</v>
      </c>
      <c r="F65" s="2" t="s">
        <v>416</v>
      </c>
      <c r="G65" s="2" t="s">
        <v>567</v>
      </c>
      <c r="H65" s="2">
        <v>0</v>
      </c>
      <c r="I65" s="2">
        <v>0</v>
      </c>
      <c r="L65" s="2" t="s">
        <v>375</v>
      </c>
    </row>
    <row r="66" spans="1:12" ht="344.25">
      <c r="A66" s="2">
        <v>213</v>
      </c>
      <c r="B66" s="2" t="s">
        <v>20</v>
      </c>
      <c r="C66" s="2" t="s">
        <v>62</v>
      </c>
      <c r="D66" s="2" t="s">
        <v>366</v>
      </c>
      <c r="E66" s="2" t="s">
        <v>568</v>
      </c>
      <c r="F66" s="2" t="s">
        <v>416</v>
      </c>
      <c r="G66" s="2" t="s">
        <v>569</v>
      </c>
      <c r="H66" s="2">
        <v>0</v>
      </c>
      <c r="I66" s="2">
        <v>0</v>
      </c>
      <c r="J66" s="2" t="s">
        <v>570</v>
      </c>
      <c r="L66" s="2" t="s">
        <v>375</v>
      </c>
    </row>
    <row r="67" spans="1:12" ht="51">
      <c r="A67" s="2">
        <v>214</v>
      </c>
      <c r="B67" s="2" t="s">
        <v>20</v>
      </c>
      <c r="C67" s="2" t="s">
        <v>62</v>
      </c>
      <c r="D67" s="2" t="s">
        <v>366</v>
      </c>
      <c r="E67" s="2" t="s">
        <v>571</v>
      </c>
      <c r="F67" s="2" t="s">
        <v>416</v>
      </c>
      <c r="G67" s="2" t="s">
        <v>569</v>
      </c>
      <c r="H67" s="2">
        <v>0</v>
      </c>
      <c r="I67" s="2">
        <v>0</v>
      </c>
      <c r="L67" s="2" t="s">
        <v>375</v>
      </c>
    </row>
    <row r="68" spans="1:12" ht="51">
      <c r="A68" s="2">
        <v>223</v>
      </c>
      <c r="B68" s="2" t="s">
        <v>20</v>
      </c>
      <c r="C68" s="2" t="s">
        <v>54</v>
      </c>
      <c r="D68" s="2" t="s">
        <v>366</v>
      </c>
      <c r="E68" s="2" t="s">
        <v>572</v>
      </c>
      <c r="F68" s="2" t="s">
        <v>502</v>
      </c>
      <c r="G68" s="2" t="s">
        <v>248</v>
      </c>
      <c r="H68" s="2">
        <v>0</v>
      </c>
      <c r="I68" s="2">
        <v>0</v>
      </c>
      <c r="J68" s="2" t="s">
        <v>573</v>
      </c>
      <c r="L68" s="2" t="s">
        <v>375</v>
      </c>
    </row>
    <row r="69" spans="1:12" ht="51">
      <c r="A69" s="2">
        <v>224</v>
      </c>
      <c r="B69" s="2" t="s">
        <v>20</v>
      </c>
      <c r="C69" s="2" t="s">
        <v>54</v>
      </c>
      <c r="D69" s="2" t="s">
        <v>366</v>
      </c>
      <c r="E69" s="2" t="s">
        <v>574</v>
      </c>
      <c r="F69" s="2" t="s">
        <v>502</v>
      </c>
      <c r="G69" s="2" t="s">
        <v>248</v>
      </c>
      <c r="H69" s="2">
        <v>0</v>
      </c>
      <c r="I69" s="2">
        <v>0</v>
      </c>
      <c r="J69" s="2" t="s">
        <v>575</v>
      </c>
      <c r="L69" s="2" t="s">
        <v>375</v>
      </c>
    </row>
    <row r="70" spans="1:12" ht="51">
      <c r="A70" s="2">
        <v>226</v>
      </c>
      <c r="B70" s="2" t="s">
        <v>20</v>
      </c>
      <c r="C70" s="2" t="s">
        <v>54</v>
      </c>
      <c r="D70" s="2" t="s">
        <v>366</v>
      </c>
      <c r="E70" s="2" t="s">
        <v>576</v>
      </c>
      <c r="F70" s="2" t="s">
        <v>502</v>
      </c>
      <c r="G70" s="2" t="s">
        <v>248</v>
      </c>
      <c r="H70" s="2">
        <v>0</v>
      </c>
      <c r="I70" s="2">
        <v>0</v>
      </c>
      <c r="J70" s="2" t="s">
        <v>577</v>
      </c>
      <c r="L70" s="2" t="s">
        <v>375</v>
      </c>
    </row>
    <row r="71" spans="1:12" ht="63.75">
      <c r="A71" s="2">
        <v>227</v>
      </c>
      <c r="B71" s="2" t="s">
        <v>20</v>
      </c>
      <c r="C71" s="2" t="s">
        <v>54</v>
      </c>
      <c r="D71" s="2" t="s">
        <v>366</v>
      </c>
      <c r="E71" s="2" t="s">
        <v>578</v>
      </c>
      <c r="F71" s="2" t="s">
        <v>502</v>
      </c>
      <c r="G71" s="2" t="s">
        <v>248</v>
      </c>
      <c r="H71" s="2">
        <v>0</v>
      </c>
      <c r="I71" s="2">
        <v>0</v>
      </c>
      <c r="J71" s="2" t="s">
        <v>579</v>
      </c>
      <c r="L71" s="2" t="s">
        <v>375</v>
      </c>
    </row>
    <row r="72" spans="1:12" ht="51">
      <c r="A72" s="2">
        <v>228</v>
      </c>
      <c r="B72" s="2" t="s">
        <v>20</v>
      </c>
      <c r="C72" s="2" t="s">
        <v>54</v>
      </c>
      <c r="D72" s="2" t="s">
        <v>366</v>
      </c>
      <c r="E72" s="2" t="s">
        <v>580</v>
      </c>
      <c r="F72" s="2" t="s">
        <v>502</v>
      </c>
      <c r="G72" s="2" t="s">
        <v>248</v>
      </c>
      <c r="H72" s="2">
        <v>0</v>
      </c>
      <c r="I72" s="2">
        <v>0</v>
      </c>
      <c r="J72" s="2" t="s">
        <v>581</v>
      </c>
      <c r="L72" s="2" t="s">
        <v>375</v>
      </c>
    </row>
    <row r="73" spans="1:12" ht="51">
      <c r="A73" s="2">
        <v>229</v>
      </c>
      <c r="B73" s="2" t="s">
        <v>20</v>
      </c>
      <c r="C73" s="2" t="s">
        <v>54</v>
      </c>
      <c r="D73" s="2" t="s">
        <v>366</v>
      </c>
      <c r="E73" s="2" t="s">
        <v>582</v>
      </c>
      <c r="F73" s="2" t="s">
        <v>502</v>
      </c>
      <c r="G73" s="2" t="s">
        <v>248</v>
      </c>
      <c r="H73" s="2">
        <v>0</v>
      </c>
      <c r="I73" s="2">
        <v>0</v>
      </c>
      <c r="J73" s="2" t="s">
        <v>583</v>
      </c>
      <c r="L73" s="2" t="s">
        <v>375</v>
      </c>
    </row>
    <row r="74" spans="1:12" ht="51">
      <c r="A74" s="2">
        <v>230</v>
      </c>
      <c r="B74" s="2" t="s">
        <v>20</v>
      </c>
      <c r="C74" s="2" t="s">
        <v>54</v>
      </c>
      <c r="D74" s="2" t="s">
        <v>366</v>
      </c>
      <c r="E74" s="2" t="s">
        <v>584</v>
      </c>
      <c r="F74" s="2" t="s">
        <v>502</v>
      </c>
      <c r="G74" s="2" t="s">
        <v>248</v>
      </c>
      <c r="H74" s="2">
        <v>0</v>
      </c>
      <c r="I74" s="2">
        <v>0</v>
      </c>
      <c r="J74" s="2" t="s">
        <v>581</v>
      </c>
      <c r="L74" s="2" t="s">
        <v>375</v>
      </c>
    </row>
    <row r="75" spans="1:12" ht="51">
      <c r="A75" s="2">
        <v>231</v>
      </c>
      <c r="B75" s="2" t="s">
        <v>20</v>
      </c>
      <c r="C75" s="2" t="s">
        <v>54</v>
      </c>
      <c r="D75" s="2" t="s">
        <v>366</v>
      </c>
      <c r="E75" s="2" t="s">
        <v>585</v>
      </c>
      <c r="F75" s="2" t="s">
        <v>502</v>
      </c>
      <c r="G75" s="2" t="s">
        <v>248</v>
      </c>
      <c r="H75" s="2">
        <v>0</v>
      </c>
      <c r="I75" s="2">
        <v>0</v>
      </c>
      <c r="J75" s="2" t="s">
        <v>583</v>
      </c>
      <c r="L75" s="2" t="s">
        <v>375</v>
      </c>
    </row>
    <row r="76" spans="1:12" ht="51">
      <c r="A76" s="2">
        <v>232</v>
      </c>
      <c r="B76" s="2" t="s">
        <v>20</v>
      </c>
      <c r="C76" s="2" t="s">
        <v>54</v>
      </c>
      <c r="D76" s="2" t="s">
        <v>366</v>
      </c>
      <c r="E76" s="2" t="s">
        <v>586</v>
      </c>
      <c r="F76" s="2" t="s">
        <v>502</v>
      </c>
      <c r="G76" s="2" t="s">
        <v>248</v>
      </c>
      <c r="H76" s="2">
        <v>0</v>
      </c>
      <c r="I76" s="2">
        <v>0</v>
      </c>
      <c r="J76" s="2" t="s">
        <v>583</v>
      </c>
      <c r="L76" s="2" t="s">
        <v>375</v>
      </c>
    </row>
    <row r="77" spans="1:12" ht="51">
      <c r="A77" s="2">
        <v>233</v>
      </c>
      <c r="B77" s="2" t="s">
        <v>20</v>
      </c>
      <c r="C77" s="2" t="s">
        <v>54</v>
      </c>
      <c r="D77" s="2" t="s">
        <v>366</v>
      </c>
      <c r="E77" s="2" t="s">
        <v>587</v>
      </c>
      <c r="F77" s="2" t="s">
        <v>502</v>
      </c>
      <c r="G77" s="2" t="s">
        <v>248</v>
      </c>
      <c r="H77" s="2">
        <v>0</v>
      </c>
      <c r="I77" s="2">
        <v>0</v>
      </c>
      <c r="J77" s="2" t="s">
        <v>583</v>
      </c>
      <c r="L77" s="2" t="s">
        <v>375</v>
      </c>
    </row>
    <row r="78" spans="1:12" ht="51">
      <c r="A78" s="2">
        <v>234</v>
      </c>
      <c r="B78" s="2" t="s">
        <v>20</v>
      </c>
      <c r="C78" s="2" t="s">
        <v>54</v>
      </c>
      <c r="D78" s="2" t="s">
        <v>366</v>
      </c>
      <c r="E78" s="2" t="s">
        <v>588</v>
      </c>
      <c r="F78" s="2" t="s">
        <v>502</v>
      </c>
      <c r="G78" s="2" t="s">
        <v>248</v>
      </c>
      <c r="H78" s="2">
        <v>0</v>
      </c>
      <c r="I78" s="2">
        <v>0</v>
      </c>
      <c r="J78" s="2" t="s">
        <v>583</v>
      </c>
      <c r="L78" s="2" t="s">
        <v>375</v>
      </c>
    </row>
    <row r="79" spans="1:12" ht="51">
      <c r="A79" s="2">
        <v>235</v>
      </c>
      <c r="B79" s="2" t="s">
        <v>20</v>
      </c>
      <c r="C79" s="2" t="s">
        <v>54</v>
      </c>
      <c r="D79" s="2" t="s">
        <v>366</v>
      </c>
      <c r="E79" s="2" t="s">
        <v>589</v>
      </c>
      <c r="F79" s="2" t="s">
        <v>502</v>
      </c>
      <c r="G79" s="2" t="s">
        <v>248</v>
      </c>
      <c r="H79" s="2">
        <v>0</v>
      </c>
      <c r="I79" s="2">
        <v>0</v>
      </c>
      <c r="J79" s="2" t="s">
        <v>583</v>
      </c>
      <c r="L79" s="2" t="s">
        <v>375</v>
      </c>
    </row>
    <row r="80" spans="1:12" ht="51">
      <c r="A80" s="2">
        <v>236</v>
      </c>
      <c r="B80" s="2" t="s">
        <v>20</v>
      </c>
      <c r="C80" s="2" t="s">
        <v>54</v>
      </c>
      <c r="D80" s="2" t="s">
        <v>366</v>
      </c>
      <c r="E80" s="2" t="s">
        <v>590</v>
      </c>
      <c r="F80" s="2" t="s">
        <v>502</v>
      </c>
      <c r="G80" s="2" t="s">
        <v>248</v>
      </c>
      <c r="H80" s="2">
        <v>0</v>
      </c>
      <c r="I80" s="2">
        <v>0</v>
      </c>
      <c r="J80" s="2" t="s">
        <v>583</v>
      </c>
      <c r="L80" s="2" t="s">
        <v>375</v>
      </c>
    </row>
    <row r="81" spans="1:12" ht="51">
      <c r="A81" s="2">
        <v>237</v>
      </c>
      <c r="B81" s="2" t="s">
        <v>20</v>
      </c>
      <c r="C81" s="2" t="s">
        <v>54</v>
      </c>
      <c r="D81" s="2" t="s">
        <v>366</v>
      </c>
      <c r="E81" s="2" t="s">
        <v>591</v>
      </c>
      <c r="F81" s="2" t="s">
        <v>502</v>
      </c>
      <c r="G81" s="2" t="s">
        <v>248</v>
      </c>
      <c r="H81" s="2">
        <v>0</v>
      </c>
      <c r="I81" s="2">
        <v>0</v>
      </c>
      <c r="J81" s="2" t="s">
        <v>583</v>
      </c>
      <c r="L81" s="2" t="s">
        <v>375</v>
      </c>
    </row>
    <row r="82" spans="1:12" ht="51">
      <c r="A82" s="2">
        <v>238</v>
      </c>
      <c r="B82" s="2" t="s">
        <v>20</v>
      </c>
      <c r="C82" s="2" t="s">
        <v>54</v>
      </c>
      <c r="D82" s="2" t="s">
        <v>366</v>
      </c>
      <c r="E82" s="2" t="s">
        <v>592</v>
      </c>
      <c r="F82" s="2" t="s">
        <v>502</v>
      </c>
      <c r="G82" s="2" t="s">
        <v>248</v>
      </c>
      <c r="H82" s="2">
        <v>0</v>
      </c>
      <c r="I82" s="2">
        <v>0</v>
      </c>
      <c r="J82" s="2" t="s">
        <v>583</v>
      </c>
      <c r="L82" s="2" t="s">
        <v>375</v>
      </c>
    </row>
    <row r="83" spans="1:12" ht="51">
      <c r="A83" s="2">
        <v>239</v>
      </c>
      <c r="B83" s="2" t="s">
        <v>20</v>
      </c>
      <c r="C83" s="2" t="s">
        <v>54</v>
      </c>
      <c r="D83" s="2" t="s">
        <v>366</v>
      </c>
      <c r="E83" s="2" t="s">
        <v>593</v>
      </c>
      <c r="F83" s="2" t="s">
        <v>502</v>
      </c>
      <c r="G83" s="2" t="s">
        <v>248</v>
      </c>
      <c r="H83" s="2">
        <v>0</v>
      </c>
      <c r="I83" s="2">
        <v>0</v>
      </c>
      <c r="J83" s="2" t="s">
        <v>583</v>
      </c>
      <c r="L83" s="2" t="s">
        <v>375</v>
      </c>
    </row>
    <row r="84" spans="1:12" ht="51">
      <c r="A84" s="2">
        <v>240</v>
      </c>
      <c r="B84" s="2" t="s">
        <v>20</v>
      </c>
      <c r="C84" s="2" t="s">
        <v>54</v>
      </c>
      <c r="D84" s="2" t="s">
        <v>366</v>
      </c>
      <c r="E84" s="2" t="s">
        <v>594</v>
      </c>
      <c r="F84" s="2" t="s">
        <v>502</v>
      </c>
      <c r="G84" s="2" t="s">
        <v>248</v>
      </c>
      <c r="H84" s="2">
        <v>0</v>
      </c>
      <c r="I84" s="2">
        <v>0</v>
      </c>
      <c r="J84" s="2" t="s">
        <v>583</v>
      </c>
      <c r="L84" s="2" t="s">
        <v>375</v>
      </c>
    </row>
    <row r="85" spans="1:12" ht="51">
      <c r="A85" s="2">
        <v>241</v>
      </c>
      <c r="B85" s="2" t="s">
        <v>20</v>
      </c>
      <c r="C85" s="2" t="s">
        <v>54</v>
      </c>
      <c r="D85" s="2" t="s">
        <v>366</v>
      </c>
      <c r="E85" s="2" t="s">
        <v>595</v>
      </c>
      <c r="F85" s="2" t="s">
        <v>502</v>
      </c>
      <c r="G85" s="2" t="s">
        <v>248</v>
      </c>
      <c r="H85" s="2">
        <v>0</v>
      </c>
      <c r="I85" s="2">
        <v>0</v>
      </c>
      <c r="J85" s="2" t="s">
        <v>583</v>
      </c>
      <c r="L85" s="2" t="s">
        <v>375</v>
      </c>
    </row>
    <row r="86" spans="1:12" ht="51">
      <c r="A86" s="2">
        <v>242</v>
      </c>
      <c r="B86" s="2" t="s">
        <v>20</v>
      </c>
      <c r="C86" s="2" t="s">
        <v>54</v>
      </c>
      <c r="D86" s="2" t="s">
        <v>366</v>
      </c>
      <c r="E86" s="2" t="s">
        <v>596</v>
      </c>
      <c r="F86" s="2" t="s">
        <v>502</v>
      </c>
      <c r="G86" s="2" t="s">
        <v>248</v>
      </c>
      <c r="H86" s="2">
        <v>0</v>
      </c>
      <c r="I86" s="2">
        <v>0</v>
      </c>
      <c r="J86" s="2" t="s">
        <v>583</v>
      </c>
      <c r="L86" s="2" t="s">
        <v>375</v>
      </c>
    </row>
    <row r="87" spans="1:12" ht="51">
      <c r="A87" s="2">
        <v>243</v>
      </c>
      <c r="B87" s="2" t="s">
        <v>20</v>
      </c>
      <c r="C87" s="2" t="s">
        <v>54</v>
      </c>
      <c r="D87" s="2" t="s">
        <v>366</v>
      </c>
      <c r="E87" s="2" t="s">
        <v>597</v>
      </c>
      <c r="F87" s="2" t="s">
        <v>502</v>
      </c>
      <c r="G87" s="2" t="s">
        <v>248</v>
      </c>
      <c r="H87" s="2">
        <v>0</v>
      </c>
      <c r="I87" s="2">
        <v>0</v>
      </c>
      <c r="J87" s="2" t="s">
        <v>583</v>
      </c>
      <c r="L87" s="2" t="s">
        <v>375</v>
      </c>
    </row>
    <row r="88" spans="1:12" ht="51">
      <c r="A88" s="2">
        <v>244</v>
      </c>
      <c r="B88" s="2" t="s">
        <v>20</v>
      </c>
      <c r="C88" s="2" t="s">
        <v>54</v>
      </c>
      <c r="D88" s="2" t="s">
        <v>366</v>
      </c>
      <c r="E88" s="2" t="s">
        <v>598</v>
      </c>
      <c r="F88" s="2" t="s">
        <v>502</v>
      </c>
      <c r="G88" s="2" t="s">
        <v>248</v>
      </c>
      <c r="H88" s="2">
        <v>0</v>
      </c>
      <c r="I88" s="2">
        <v>0</v>
      </c>
      <c r="J88" s="2" t="s">
        <v>583</v>
      </c>
      <c r="L88" s="2" t="s">
        <v>375</v>
      </c>
    </row>
    <row r="89" spans="1:12" ht="242.25">
      <c r="A89" s="2">
        <v>245</v>
      </c>
      <c r="B89" s="2" t="s">
        <v>20</v>
      </c>
      <c r="C89" s="2" t="s">
        <v>50</v>
      </c>
      <c r="D89" s="2" t="s">
        <v>33</v>
      </c>
      <c r="E89" s="2" t="s">
        <v>599</v>
      </c>
      <c r="F89" s="2" t="s">
        <v>388</v>
      </c>
      <c r="G89" s="2" t="s">
        <v>138</v>
      </c>
      <c r="H89" s="2">
        <v>40</v>
      </c>
      <c r="I89" s="2">
        <v>72</v>
      </c>
      <c r="J89" s="2" t="s">
        <v>600</v>
      </c>
      <c r="L89" s="2" t="s">
        <v>375</v>
      </c>
    </row>
    <row r="90" spans="1:12" ht="127.5">
      <c r="A90" s="2">
        <v>246</v>
      </c>
      <c r="B90" s="2" t="s">
        <v>20</v>
      </c>
      <c r="C90" s="2" t="s">
        <v>50</v>
      </c>
      <c r="D90" s="2" t="s">
        <v>33</v>
      </c>
      <c r="E90" s="2" t="s">
        <v>601</v>
      </c>
      <c r="F90" s="2" t="s">
        <v>502</v>
      </c>
      <c r="G90" s="2" t="s">
        <v>138</v>
      </c>
      <c r="H90" s="2">
        <v>40</v>
      </c>
      <c r="I90" s="2">
        <v>72</v>
      </c>
      <c r="J90" s="2" t="s">
        <v>602</v>
      </c>
      <c r="L90" s="2" t="s">
        <v>375</v>
      </c>
    </row>
    <row r="91" spans="1:12" ht="140.25">
      <c r="A91" s="2">
        <v>247</v>
      </c>
      <c r="B91" s="2" t="s">
        <v>20</v>
      </c>
      <c r="C91" s="2" t="s">
        <v>50</v>
      </c>
      <c r="D91" s="2" t="s">
        <v>33</v>
      </c>
      <c r="E91" s="2" t="s">
        <v>603</v>
      </c>
      <c r="F91" s="2" t="s">
        <v>388</v>
      </c>
      <c r="G91" s="2" t="s">
        <v>138</v>
      </c>
      <c r="H91" s="2">
        <v>40</v>
      </c>
      <c r="I91" s="2">
        <v>72</v>
      </c>
      <c r="J91" s="2" t="s">
        <v>604</v>
      </c>
      <c r="L91" s="2" t="s">
        <v>375</v>
      </c>
    </row>
    <row r="92" spans="1:12" ht="153">
      <c r="A92" s="2">
        <v>248</v>
      </c>
      <c r="B92" s="2" t="s">
        <v>20</v>
      </c>
      <c r="C92" s="2" t="s">
        <v>50</v>
      </c>
      <c r="D92" s="2" t="s">
        <v>33</v>
      </c>
      <c r="E92" s="2" t="s">
        <v>605</v>
      </c>
      <c r="F92" s="2" t="s">
        <v>388</v>
      </c>
      <c r="G92" s="2" t="s">
        <v>138</v>
      </c>
      <c r="H92" s="2">
        <v>40</v>
      </c>
      <c r="I92" s="2">
        <v>72</v>
      </c>
      <c r="J92" s="2" t="s">
        <v>606</v>
      </c>
      <c r="L92" s="2" t="s">
        <v>375</v>
      </c>
    </row>
    <row r="93" spans="1:12" ht="102">
      <c r="A93" s="2">
        <v>249</v>
      </c>
      <c r="B93" s="2" t="s">
        <v>20</v>
      </c>
      <c r="C93" s="2" t="s">
        <v>54</v>
      </c>
      <c r="D93" s="2" t="s">
        <v>33</v>
      </c>
      <c r="E93" s="2" t="s">
        <v>607</v>
      </c>
      <c r="F93" s="2" t="s">
        <v>502</v>
      </c>
      <c r="G93" s="2" t="s">
        <v>138</v>
      </c>
      <c r="H93" s="2">
        <v>40</v>
      </c>
      <c r="I93" s="2">
        <v>67</v>
      </c>
      <c r="J93" s="2" t="s">
        <v>608</v>
      </c>
      <c r="L93" s="2" t="s">
        <v>375</v>
      </c>
    </row>
    <row r="94" spans="1:12" ht="102">
      <c r="A94" s="2">
        <v>250</v>
      </c>
      <c r="B94" s="2" t="s">
        <v>20</v>
      </c>
      <c r="C94" s="2" t="s">
        <v>54</v>
      </c>
      <c r="D94" s="2" t="s">
        <v>33</v>
      </c>
      <c r="E94" s="2" t="s">
        <v>609</v>
      </c>
      <c r="F94" s="2" t="s">
        <v>502</v>
      </c>
      <c r="G94" s="2" t="s">
        <v>138</v>
      </c>
      <c r="H94" s="2">
        <v>40</v>
      </c>
      <c r="I94" s="2">
        <v>67</v>
      </c>
      <c r="J94" s="2" t="s">
        <v>608</v>
      </c>
      <c r="L94" s="2" t="s">
        <v>375</v>
      </c>
    </row>
    <row r="95" spans="1:12" ht="102">
      <c r="A95" s="2">
        <v>251</v>
      </c>
      <c r="B95" s="2" t="s">
        <v>20</v>
      </c>
      <c r="C95" s="2" t="s">
        <v>54</v>
      </c>
      <c r="D95" s="2" t="s">
        <v>33</v>
      </c>
      <c r="E95" s="2" t="s">
        <v>610</v>
      </c>
      <c r="F95" s="2" t="s">
        <v>502</v>
      </c>
      <c r="G95" s="2" t="s">
        <v>138</v>
      </c>
      <c r="H95" s="2">
        <v>40</v>
      </c>
      <c r="I95" s="2">
        <v>67</v>
      </c>
      <c r="J95" s="2" t="s">
        <v>608</v>
      </c>
      <c r="L95" s="2" t="s">
        <v>375</v>
      </c>
    </row>
    <row r="96" spans="1:12" ht="102">
      <c r="A96" s="2">
        <v>252</v>
      </c>
      <c r="B96" s="2" t="s">
        <v>20</v>
      </c>
      <c r="C96" s="2" t="s">
        <v>54</v>
      </c>
      <c r="D96" s="2" t="s">
        <v>33</v>
      </c>
      <c r="E96" s="2" t="s">
        <v>611</v>
      </c>
      <c r="F96" s="2" t="s">
        <v>502</v>
      </c>
      <c r="G96" s="2" t="s">
        <v>138</v>
      </c>
      <c r="H96" s="2">
        <v>40</v>
      </c>
      <c r="I96" s="2">
        <v>67</v>
      </c>
      <c r="J96" s="2" t="s">
        <v>608</v>
      </c>
      <c r="L96" s="2" t="s">
        <v>375</v>
      </c>
    </row>
    <row r="97" spans="1:12" ht="63.75">
      <c r="A97" s="2">
        <v>254</v>
      </c>
      <c r="B97" s="2" t="s">
        <v>20</v>
      </c>
      <c r="C97" s="2" t="s">
        <v>210</v>
      </c>
      <c r="D97" s="2" t="s">
        <v>366</v>
      </c>
      <c r="E97" s="2" t="s">
        <v>612</v>
      </c>
      <c r="F97" s="2" t="s">
        <v>396</v>
      </c>
      <c r="G97" s="2" t="s">
        <v>613</v>
      </c>
      <c r="H97" s="2">
        <v>0</v>
      </c>
      <c r="I97" s="2">
        <v>0</v>
      </c>
      <c r="L97" s="2" t="s">
        <v>375</v>
      </c>
    </row>
    <row r="98" spans="1:12" ht="127.5">
      <c r="A98" s="2">
        <v>255</v>
      </c>
      <c r="B98" s="2" t="s">
        <v>20</v>
      </c>
      <c r="C98" s="2" t="s">
        <v>21</v>
      </c>
      <c r="D98" s="2" t="s">
        <v>366</v>
      </c>
      <c r="E98" s="2" t="s">
        <v>614</v>
      </c>
      <c r="F98" s="2" t="s">
        <v>416</v>
      </c>
      <c r="G98" s="2" t="s">
        <v>615</v>
      </c>
      <c r="H98" s="2">
        <v>0</v>
      </c>
      <c r="I98" s="2">
        <v>0</v>
      </c>
      <c r="J98" s="2" t="s">
        <v>616</v>
      </c>
      <c r="L98" s="2" t="s">
        <v>375</v>
      </c>
    </row>
    <row r="99" spans="1:12" ht="306">
      <c r="A99" s="2">
        <v>259</v>
      </c>
      <c r="B99" s="2" t="s">
        <v>20</v>
      </c>
      <c r="C99" s="2" t="s">
        <v>210</v>
      </c>
      <c r="D99" s="2" t="s">
        <v>33</v>
      </c>
      <c r="E99" s="2" t="s">
        <v>617</v>
      </c>
      <c r="F99" s="2" t="s">
        <v>972</v>
      </c>
      <c r="G99" s="2" t="s">
        <v>622</v>
      </c>
      <c r="H99" s="2">
        <v>23</v>
      </c>
      <c r="I99" s="2">
        <v>55</v>
      </c>
      <c r="J99" s="2" t="s">
        <v>973</v>
      </c>
      <c r="L99" s="2" t="s">
        <v>375</v>
      </c>
    </row>
    <row r="100" spans="1:12" ht="51">
      <c r="A100" s="2">
        <v>261</v>
      </c>
      <c r="B100" s="2" t="s">
        <v>20</v>
      </c>
      <c r="C100" s="2" t="s">
        <v>50</v>
      </c>
      <c r="D100" s="2" t="s">
        <v>366</v>
      </c>
      <c r="E100" s="2" t="s">
        <v>618</v>
      </c>
      <c r="F100" s="2" t="s">
        <v>619</v>
      </c>
      <c r="G100" s="2" t="s">
        <v>620</v>
      </c>
      <c r="H100" s="2">
        <v>0</v>
      </c>
      <c r="I100" s="2">
        <v>0</v>
      </c>
      <c r="L100" s="2" t="s">
        <v>375</v>
      </c>
    </row>
    <row r="101" spans="1:12" ht="89.25">
      <c r="A101" s="2">
        <v>262</v>
      </c>
      <c r="B101" s="2" t="s">
        <v>20</v>
      </c>
      <c r="C101" s="2" t="s">
        <v>50</v>
      </c>
      <c r="D101" s="2" t="s">
        <v>33</v>
      </c>
      <c r="E101" s="2" t="s">
        <v>621</v>
      </c>
      <c r="F101" s="2" t="s">
        <v>388</v>
      </c>
      <c r="G101" s="2" t="s">
        <v>622</v>
      </c>
      <c r="H101" s="2">
        <v>23</v>
      </c>
      <c r="I101" s="2">
        <v>0</v>
      </c>
      <c r="J101" s="2" t="s">
        <v>623</v>
      </c>
      <c r="L101" s="2" t="s">
        <v>375</v>
      </c>
    </row>
    <row r="102" spans="1:12" ht="409.5">
      <c r="A102" s="2">
        <v>141</v>
      </c>
      <c r="B102" s="2" t="s">
        <v>624</v>
      </c>
      <c r="C102" s="2" t="s">
        <v>62</v>
      </c>
      <c r="D102" s="2" t="s">
        <v>366</v>
      </c>
      <c r="E102" s="2" t="s">
        <v>625</v>
      </c>
      <c r="F102" s="2" t="s">
        <v>416</v>
      </c>
      <c r="G102" s="2" t="s">
        <v>626</v>
      </c>
      <c r="H102" s="2">
        <v>0</v>
      </c>
      <c r="I102" s="2">
        <v>0</v>
      </c>
      <c r="J102" s="2" t="s">
        <v>627</v>
      </c>
      <c r="L102" s="2" t="s">
        <v>375</v>
      </c>
    </row>
    <row r="103" spans="1:12" ht="216.75">
      <c r="A103" s="2">
        <v>17</v>
      </c>
      <c r="B103" s="2" t="s">
        <v>121</v>
      </c>
      <c r="C103" s="2" t="s">
        <v>628</v>
      </c>
      <c r="D103" s="2" t="s">
        <v>366</v>
      </c>
      <c r="E103" s="2" t="s">
        <v>629</v>
      </c>
      <c r="F103" s="2" t="s">
        <v>470</v>
      </c>
      <c r="G103" s="2" t="s">
        <v>393</v>
      </c>
      <c r="H103" s="2">
        <v>0</v>
      </c>
      <c r="I103" s="2">
        <v>0</v>
      </c>
      <c r="J103" s="2" t="s">
        <v>630</v>
      </c>
      <c r="L103" s="2" t="s">
        <v>375</v>
      </c>
    </row>
    <row r="104" spans="1:12" ht="178.5">
      <c r="A104" s="2">
        <v>28</v>
      </c>
      <c r="B104" s="2" t="s">
        <v>121</v>
      </c>
      <c r="C104" s="2" t="s">
        <v>631</v>
      </c>
      <c r="D104" s="2" t="s">
        <v>366</v>
      </c>
      <c r="E104" s="2" t="s">
        <v>632</v>
      </c>
      <c r="F104" s="2" t="s">
        <v>380</v>
      </c>
      <c r="G104" s="2" t="s">
        <v>633</v>
      </c>
      <c r="H104" s="2">
        <v>0</v>
      </c>
      <c r="I104" s="2">
        <v>0</v>
      </c>
      <c r="J104" s="2" t="s">
        <v>634</v>
      </c>
      <c r="L104" s="2" t="s">
        <v>375</v>
      </c>
    </row>
    <row r="105" spans="1:12" ht="204">
      <c r="A105" s="2">
        <v>29</v>
      </c>
      <c r="B105" s="2" t="s">
        <v>121</v>
      </c>
      <c r="C105" s="2" t="s">
        <v>250</v>
      </c>
      <c r="D105" s="2" t="s">
        <v>366</v>
      </c>
      <c r="E105" s="2" t="s">
        <v>635</v>
      </c>
      <c r="F105" s="2" t="s">
        <v>380</v>
      </c>
      <c r="G105" s="2" t="s">
        <v>207</v>
      </c>
      <c r="H105" s="2">
        <v>0</v>
      </c>
      <c r="I105" s="2">
        <v>0</v>
      </c>
      <c r="J105" s="2" t="s">
        <v>636</v>
      </c>
      <c r="L105" s="2" t="s">
        <v>375</v>
      </c>
    </row>
    <row r="106" spans="1:12" ht="318.75">
      <c r="A106" s="2">
        <v>30</v>
      </c>
      <c r="B106" s="2" t="s">
        <v>121</v>
      </c>
      <c r="C106" s="2" t="s">
        <v>240</v>
      </c>
      <c r="D106" s="2" t="s">
        <v>366</v>
      </c>
      <c r="E106" s="2" t="s">
        <v>637</v>
      </c>
      <c r="F106" s="2" t="s">
        <v>380</v>
      </c>
      <c r="G106" s="2" t="s">
        <v>638</v>
      </c>
      <c r="H106" s="2">
        <v>0</v>
      </c>
      <c r="I106" s="2">
        <v>0</v>
      </c>
      <c r="J106" s="2" t="s">
        <v>639</v>
      </c>
      <c r="L106" s="2" t="s">
        <v>375</v>
      </c>
    </row>
    <row r="107" spans="1:12" ht="153">
      <c r="A107" s="2">
        <v>34</v>
      </c>
      <c r="B107" s="2" t="s">
        <v>121</v>
      </c>
      <c r="C107" s="2" t="s">
        <v>360</v>
      </c>
      <c r="D107" s="2" t="s">
        <v>366</v>
      </c>
      <c r="E107" s="2" t="s">
        <v>640</v>
      </c>
      <c r="F107" s="2" t="s">
        <v>380</v>
      </c>
      <c r="G107" s="2" t="s">
        <v>641</v>
      </c>
      <c r="H107" s="2">
        <v>0</v>
      </c>
      <c r="I107" s="2">
        <v>0</v>
      </c>
      <c r="J107" s="2" t="s">
        <v>642</v>
      </c>
      <c r="L107" s="2" t="s">
        <v>375</v>
      </c>
    </row>
    <row r="108" spans="1:12" ht="51">
      <c r="A108" s="2">
        <v>36</v>
      </c>
      <c r="B108" s="2" t="s">
        <v>121</v>
      </c>
      <c r="C108" s="2" t="s">
        <v>250</v>
      </c>
      <c r="D108" s="2" t="s">
        <v>366</v>
      </c>
      <c r="E108" s="2" t="s">
        <v>643</v>
      </c>
      <c r="F108" s="2" t="s">
        <v>380</v>
      </c>
      <c r="G108" s="2" t="s">
        <v>644</v>
      </c>
      <c r="H108" s="2">
        <v>0</v>
      </c>
      <c r="I108" s="2">
        <v>0</v>
      </c>
      <c r="J108" s="2" t="s">
        <v>645</v>
      </c>
      <c r="L108" s="2" t="s">
        <v>646</v>
      </c>
    </row>
    <row r="109" spans="1:12" ht="331.5">
      <c r="A109" s="2">
        <v>37</v>
      </c>
      <c r="B109" s="2" t="s">
        <v>121</v>
      </c>
      <c r="C109" s="2" t="s">
        <v>250</v>
      </c>
      <c r="D109" s="2" t="s">
        <v>366</v>
      </c>
      <c r="E109" s="2" t="s">
        <v>647</v>
      </c>
      <c r="F109" s="2" t="s">
        <v>380</v>
      </c>
      <c r="G109" s="2" t="s">
        <v>648</v>
      </c>
      <c r="H109" s="2">
        <v>0</v>
      </c>
      <c r="I109" s="2">
        <v>0</v>
      </c>
      <c r="J109" s="2" t="s">
        <v>649</v>
      </c>
      <c r="L109" s="2" t="s">
        <v>375</v>
      </c>
    </row>
    <row r="110" spans="1:12" ht="242.25">
      <c r="A110" s="2">
        <v>39</v>
      </c>
      <c r="B110" s="2" t="s">
        <v>121</v>
      </c>
      <c r="C110" s="2" t="s">
        <v>966</v>
      </c>
      <c r="D110" s="2" t="s">
        <v>33</v>
      </c>
      <c r="E110" s="2" t="s">
        <v>650</v>
      </c>
      <c r="F110" s="2" t="s">
        <v>380</v>
      </c>
      <c r="G110" s="2" t="s">
        <v>83</v>
      </c>
      <c r="H110" s="2">
        <v>9</v>
      </c>
      <c r="I110" s="2">
        <v>373</v>
      </c>
      <c r="J110" s="2" t="s">
        <v>974</v>
      </c>
      <c r="L110" s="2" t="s">
        <v>375</v>
      </c>
    </row>
    <row r="111" spans="1:12" ht="216.75">
      <c r="A111" s="2">
        <v>40</v>
      </c>
      <c r="B111" s="2" t="s">
        <v>121</v>
      </c>
      <c r="C111" s="2" t="s">
        <v>966</v>
      </c>
      <c r="D111" s="2" t="s">
        <v>33</v>
      </c>
      <c r="E111" s="2" t="s">
        <v>651</v>
      </c>
      <c r="F111" s="2" t="s">
        <v>380</v>
      </c>
      <c r="G111" s="2" t="s">
        <v>83</v>
      </c>
      <c r="H111" s="2">
        <v>9</v>
      </c>
      <c r="I111" s="2">
        <v>368</v>
      </c>
      <c r="J111" s="2" t="s">
        <v>975</v>
      </c>
      <c r="L111" s="2" t="s">
        <v>375</v>
      </c>
    </row>
    <row r="112" spans="1:12" ht="63.75">
      <c r="A112" s="2">
        <v>41</v>
      </c>
      <c r="B112" s="2" t="s">
        <v>121</v>
      </c>
      <c r="C112" s="2" t="s">
        <v>250</v>
      </c>
      <c r="D112" s="2" t="s">
        <v>366</v>
      </c>
      <c r="E112" s="2" t="s">
        <v>652</v>
      </c>
      <c r="F112" s="2" t="s">
        <v>380</v>
      </c>
      <c r="G112" s="2" t="s">
        <v>648</v>
      </c>
      <c r="H112" s="2">
        <v>0</v>
      </c>
      <c r="I112" s="2">
        <v>0</v>
      </c>
      <c r="J112" s="2" t="s">
        <v>653</v>
      </c>
      <c r="L112" s="2" t="s">
        <v>375</v>
      </c>
    </row>
    <row r="113" spans="1:12" ht="51">
      <c r="A113" s="2">
        <v>43</v>
      </c>
      <c r="B113" s="2" t="s">
        <v>121</v>
      </c>
      <c r="C113" s="2" t="s">
        <v>250</v>
      </c>
      <c r="D113" s="2" t="s">
        <v>366</v>
      </c>
      <c r="E113" s="2" t="s">
        <v>654</v>
      </c>
      <c r="F113" s="2" t="s">
        <v>380</v>
      </c>
      <c r="G113" s="2" t="s">
        <v>655</v>
      </c>
      <c r="H113" s="2">
        <v>0</v>
      </c>
      <c r="I113" s="2">
        <v>0</v>
      </c>
      <c r="J113" s="2" t="s">
        <v>656</v>
      </c>
      <c r="L113" s="2" t="s">
        <v>375</v>
      </c>
    </row>
    <row r="114" spans="1:12" ht="51">
      <c r="A114" s="2">
        <v>44</v>
      </c>
      <c r="B114" s="2" t="s">
        <v>121</v>
      </c>
      <c r="C114" s="2" t="s">
        <v>250</v>
      </c>
      <c r="D114" s="2" t="s">
        <v>366</v>
      </c>
      <c r="E114" s="2" t="s">
        <v>657</v>
      </c>
      <c r="F114" s="2" t="s">
        <v>380</v>
      </c>
      <c r="G114" s="2" t="s">
        <v>658</v>
      </c>
      <c r="H114" s="2">
        <v>0</v>
      </c>
      <c r="I114" s="2">
        <v>0</v>
      </c>
      <c r="J114" s="2" t="s">
        <v>659</v>
      </c>
      <c r="L114" s="2" t="s">
        <v>375</v>
      </c>
    </row>
    <row r="115" spans="1:12" ht="395.25">
      <c r="A115" s="2">
        <v>45</v>
      </c>
      <c r="B115" s="2" t="s">
        <v>121</v>
      </c>
      <c r="C115" s="2" t="s">
        <v>966</v>
      </c>
      <c r="D115" s="2" t="s">
        <v>33</v>
      </c>
      <c r="E115" s="2" t="s">
        <v>660</v>
      </c>
      <c r="F115" s="2" t="s">
        <v>380</v>
      </c>
      <c r="G115" s="2" t="s">
        <v>83</v>
      </c>
      <c r="H115" s="2">
        <v>9</v>
      </c>
      <c r="I115" s="2">
        <v>366</v>
      </c>
      <c r="J115" s="2" t="s">
        <v>976</v>
      </c>
      <c r="L115" s="2" t="s">
        <v>375</v>
      </c>
    </row>
    <row r="116" spans="1:12" ht="153">
      <c r="A116" s="2">
        <v>46</v>
      </c>
      <c r="B116" s="2" t="s">
        <v>121</v>
      </c>
      <c r="C116" s="2" t="s">
        <v>977</v>
      </c>
      <c r="D116" s="2" t="s">
        <v>33</v>
      </c>
      <c r="E116" s="2" t="s">
        <v>661</v>
      </c>
      <c r="F116" s="2" t="s">
        <v>380</v>
      </c>
      <c r="G116" s="2" t="s">
        <v>83</v>
      </c>
      <c r="H116" s="2">
        <v>9</v>
      </c>
      <c r="I116" s="2">
        <v>366</v>
      </c>
      <c r="J116" s="2" t="s">
        <v>978</v>
      </c>
      <c r="L116" s="2" t="s">
        <v>375</v>
      </c>
    </row>
    <row r="117" spans="1:12" ht="63.75">
      <c r="A117" s="2">
        <v>47</v>
      </c>
      <c r="B117" s="2" t="s">
        <v>121</v>
      </c>
      <c r="C117" s="2" t="s">
        <v>250</v>
      </c>
      <c r="D117" s="2" t="s">
        <v>366</v>
      </c>
      <c r="E117" s="2" t="s">
        <v>662</v>
      </c>
      <c r="F117" s="2" t="s">
        <v>380</v>
      </c>
      <c r="G117" s="2" t="s">
        <v>557</v>
      </c>
      <c r="H117" s="2">
        <v>0</v>
      </c>
      <c r="I117" s="2">
        <v>0</v>
      </c>
      <c r="J117" s="2" t="s">
        <v>663</v>
      </c>
      <c r="L117" s="2" t="s">
        <v>375</v>
      </c>
    </row>
    <row r="118" spans="1:12" ht="76.5">
      <c r="A118" s="2">
        <v>49</v>
      </c>
      <c r="B118" s="2" t="s">
        <v>121</v>
      </c>
      <c r="C118" s="2" t="s">
        <v>250</v>
      </c>
      <c r="D118" s="2" t="s">
        <v>366</v>
      </c>
      <c r="E118" s="2" t="s">
        <v>664</v>
      </c>
      <c r="F118" s="2" t="s">
        <v>380</v>
      </c>
      <c r="G118" s="2" t="s">
        <v>557</v>
      </c>
      <c r="H118" s="2">
        <v>0</v>
      </c>
      <c r="I118" s="2">
        <v>0</v>
      </c>
      <c r="J118" s="2" t="s">
        <v>665</v>
      </c>
      <c r="L118" s="2" t="s">
        <v>375</v>
      </c>
    </row>
    <row r="119" spans="1:12" ht="191.25">
      <c r="A119" s="2">
        <v>51</v>
      </c>
      <c r="B119" s="2" t="s">
        <v>121</v>
      </c>
      <c r="C119" s="2" t="s">
        <v>360</v>
      </c>
      <c r="D119" s="2" t="s">
        <v>366</v>
      </c>
      <c r="E119" s="2" t="s">
        <v>666</v>
      </c>
      <c r="F119" s="2" t="s">
        <v>380</v>
      </c>
      <c r="G119" s="2" t="s">
        <v>667</v>
      </c>
      <c r="H119" s="2">
        <v>0</v>
      </c>
      <c r="I119" s="2">
        <v>0</v>
      </c>
      <c r="J119" s="2" t="s">
        <v>668</v>
      </c>
      <c r="L119" s="2" t="s">
        <v>375</v>
      </c>
    </row>
    <row r="120" spans="1:12" ht="178.5">
      <c r="A120" s="2">
        <v>113</v>
      </c>
      <c r="B120" s="2" t="s">
        <v>121</v>
      </c>
      <c r="C120" s="2" t="s">
        <v>245</v>
      </c>
      <c r="D120" s="2" t="s">
        <v>366</v>
      </c>
      <c r="E120" s="2" t="s">
        <v>669</v>
      </c>
      <c r="F120" s="2" t="s">
        <v>368</v>
      </c>
      <c r="G120" s="2" t="s">
        <v>509</v>
      </c>
      <c r="H120" s="2">
        <v>0</v>
      </c>
      <c r="I120" s="2">
        <v>0</v>
      </c>
      <c r="J120" s="2" t="s">
        <v>670</v>
      </c>
      <c r="L120" s="2" t="s">
        <v>671</v>
      </c>
    </row>
    <row r="121" spans="1:12" ht="178.5">
      <c r="A121" s="2">
        <v>115</v>
      </c>
      <c r="B121" s="2" t="s">
        <v>121</v>
      </c>
      <c r="C121" s="2" t="s">
        <v>250</v>
      </c>
      <c r="D121" s="2" t="s">
        <v>366</v>
      </c>
      <c r="E121" s="2" t="s">
        <v>672</v>
      </c>
      <c r="F121" s="2" t="s">
        <v>673</v>
      </c>
      <c r="G121" s="2" t="s">
        <v>674</v>
      </c>
      <c r="H121" s="2">
        <v>0</v>
      </c>
      <c r="I121" s="2">
        <v>0</v>
      </c>
      <c r="J121" s="2" t="s">
        <v>675</v>
      </c>
      <c r="L121" s="2" t="s">
        <v>676</v>
      </c>
    </row>
    <row r="122" spans="1:12" ht="89.25">
      <c r="A122" s="2">
        <v>116</v>
      </c>
      <c r="B122" s="2" t="s">
        <v>121</v>
      </c>
      <c r="C122" s="2" t="s">
        <v>250</v>
      </c>
      <c r="D122" s="2" t="s">
        <v>366</v>
      </c>
      <c r="E122" s="2" t="s">
        <v>677</v>
      </c>
      <c r="F122" s="2" t="s">
        <v>380</v>
      </c>
      <c r="G122" s="2" t="s">
        <v>674</v>
      </c>
      <c r="H122" s="2">
        <v>0</v>
      </c>
      <c r="I122" s="2">
        <v>0</v>
      </c>
      <c r="J122" s="2" t="s">
        <v>678</v>
      </c>
      <c r="L122" s="2" t="s">
        <v>679</v>
      </c>
    </row>
    <row r="123" spans="1:12" ht="51">
      <c r="A123" s="2">
        <v>119</v>
      </c>
      <c r="B123" s="2" t="s">
        <v>121</v>
      </c>
      <c r="C123" s="2" t="s">
        <v>250</v>
      </c>
      <c r="D123" s="2" t="s">
        <v>366</v>
      </c>
      <c r="E123" s="2" t="s">
        <v>680</v>
      </c>
      <c r="F123" s="2" t="s">
        <v>380</v>
      </c>
      <c r="G123" s="2" t="s">
        <v>644</v>
      </c>
      <c r="H123" s="2">
        <v>0</v>
      </c>
      <c r="I123" s="2">
        <v>0</v>
      </c>
      <c r="J123" s="2" t="s">
        <v>681</v>
      </c>
      <c r="L123" s="2" t="s">
        <v>682</v>
      </c>
    </row>
    <row r="124" spans="1:12" ht="51">
      <c r="A124" s="2">
        <v>120</v>
      </c>
      <c r="B124" s="2" t="s">
        <v>121</v>
      </c>
      <c r="C124" s="2" t="s">
        <v>250</v>
      </c>
      <c r="D124" s="2" t="s">
        <v>366</v>
      </c>
      <c r="E124" s="2" t="s">
        <v>683</v>
      </c>
      <c r="F124" s="2" t="s">
        <v>380</v>
      </c>
      <c r="G124" s="2" t="s">
        <v>644</v>
      </c>
      <c r="H124" s="2">
        <v>0</v>
      </c>
      <c r="I124" s="2">
        <v>0</v>
      </c>
      <c r="J124" s="2" t="s">
        <v>684</v>
      </c>
      <c r="L124" s="2" t="s">
        <v>685</v>
      </c>
    </row>
    <row r="125" spans="1:12" ht="51">
      <c r="A125" s="2">
        <v>121</v>
      </c>
      <c r="B125" s="2" t="s">
        <v>121</v>
      </c>
      <c r="C125" s="2" t="s">
        <v>250</v>
      </c>
      <c r="D125" s="2" t="s">
        <v>366</v>
      </c>
      <c r="E125" s="2" t="s">
        <v>686</v>
      </c>
      <c r="F125" s="2" t="s">
        <v>380</v>
      </c>
      <c r="G125" s="2" t="s">
        <v>644</v>
      </c>
      <c r="H125" s="2">
        <v>0</v>
      </c>
      <c r="I125" s="2">
        <v>0</v>
      </c>
      <c r="J125" s="2" t="s">
        <v>684</v>
      </c>
      <c r="L125" s="2" t="s">
        <v>687</v>
      </c>
    </row>
    <row r="126" spans="1:12" ht="51">
      <c r="A126" s="2">
        <v>122</v>
      </c>
      <c r="B126" s="2" t="s">
        <v>121</v>
      </c>
      <c r="C126" s="2" t="s">
        <v>250</v>
      </c>
      <c r="D126" s="2" t="s">
        <v>366</v>
      </c>
      <c r="E126" s="2" t="s">
        <v>688</v>
      </c>
      <c r="F126" s="2" t="s">
        <v>380</v>
      </c>
      <c r="G126" s="2" t="s">
        <v>644</v>
      </c>
      <c r="H126" s="2">
        <v>0</v>
      </c>
      <c r="I126" s="2">
        <v>0</v>
      </c>
      <c r="J126" s="2" t="s">
        <v>689</v>
      </c>
      <c r="L126" s="2" t="s">
        <v>690</v>
      </c>
    </row>
    <row r="127" spans="1:12" ht="51">
      <c r="A127" s="2">
        <v>123</v>
      </c>
      <c r="B127" s="2" t="s">
        <v>121</v>
      </c>
      <c r="C127" s="2" t="s">
        <v>250</v>
      </c>
      <c r="D127" s="2" t="s">
        <v>366</v>
      </c>
      <c r="E127" s="2" t="s">
        <v>691</v>
      </c>
      <c r="F127" s="2" t="s">
        <v>380</v>
      </c>
      <c r="G127" s="2" t="s">
        <v>644</v>
      </c>
      <c r="H127" s="2">
        <v>0</v>
      </c>
      <c r="I127" s="2">
        <v>0</v>
      </c>
      <c r="J127" s="2" t="s">
        <v>684</v>
      </c>
      <c r="L127" s="2" t="s">
        <v>692</v>
      </c>
    </row>
    <row r="128" spans="1:12" ht="51">
      <c r="A128" s="2">
        <v>124</v>
      </c>
      <c r="B128" s="2" t="s">
        <v>121</v>
      </c>
      <c r="C128" s="2" t="s">
        <v>250</v>
      </c>
      <c r="D128" s="2" t="s">
        <v>366</v>
      </c>
      <c r="E128" s="2" t="s">
        <v>693</v>
      </c>
      <c r="F128" s="2" t="s">
        <v>380</v>
      </c>
      <c r="G128" s="2" t="s">
        <v>644</v>
      </c>
      <c r="H128" s="2">
        <v>0</v>
      </c>
      <c r="I128" s="2">
        <v>0</v>
      </c>
      <c r="J128" s="2" t="s">
        <v>689</v>
      </c>
      <c r="L128" s="2" t="s">
        <v>694</v>
      </c>
    </row>
    <row r="129" spans="1:12" ht="51">
      <c r="A129" s="2">
        <v>125</v>
      </c>
      <c r="B129" s="2" t="s">
        <v>121</v>
      </c>
      <c r="C129" s="2" t="s">
        <v>250</v>
      </c>
      <c r="D129" s="2" t="s">
        <v>366</v>
      </c>
      <c r="E129" s="2" t="s">
        <v>695</v>
      </c>
      <c r="F129" s="2" t="s">
        <v>380</v>
      </c>
      <c r="G129" s="2" t="s">
        <v>644</v>
      </c>
      <c r="H129" s="2">
        <v>0</v>
      </c>
      <c r="I129" s="2">
        <v>0</v>
      </c>
      <c r="J129" s="2" t="s">
        <v>689</v>
      </c>
      <c r="L129" s="2" t="s">
        <v>696</v>
      </c>
    </row>
    <row r="130" spans="1:12" ht="51">
      <c r="A130" s="2">
        <v>126</v>
      </c>
      <c r="B130" s="2" t="s">
        <v>121</v>
      </c>
      <c r="C130" s="2" t="s">
        <v>250</v>
      </c>
      <c r="D130" s="2" t="s">
        <v>366</v>
      </c>
      <c r="E130" s="2" t="s">
        <v>697</v>
      </c>
      <c r="F130" s="2" t="s">
        <v>380</v>
      </c>
      <c r="G130" s="2" t="s">
        <v>644</v>
      </c>
      <c r="H130" s="2">
        <v>0</v>
      </c>
      <c r="I130" s="2">
        <v>0</v>
      </c>
      <c r="J130" s="2" t="s">
        <v>689</v>
      </c>
      <c r="L130" s="2" t="s">
        <v>698</v>
      </c>
    </row>
    <row r="131" spans="1:12" ht="63.75">
      <c r="A131" s="2">
        <v>127</v>
      </c>
      <c r="B131" s="2" t="s">
        <v>121</v>
      </c>
      <c r="C131" s="2" t="s">
        <v>250</v>
      </c>
      <c r="D131" s="2" t="s">
        <v>366</v>
      </c>
      <c r="E131" s="2" t="s">
        <v>699</v>
      </c>
      <c r="F131" s="2" t="s">
        <v>380</v>
      </c>
      <c r="G131" s="2" t="s">
        <v>644</v>
      </c>
      <c r="H131" s="2">
        <v>0</v>
      </c>
      <c r="I131" s="2">
        <v>0</v>
      </c>
      <c r="J131" s="2" t="s">
        <v>700</v>
      </c>
      <c r="L131" s="2" t="s">
        <v>701</v>
      </c>
    </row>
    <row r="132" spans="1:12" ht="102">
      <c r="A132" s="2">
        <v>128</v>
      </c>
      <c r="B132" s="2" t="s">
        <v>121</v>
      </c>
      <c r="C132" s="2" t="s">
        <v>250</v>
      </c>
      <c r="D132" s="2" t="s">
        <v>366</v>
      </c>
      <c r="E132" s="2" t="s">
        <v>702</v>
      </c>
      <c r="F132" s="2" t="s">
        <v>368</v>
      </c>
      <c r="G132" s="2" t="s">
        <v>703</v>
      </c>
      <c r="H132" s="2">
        <v>0</v>
      </c>
      <c r="I132" s="2">
        <v>0</v>
      </c>
      <c r="J132" s="2" t="s">
        <v>704</v>
      </c>
      <c r="L132" s="2" t="s">
        <v>705</v>
      </c>
    </row>
    <row r="133" spans="1:12" ht="76.5">
      <c r="A133" s="2">
        <v>129</v>
      </c>
      <c r="B133" s="2" t="s">
        <v>121</v>
      </c>
      <c r="C133" s="2" t="s">
        <v>250</v>
      </c>
      <c r="D133" s="2" t="s">
        <v>366</v>
      </c>
      <c r="E133" s="2" t="s">
        <v>706</v>
      </c>
      <c r="F133" s="2" t="s">
        <v>368</v>
      </c>
      <c r="G133" s="2" t="s">
        <v>703</v>
      </c>
      <c r="H133" s="2">
        <v>0</v>
      </c>
      <c r="I133" s="2">
        <v>0</v>
      </c>
      <c r="J133" s="2" t="s">
        <v>707</v>
      </c>
      <c r="L133" s="2" t="s">
        <v>708</v>
      </c>
    </row>
    <row r="134" spans="1:12" ht="89.25">
      <c r="A134" s="2">
        <v>130</v>
      </c>
      <c r="B134" s="2" t="s">
        <v>121</v>
      </c>
      <c r="C134" s="2" t="s">
        <v>250</v>
      </c>
      <c r="D134" s="2" t="s">
        <v>366</v>
      </c>
      <c r="E134" s="2" t="s">
        <v>709</v>
      </c>
      <c r="F134" s="2" t="s">
        <v>368</v>
      </c>
      <c r="G134" s="2" t="s">
        <v>703</v>
      </c>
      <c r="H134" s="2">
        <v>0</v>
      </c>
      <c r="I134" s="2">
        <v>0</v>
      </c>
      <c r="J134" s="2" t="s">
        <v>710</v>
      </c>
      <c r="L134" s="2" t="s">
        <v>711</v>
      </c>
    </row>
    <row r="135" spans="1:12" ht="76.5">
      <c r="A135" s="2">
        <v>131</v>
      </c>
      <c r="B135" s="2" t="s">
        <v>121</v>
      </c>
      <c r="C135" s="2" t="s">
        <v>250</v>
      </c>
      <c r="D135" s="2" t="s">
        <v>366</v>
      </c>
      <c r="E135" s="2" t="s">
        <v>712</v>
      </c>
      <c r="F135" s="2" t="s">
        <v>368</v>
      </c>
      <c r="G135" s="2" t="s">
        <v>703</v>
      </c>
      <c r="H135" s="2">
        <v>0</v>
      </c>
      <c r="I135" s="2">
        <v>0</v>
      </c>
      <c r="J135" s="2" t="s">
        <v>713</v>
      </c>
      <c r="L135" s="2" t="s">
        <v>714</v>
      </c>
    </row>
    <row r="136" spans="1:12" ht="63.75">
      <c r="A136" s="2">
        <v>132</v>
      </c>
      <c r="B136" s="2" t="s">
        <v>121</v>
      </c>
      <c r="C136" s="2" t="s">
        <v>250</v>
      </c>
      <c r="D136" s="2" t="s">
        <v>366</v>
      </c>
      <c r="E136" s="2" t="s">
        <v>715</v>
      </c>
      <c r="F136" s="2" t="s">
        <v>380</v>
      </c>
      <c r="G136" s="2" t="s">
        <v>716</v>
      </c>
      <c r="H136" s="2">
        <v>0</v>
      </c>
      <c r="I136" s="2">
        <v>0</v>
      </c>
      <c r="J136" s="2" t="s">
        <v>717</v>
      </c>
      <c r="L136" s="2" t="s">
        <v>718</v>
      </c>
    </row>
    <row r="137" spans="1:12" ht="76.5">
      <c r="A137" s="2">
        <v>133</v>
      </c>
      <c r="B137" s="2" t="s">
        <v>121</v>
      </c>
      <c r="C137" s="2" t="s">
        <v>250</v>
      </c>
      <c r="D137" s="2" t="s">
        <v>366</v>
      </c>
      <c r="E137" s="2" t="s">
        <v>719</v>
      </c>
      <c r="F137" s="2" t="s">
        <v>380</v>
      </c>
      <c r="G137" s="2" t="s">
        <v>531</v>
      </c>
      <c r="H137" s="2">
        <v>0</v>
      </c>
      <c r="I137" s="2">
        <v>0</v>
      </c>
      <c r="J137" s="2" t="s">
        <v>720</v>
      </c>
      <c r="L137" s="2" t="s">
        <v>721</v>
      </c>
    </row>
    <row r="138" spans="1:12" ht="63.75">
      <c r="A138" s="2">
        <v>134</v>
      </c>
      <c r="B138" s="2" t="s">
        <v>121</v>
      </c>
      <c r="C138" s="2" t="s">
        <v>336</v>
      </c>
      <c r="D138" s="2" t="s">
        <v>366</v>
      </c>
      <c r="E138" s="2" t="s">
        <v>722</v>
      </c>
      <c r="F138" s="2" t="s">
        <v>380</v>
      </c>
      <c r="G138" s="2" t="s">
        <v>531</v>
      </c>
      <c r="H138" s="2">
        <v>0</v>
      </c>
      <c r="I138" s="2">
        <v>0</v>
      </c>
      <c r="J138" s="2" t="s">
        <v>723</v>
      </c>
      <c r="L138" s="2" t="s">
        <v>724</v>
      </c>
    </row>
    <row r="139" spans="1:12" ht="63.75">
      <c r="A139" s="2">
        <v>135</v>
      </c>
      <c r="B139" s="2" t="s">
        <v>121</v>
      </c>
      <c r="C139" s="2" t="s">
        <v>336</v>
      </c>
      <c r="D139" s="2" t="s">
        <v>366</v>
      </c>
      <c r="E139" s="2" t="s">
        <v>725</v>
      </c>
      <c r="F139" s="2" t="s">
        <v>380</v>
      </c>
      <c r="G139" s="2" t="s">
        <v>554</v>
      </c>
      <c r="H139" s="2">
        <v>0</v>
      </c>
      <c r="I139" s="2">
        <v>0</v>
      </c>
      <c r="J139" s="2" t="s">
        <v>723</v>
      </c>
      <c r="L139" s="2" t="s">
        <v>726</v>
      </c>
    </row>
    <row r="140" spans="1:12" ht="51">
      <c r="A140" s="2">
        <v>136</v>
      </c>
      <c r="B140" s="2" t="s">
        <v>121</v>
      </c>
      <c r="C140" s="2" t="s">
        <v>303</v>
      </c>
      <c r="D140" s="2" t="s">
        <v>366</v>
      </c>
      <c r="E140" s="2" t="s">
        <v>727</v>
      </c>
      <c r="F140" s="2" t="s">
        <v>380</v>
      </c>
      <c r="G140" s="2" t="s">
        <v>728</v>
      </c>
      <c r="H140" s="2">
        <v>0</v>
      </c>
      <c r="I140" s="2">
        <v>0</v>
      </c>
      <c r="J140" s="2" t="s">
        <v>729</v>
      </c>
      <c r="L140" s="2" t="s">
        <v>730</v>
      </c>
    </row>
    <row r="141" spans="1:12" ht="114.75">
      <c r="A141" s="2">
        <v>137</v>
      </c>
      <c r="B141" s="2" t="s">
        <v>121</v>
      </c>
      <c r="C141" s="2" t="s">
        <v>250</v>
      </c>
      <c r="D141" s="2" t="s">
        <v>366</v>
      </c>
      <c r="E141" s="2" t="s">
        <v>731</v>
      </c>
      <c r="F141" s="2" t="s">
        <v>480</v>
      </c>
      <c r="G141" s="2" t="s">
        <v>732</v>
      </c>
      <c r="H141" s="2">
        <v>0</v>
      </c>
      <c r="I141" s="2">
        <v>0</v>
      </c>
      <c r="J141" s="2" t="s">
        <v>733</v>
      </c>
      <c r="L141" s="2" t="s">
        <v>375</v>
      </c>
    </row>
    <row r="142" spans="1:12" ht="63.75">
      <c r="A142" s="2">
        <v>138</v>
      </c>
      <c r="B142" s="2" t="s">
        <v>121</v>
      </c>
      <c r="C142" s="2" t="s">
        <v>303</v>
      </c>
      <c r="D142" s="2" t="s">
        <v>366</v>
      </c>
      <c r="E142" s="2" t="s">
        <v>734</v>
      </c>
      <c r="F142" s="2" t="s">
        <v>368</v>
      </c>
      <c r="G142" s="2" t="s">
        <v>267</v>
      </c>
      <c r="H142" s="2">
        <v>0</v>
      </c>
      <c r="I142" s="2">
        <v>0</v>
      </c>
      <c r="J142" s="2" t="s">
        <v>735</v>
      </c>
      <c r="L142" s="2" t="s">
        <v>736</v>
      </c>
    </row>
    <row r="143" spans="1:12" ht="63.75">
      <c r="A143" s="2">
        <v>139</v>
      </c>
      <c r="B143" s="2" t="s">
        <v>121</v>
      </c>
      <c r="C143" s="2" t="s">
        <v>250</v>
      </c>
      <c r="D143" s="2" t="s">
        <v>366</v>
      </c>
      <c r="E143" s="2" t="s">
        <v>737</v>
      </c>
      <c r="F143" s="2" t="s">
        <v>368</v>
      </c>
      <c r="G143" s="2" t="s">
        <v>267</v>
      </c>
      <c r="H143" s="2">
        <v>0</v>
      </c>
      <c r="I143" s="2">
        <v>0</v>
      </c>
      <c r="J143" s="2" t="s">
        <v>738</v>
      </c>
      <c r="L143" s="2" t="s">
        <v>739</v>
      </c>
    </row>
    <row r="144" spans="1:12" ht="51">
      <c r="A144" s="2">
        <v>140</v>
      </c>
      <c r="B144" s="2" t="s">
        <v>121</v>
      </c>
      <c r="C144" s="2" t="s">
        <v>250</v>
      </c>
      <c r="D144" s="2" t="s">
        <v>366</v>
      </c>
      <c r="E144" s="2" t="s">
        <v>740</v>
      </c>
      <c r="F144" s="2" t="s">
        <v>368</v>
      </c>
      <c r="G144" s="2" t="s">
        <v>267</v>
      </c>
      <c r="H144" s="2">
        <v>0</v>
      </c>
      <c r="I144" s="2">
        <v>0</v>
      </c>
      <c r="J144" s="2" t="s">
        <v>741</v>
      </c>
      <c r="L144" s="2" t="s">
        <v>742</v>
      </c>
    </row>
    <row r="145" spans="1:12" ht="51">
      <c r="A145" s="2">
        <v>142</v>
      </c>
      <c r="B145" s="2" t="s">
        <v>121</v>
      </c>
      <c r="C145" s="2" t="s">
        <v>250</v>
      </c>
      <c r="D145" s="2" t="s">
        <v>366</v>
      </c>
      <c r="E145" s="2" t="s">
        <v>743</v>
      </c>
      <c r="F145" s="2" t="s">
        <v>368</v>
      </c>
      <c r="G145" s="2" t="s">
        <v>218</v>
      </c>
      <c r="H145" s="2">
        <v>0</v>
      </c>
      <c r="I145" s="2">
        <v>0</v>
      </c>
      <c r="L145" s="2" t="s">
        <v>744</v>
      </c>
    </row>
    <row r="146" spans="1:12" ht="63.75">
      <c r="A146" s="2">
        <v>143</v>
      </c>
      <c r="B146" s="2" t="s">
        <v>121</v>
      </c>
      <c r="C146" s="2" t="s">
        <v>250</v>
      </c>
      <c r="D146" s="2" t="s">
        <v>366</v>
      </c>
      <c r="E146" s="2" t="s">
        <v>745</v>
      </c>
      <c r="F146" s="2" t="s">
        <v>470</v>
      </c>
      <c r="G146" s="2" t="s">
        <v>746</v>
      </c>
      <c r="H146" s="2">
        <v>0</v>
      </c>
      <c r="I146" s="2">
        <v>0</v>
      </c>
      <c r="J146" s="2" t="s">
        <v>747</v>
      </c>
      <c r="L146" s="2" t="s">
        <v>748</v>
      </c>
    </row>
    <row r="147" spans="1:12" ht="191.25">
      <c r="A147" s="2">
        <v>144</v>
      </c>
      <c r="B147" s="2" t="s">
        <v>121</v>
      </c>
      <c r="C147" s="2" t="s">
        <v>250</v>
      </c>
      <c r="D147" s="2" t="s">
        <v>366</v>
      </c>
      <c r="E147" s="2" t="s">
        <v>749</v>
      </c>
      <c r="F147" s="2" t="s">
        <v>380</v>
      </c>
      <c r="G147" s="2" t="s">
        <v>648</v>
      </c>
      <c r="H147" s="2">
        <v>0</v>
      </c>
      <c r="I147" s="2">
        <v>0</v>
      </c>
      <c r="J147" s="2" t="s">
        <v>750</v>
      </c>
      <c r="L147" s="2" t="s">
        <v>751</v>
      </c>
    </row>
    <row r="148" spans="1:12" ht="140.25">
      <c r="A148" s="2">
        <v>145</v>
      </c>
      <c r="B148" s="2" t="s">
        <v>121</v>
      </c>
      <c r="C148" s="2" t="s">
        <v>250</v>
      </c>
      <c r="D148" s="2" t="s">
        <v>366</v>
      </c>
      <c r="E148" s="2" t="s">
        <v>752</v>
      </c>
      <c r="F148" s="2" t="s">
        <v>380</v>
      </c>
      <c r="G148" s="2" t="s">
        <v>753</v>
      </c>
      <c r="H148" s="2">
        <v>0</v>
      </c>
      <c r="I148" s="2">
        <v>0</v>
      </c>
      <c r="J148" s="2" t="s">
        <v>754</v>
      </c>
      <c r="L148" s="2" t="s">
        <v>755</v>
      </c>
    </row>
    <row r="149" spans="1:12" ht="102">
      <c r="A149" s="2">
        <v>146</v>
      </c>
      <c r="B149" s="2" t="s">
        <v>121</v>
      </c>
      <c r="C149" s="2" t="s">
        <v>250</v>
      </c>
      <c r="D149" s="2" t="s">
        <v>366</v>
      </c>
      <c r="E149" s="2" t="s">
        <v>756</v>
      </c>
      <c r="F149" s="2" t="s">
        <v>380</v>
      </c>
      <c r="G149" s="2" t="s">
        <v>753</v>
      </c>
      <c r="H149" s="2">
        <v>0</v>
      </c>
      <c r="I149" s="2">
        <v>0</v>
      </c>
      <c r="J149" s="2" t="s">
        <v>757</v>
      </c>
      <c r="L149" s="2" t="s">
        <v>758</v>
      </c>
    </row>
    <row r="150" spans="1:12" ht="127.5">
      <c r="A150" s="2">
        <v>147</v>
      </c>
      <c r="B150" s="2" t="s">
        <v>121</v>
      </c>
      <c r="C150" s="2" t="s">
        <v>250</v>
      </c>
      <c r="D150" s="2" t="s">
        <v>366</v>
      </c>
      <c r="E150" s="2" t="s">
        <v>759</v>
      </c>
      <c r="F150" s="2" t="s">
        <v>380</v>
      </c>
      <c r="G150" s="2" t="s">
        <v>753</v>
      </c>
      <c r="H150" s="2">
        <v>0</v>
      </c>
      <c r="I150" s="2">
        <v>0</v>
      </c>
      <c r="J150" s="2" t="s">
        <v>760</v>
      </c>
      <c r="L150" s="2" t="s">
        <v>761</v>
      </c>
    </row>
    <row r="151" spans="1:12" ht="127.5">
      <c r="A151" s="2">
        <v>148</v>
      </c>
      <c r="B151" s="2" t="s">
        <v>121</v>
      </c>
      <c r="C151" s="2" t="s">
        <v>250</v>
      </c>
      <c r="D151" s="2" t="s">
        <v>366</v>
      </c>
      <c r="E151" s="2" t="s">
        <v>762</v>
      </c>
      <c r="F151" s="2" t="s">
        <v>380</v>
      </c>
      <c r="G151" s="2" t="s">
        <v>753</v>
      </c>
      <c r="H151" s="2">
        <v>0</v>
      </c>
      <c r="I151" s="2">
        <v>0</v>
      </c>
      <c r="J151" s="2" t="s">
        <v>763</v>
      </c>
      <c r="L151" s="2" t="s">
        <v>764</v>
      </c>
    </row>
    <row r="152" spans="1:12" ht="153">
      <c r="A152" s="2">
        <v>149</v>
      </c>
      <c r="B152" s="2" t="s">
        <v>121</v>
      </c>
      <c r="C152" s="2" t="s">
        <v>250</v>
      </c>
      <c r="D152" s="2" t="s">
        <v>366</v>
      </c>
      <c r="E152" s="2" t="s">
        <v>765</v>
      </c>
      <c r="F152" s="2" t="s">
        <v>380</v>
      </c>
      <c r="G152" s="2" t="s">
        <v>753</v>
      </c>
      <c r="H152" s="2">
        <v>0</v>
      </c>
      <c r="I152" s="2">
        <v>0</v>
      </c>
      <c r="J152" s="2" t="s">
        <v>766</v>
      </c>
      <c r="L152" s="2" t="s">
        <v>767</v>
      </c>
    </row>
    <row r="153" spans="1:12" ht="140.25">
      <c r="A153" s="2">
        <v>150</v>
      </c>
      <c r="B153" s="2" t="s">
        <v>121</v>
      </c>
      <c r="C153" s="2" t="s">
        <v>250</v>
      </c>
      <c r="D153" s="2" t="s">
        <v>366</v>
      </c>
      <c r="E153" s="2" t="s">
        <v>768</v>
      </c>
      <c r="F153" s="2" t="s">
        <v>380</v>
      </c>
      <c r="G153" s="2" t="s">
        <v>753</v>
      </c>
      <c r="H153" s="2">
        <v>0</v>
      </c>
      <c r="I153" s="2">
        <v>0</v>
      </c>
      <c r="J153" s="2" t="s">
        <v>769</v>
      </c>
      <c r="L153" s="2" t="s">
        <v>770</v>
      </c>
    </row>
    <row r="154" spans="1:12" ht="216.75">
      <c r="A154" s="2">
        <v>151</v>
      </c>
      <c r="B154" s="2" t="s">
        <v>121</v>
      </c>
      <c r="C154" s="2" t="s">
        <v>250</v>
      </c>
      <c r="D154" s="2" t="s">
        <v>366</v>
      </c>
      <c r="E154" s="2" t="s">
        <v>771</v>
      </c>
      <c r="F154" s="2" t="s">
        <v>380</v>
      </c>
      <c r="G154" s="2" t="s">
        <v>753</v>
      </c>
      <c r="H154" s="2">
        <v>0</v>
      </c>
      <c r="I154" s="2">
        <v>0</v>
      </c>
      <c r="J154" s="2" t="s">
        <v>772</v>
      </c>
      <c r="L154" s="2" t="s">
        <v>773</v>
      </c>
    </row>
    <row r="155" spans="1:12" ht="140.25">
      <c r="A155" s="2">
        <v>152</v>
      </c>
      <c r="B155" s="2" t="s">
        <v>121</v>
      </c>
      <c r="C155" s="2" t="s">
        <v>250</v>
      </c>
      <c r="D155" s="2" t="s">
        <v>366</v>
      </c>
      <c r="E155" s="2" t="s">
        <v>774</v>
      </c>
      <c r="F155" s="2" t="s">
        <v>380</v>
      </c>
      <c r="G155" s="2" t="s">
        <v>753</v>
      </c>
      <c r="H155" s="2">
        <v>0</v>
      </c>
      <c r="I155" s="2">
        <v>0</v>
      </c>
      <c r="J155" s="2" t="s">
        <v>775</v>
      </c>
      <c r="L155" s="2" t="s">
        <v>776</v>
      </c>
    </row>
    <row r="156" spans="1:12" ht="114.75">
      <c r="A156" s="2">
        <v>153</v>
      </c>
      <c r="B156" s="2" t="s">
        <v>121</v>
      </c>
      <c r="C156" s="2" t="s">
        <v>250</v>
      </c>
      <c r="D156" s="2" t="s">
        <v>366</v>
      </c>
      <c r="E156" s="2" t="s">
        <v>777</v>
      </c>
      <c r="F156" s="2" t="s">
        <v>380</v>
      </c>
      <c r="G156" s="2" t="s">
        <v>753</v>
      </c>
      <c r="H156" s="2">
        <v>0</v>
      </c>
      <c r="I156" s="2">
        <v>0</v>
      </c>
      <c r="J156" s="2" t="s">
        <v>778</v>
      </c>
      <c r="L156" s="2" t="s">
        <v>779</v>
      </c>
    </row>
    <row r="157" spans="1:12" ht="127.5">
      <c r="A157" s="2">
        <v>154</v>
      </c>
      <c r="B157" s="2" t="s">
        <v>121</v>
      </c>
      <c r="C157" s="2" t="s">
        <v>250</v>
      </c>
      <c r="D157" s="2" t="s">
        <v>366</v>
      </c>
      <c r="E157" s="2" t="s">
        <v>780</v>
      </c>
      <c r="F157" s="2" t="s">
        <v>380</v>
      </c>
      <c r="G157" s="2" t="s">
        <v>648</v>
      </c>
      <c r="H157" s="2">
        <v>0</v>
      </c>
      <c r="I157" s="2">
        <v>0</v>
      </c>
      <c r="J157" s="2" t="s">
        <v>781</v>
      </c>
      <c r="L157" s="2" t="s">
        <v>782</v>
      </c>
    </row>
    <row r="158" spans="1:12" ht="114.75">
      <c r="A158" s="2">
        <v>155</v>
      </c>
      <c r="B158" s="2" t="s">
        <v>121</v>
      </c>
      <c r="C158" s="2" t="s">
        <v>250</v>
      </c>
      <c r="D158" s="2" t="s">
        <v>366</v>
      </c>
      <c r="E158" s="2" t="s">
        <v>783</v>
      </c>
      <c r="F158" s="2" t="s">
        <v>380</v>
      </c>
      <c r="G158" s="2" t="s">
        <v>648</v>
      </c>
      <c r="H158" s="2">
        <v>0</v>
      </c>
      <c r="I158" s="2">
        <v>0</v>
      </c>
      <c r="J158" s="2" t="s">
        <v>784</v>
      </c>
      <c r="L158" s="2" t="s">
        <v>785</v>
      </c>
    </row>
    <row r="159" spans="1:12" ht="127.5">
      <c r="A159" s="2">
        <v>156</v>
      </c>
      <c r="B159" s="2" t="s">
        <v>121</v>
      </c>
      <c r="C159" s="2" t="s">
        <v>250</v>
      </c>
      <c r="D159" s="2" t="s">
        <v>366</v>
      </c>
      <c r="E159" s="2" t="s">
        <v>786</v>
      </c>
      <c r="F159" s="2" t="s">
        <v>380</v>
      </c>
      <c r="G159" s="2" t="s">
        <v>648</v>
      </c>
      <c r="H159" s="2">
        <v>0</v>
      </c>
      <c r="I159" s="2">
        <v>0</v>
      </c>
      <c r="J159" s="2" t="s">
        <v>787</v>
      </c>
      <c r="L159" s="2" t="s">
        <v>788</v>
      </c>
    </row>
    <row r="160" spans="1:12" ht="153">
      <c r="A160" s="2">
        <v>157</v>
      </c>
      <c r="B160" s="2" t="s">
        <v>121</v>
      </c>
      <c r="C160" s="2" t="s">
        <v>250</v>
      </c>
      <c r="D160" s="2" t="s">
        <v>366</v>
      </c>
      <c r="E160" s="2" t="s">
        <v>789</v>
      </c>
      <c r="F160" s="2" t="s">
        <v>380</v>
      </c>
      <c r="G160" s="2" t="s">
        <v>648</v>
      </c>
      <c r="H160" s="2">
        <v>0</v>
      </c>
      <c r="I160" s="2">
        <v>0</v>
      </c>
      <c r="J160" s="2" t="s">
        <v>790</v>
      </c>
      <c r="L160" s="2" t="s">
        <v>791</v>
      </c>
    </row>
    <row r="161" spans="1:12" ht="114.75">
      <c r="A161" s="2">
        <v>158</v>
      </c>
      <c r="B161" s="2" t="s">
        <v>121</v>
      </c>
      <c r="C161" s="2" t="s">
        <v>250</v>
      </c>
      <c r="D161" s="2" t="s">
        <v>366</v>
      </c>
      <c r="E161" s="2" t="s">
        <v>792</v>
      </c>
      <c r="F161" s="2" t="s">
        <v>380</v>
      </c>
      <c r="G161" s="2" t="s">
        <v>648</v>
      </c>
      <c r="H161" s="2">
        <v>0</v>
      </c>
      <c r="I161" s="2">
        <v>0</v>
      </c>
      <c r="J161" s="2" t="s">
        <v>793</v>
      </c>
      <c r="L161" s="2" t="s">
        <v>794</v>
      </c>
    </row>
    <row r="162" spans="1:12" ht="102">
      <c r="A162" s="2">
        <v>159</v>
      </c>
      <c r="B162" s="2" t="s">
        <v>121</v>
      </c>
      <c r="C162" s="2" t="s">
        <v>250</v>
      </c>
      <c r="D162" s="2" t="s">
        <v>366</v>
      </c>
      <c r="E162" s="2" t="s">
        <v>795</v>
      </c>
      <c r="F162" s="2" t="s">
        <v>380</v>
      </c>
      <c r="G162" s="2" t="s">
        <v>648</v>
      </c>
      <c r="H162" s="2">
        <v>0</v>
      </c>
      <c r="I162" s="2">
        <v>0</v>
      </c>
      <c r="J162" s="2" t="s">
        <v>796</v>
      </c>
      <c r="L162" s="2" t="s">
        <v>797</v>
      </c>
    </row>
    <row r="163" spans="1:12" ht="140.25">
      <c r="A163" s="2">
        <v>160</v>
      </c>
      <c r="B163" s="2" t="s">
        <v>121</v>
      </c>
      <c r="C163" s="2" t="s">
        <v>250</v>
      </c>
      <c r="D163" s="2" t="s">
        <v>366</v>
      </c>
      <c r="E163" s="2" t="s">
        <v>798</v>
      </c>
      <c r="F163" s="2" t="s">
        <v>380</v>
      </c>
      <c r="G163" s="2" t="s">
        <v>655</v>
      </c>
      <c r="H163" s="2">
        <v>0</v>
      </c>
      <c r="I163" s="2">
        <v>0</v>
      </c>
      <c r="J163" s="2" t="s">
        <v>799</v>
      </c>
      <c r="L163" s="2" t="s">
        <v>800</v>
      </c>
    </row>
    <row r="164" spans="1:12" ht="127.5">
      <c r="A164" s="2">
        <v>161</v>
      </c>
      <c r="B164" s="2" t="s">
        <v>121</v>
      </c>
      <c r="C164" s="2" t="s">
        <v>250</v>
      </c>
      <c r="D164" s="2" t="s">
        <v>366</v>
      </c>
      <c r="E164" s="2" t="s">
        <v>801</v>
      </c>
      <c r="F164" s="2" t="s">
        <v>380</v>
      </c>
      <c r="G164" s="2" t="s">
        <v>655</v>
      </c>
      <c r="H164" s="2">
        <v>0</v>
      </c>
      <c r="I164" s="2">
        <v>0</v>
      </c>
      <c r="J164" s="2" t="s">
        <v>802</v>
      </c>
      <c r="L164" s="2" t="s">
        <v>803</v>
      </c>
    </row>
    <row r="165" spans="1:12" ht="89.25">
      <c r="A165" s="2">
        <v>162</v>
      </c>
      <c r="B165" s="2" t="s">
        <v>121</v>
      </c>
      <c r="C165" s="2" t="s">
        <v>250</v>
      </c>
      <c r="D165" s="2" t="s">
        <v>366</v>
      </c>
      <c r="E165" s="2" t="s">
        <v>804</v>
      </c>
      <c r="F165" s="2" t="s">
        <v>380</v>
      </c>
      <c r="G165" s="2" t="s">
        <v>655</v>
      </c>
      <c r="H165" s="2">
        <v>0</v>
      </c>
      <c r="I165" s="2">
        <v>0</v>
      </c>
      <c r="J165" s="2" t="s">
        <v>805</v>
      </c>
      <c r="L165" s="2" t="s">
        <v>806</v>
      </c>
    </row>
    <row r="166" spans="1:12" ht="102">
      <c r="A166" s="2">
        <v>163</v>
      </c>
      <c r="B166" s="2" t="s">
        <v>121</v>
      </c>
      <c r="C166" s="2" t="s">
        <v>250</v>
      </c>
      <c r="D166" s="2" t="s">
        <v>366</v>
      </c>
      <c r="E166" s="2" t="s">
        <v>807</v>
      </c>
      <c r="F166" s="2" t="s">
        <v>380</v>
      </c>
      <c r="G166" s="2" t="s">
        <v>658</v>
      </c>
      <c r="H166" s="2">
        <v>0</v>
      </c>
      <c r="I166" s="2">
        <v>0</v>
      </c>
      <c r="J166" s="2" t="s">
        <v>808</v>
      </c>
      <c r="L166" s="2" t="s">
        <v>809</v>
      </c>
    </row>
    <row r="167" spans="1:12" ht="102">
      <c r="A167" s="2">
        <v>164</v>
      </c>
      <c r="B167" s="2" t="s">
        <v>121</v>
      </c>
      <c r="C167" s="2" t="s">
        <v>250</v>
      </c>
      <c r="D167" s="2" t="s">
        <v>366</v>
      </c>
      <c r="E167" s="2" t="s">
        <v>810</v>
      </c>
      <c r="F167" s="2" t="s">
        <v>380</v>
      </c>
      <c r="G167" s="2" t="s">
        <v>658</v>
      </c>
      <c r="H167" s="2">
        <v>0</v>
      </c>
      <c r="I167" s="2">
        <v>0</v>
      </c>
      <c r="J167" s="2" t="s">
        <v>811</v>
      </c>
      <c r="L167" s="2" t="s">
        <v>812</v>
      </c>
    </row>
    <row r="168" spans="1:12" ht="89.25">
      <c r="A168" s="2">
        <v>165</v>
      </c>
      <c r="B168" s="2" t="s">
        <v>121</v>
      </c>
      <c r="C168" s="2" t="s">
        <v>250</v>
      </c>
      <c r="D168" s="2" t="s">
        <v>366</v>
      </c>
      <c r="E168" s="2" t="s">
        <v>813</v>
      </c>
      <c r="F168" s="2" t="s">
        <v>380</v>
      </c>
      <c r="G168" s="2" t="s">
        <v>658</v>
      </c>
      <c r="H168" s="2">
        <v>0</v>
      </c>
      <c r="I168" s="2">
        <v>0</v>
      </c>
      <c r="J168" s="2" t="s">
        <v>814</v>
      </c>
      <c r="L168" s="2" t="s">
        <v>815</v>
      </c>
    </row>
    <row r="169" spans="1:12" ht="89.25">
      <c r="A169" s="2">
        <v>166</v>
      </c>
      <c r="B169" s="2" t="s">
        <v>121</v>
      </c>
      <c r="C169" s="2" t="s">
        <v>250</v>
      </c>
      <c r="D169" s="2" t="s">
        <v>366</v>
      </c>
      <c r="E169" s="2" t="s">
        <v>816</v>
      </c>
      <c r="F169" s="2" t="s">
        <v>380</v>
      </c>
      <c r="G169" s="2" t="s">
        <v>658</v>
      </c>
      <c r="H169" s="2">
        <v>0</v>
      </c>
      <c r="I169" s="2">
        <v>0</v>
      </c>
      <c r="J169" s="2" t="s">
        <v>814</v>
      </c>
      <c r="L169" s="2" t="s">
        <v>817</v>
      </c>
    </row>
    <row r="170" spans="1:12" ht="89.25">
      <c r="A170" s="2">
        <v>167</v>
      </c>
      <c r="B170" s="2" t="s">
        <v>121</v>
      </c>
      <c r="C170" s="2" t="s">
        <v>250</v>
      </c>
      <c r="D170" s="2" t="s">
        <v>366</v>
      </c>
      <c r="E170" s="2" t="s">
        <v>818</v>
      </c>
      <c r="F170" s="2" t="s">
        <v>380</v>
      </c>
      <c r="G170" s="2" t="s">
        <v>658</v>
      </c>
      <c r="H170" s="2">
        <v>0</v>
      </c>
      <c r="I170" s="2">
        <v>0</v>
      </c>
      <c r="J170" s="2" t="s">
        <v>819</v>
      </c>
      <c r="L170" s="2" t="s">
        <v>820</v>
      </c>
    </row>
    <row r="171" spans="1:12" ht="153">
      <c r="A171" s="2">
        <v>168</v>
      </c>
      <c r="B171" s="2" t="s">
        <v>121</v>
      </c>
      <c r="C171" s="2" t="s">
        <v>250</v>
      </c>
      <c r="D171" s="2" t="s">
        <v>366</v>
      </c>
      <c r="E171" s="2" t="s">
        <v>821</v>
      </c>
      <c r="F171" s="2" t="s">
        <v>380</v>
      </c>
      <c r="G171" s="2" t="s">
        <v>557</v>
      </c>
      <c r="H171" s="2">
        <v>0</v>
      </c>
      <c r="I171" s="2">
        <v>0</v>
      </c>
      <c r="J171" s="2" t="s">
        <v>822</v>
      </c>
      <c r="L171" s="2" t="s">
        <v>823</v>
      </c>
    </row>
    <row r="172" spans="1:12" ht="89.25">
      <c r="A172" s="2">
        <v>169</v>
      </c>
      <c r="B172" s="2" t="s">
        <v>121</v>
      </c>
      <c r="C172" s="2" t="s">
        <v>250</v>
      </c>
      <c r="D172" s="2" t="s">
        <v>366</v>
      </c>
      <c r="E172" s="2" t="s">
        <v>824</v>
      </c>
      <c r="F172" s="2" t="s">
        <v>380</v>
      </c>
      <c r="G172" s="2" t="s">
        <v>557</v>
      </c>
      <c r="H172" s="2">
        <v>0</v>
      </c>
      <c r="I172" s="2">
        <v>0</v>
      </c>
      <c r="J172" s="2" t="s">
        <v>825</v>
      </c>
      <c r="L172" s="2" t="s">
        <v>826</v>
      </c>
    </row>
    <row r="173" spans="1:12" ht="102">
      <c r="A173" s="2">
        <v>170</v>
      </c>
      <c r="B173" s="2" t="s">
        <v>121</v>
      </c>
      <c r="C173" s="2" t="s">
        <v>250</v>
      </c>
      <c r="D173" s="2" t="s">
        <v>366</v>
      </c>
      <c r="E173" s="2" t="s">
        <v>827</v>
      </c>
      <c r="F173" s="2" t="s">
        <v>380</v>
      </c>
      <c r="G173" s="2" t="s">
        <v>557</v>
      </c>
      <c r="H173" s="2">
        <v>0</v>
      </c>
      <c r="I173" s="2">
        <v>0</v>
      </c>
      <c r="J173" s="2" t="s">
        <v>828</v>
      </c>
      <c r="L173" s="2" t="s">
        <v>829</v>
      </c>
    </row>
    <row r="174" spans="1:12" ht="89.25">
      <c r="A174" s="2">
        <v>171</v>
      </c>
      <c r="B174" s="2" t="s">
        <v>121</v>
      </c>
      <c r="C174" s="2" t="s">
        <v>250</v>
      </c>
      <c r="D174" s="2" t="s">
        <v>366</v>
      </c>
      <c r="E174" s="2" t="s">
        <v>830</v>
      </c>
      <c r="F174" s="2" t="s">
        <v>380</v>
      </c>
      <c r="G174" s="2" t="s">
        <v>557</v>
      </c>
      <c r="H174" s="2">
        <v>0</v>
      </c>
      <c r="I174" s="2">
        <v>0</v>
      </c>
      <c r="J174" s="2" t="s">
        <v>814</v>
      </c>
      <c r="L174" s="2" t="s">
        <v>831</v>
      </c>
    </row>
    <row r="175" spans="1:12" ht="102">
      <c r="A175" s="2">
        <v>172</v>
      </c>
      <c r="B175" s="2" t="s">
        <v>121</v>
      </c>
      <c r="C175" s="2" t="s">
        <v>250</v>
      </c>
      <c r="D175" s="2" t="s">
        <v>366</v>
      </c>
      <c r="E175" s="2" t="s">
        <v>832</v>
      </c>
      <c r="F175" s="2" t="s">
        <v>380</v>
      </c>
      <c r="G175" s="2" t="s">
        <v>557</v>
      </c>
      <c r="H175" s="2">
        <v>0</v>
      </c>
      <c r="I175" s="2">
        <v>0</v>
      </c>
      <c r="J175" s="2" t="s">
        <v>833</v>
      </c>
      <c r="L175" s="2" t="s">
        <v>834</v>
      </c>
    </row>
    <row r="176" spans="1:12" ht="127.5">
      <c r="A176" s="2">
        <v>173</v>
      </c>
      <c r="B176" s="2" t="s">
        <v>121</v>
      </c>
      <c r="C176" s="2" t="s">
        <v>250</v>
      </c>
      <c r="D176" s="2" t="s">
        <v>366</v>
      </c>
      <c r="E176" s="2" t="s">
        <v>835</v>
      </c>
      <c r="F176" s="2" t="s">
        <v>380</v>
      </c>
      <c r="G176" s="2" t="s">
        <v>836</v>
      </c>
      <c r="H176" s="2">
        <v>0</v>
      </c>
      <c r="I176" s="2">
        <v>0</v>
      </c>
      <c r="J176" s="2" t="s">
        <v>837</v>
      </c>
      <c r="L176" s="2" t="s">
        <v>838</v>
      </c>
    </row>
    <row r="177" spans="1:12" ht="89.25">
      <c r="A177" s="2">
        <v>174</v>
      </c>
      <c r="B177" s="2" t="s">
        <v>121</v>
      </c>
      <c r="C177" s="2" t="s">
        <v>250</v>
      </c>
      <c r="D177" s="2" t="s">
        <v>366</v>
      </c>
      <c r="E177" s="2" t="s">
        <v>839</v>
      </c>
      <c r="F177" s="2" t="s">
        <v>380</v>
      </c>
      <c r="G177" s="2" t="s">
        <v>836</v>
      </c>
      <c r="H177" s="2">
        <v>0</v>
      </c>
      <c r="I177" s="2">
        <v>0</v>
      </c>
      <c r="J177" s="2" t="s">
        <v>814</v>
      </c>
      <c r="L177" s="2" t="s">
        <v>840</v>
      </c>
    </row>
    <row r="178" spans="1:12" ht="102">
      <c r="A178" s="2">
        <v>175</v>
      </c>
      <c r="B178" s="2" t="s">
        <v>121</v>
      </c>
      <c r="C178" s="2" t="s">
        <v>250</v>
      </c>
      <c r="D178" s="2" t="s">
        <v>366</v>
      </c>
      <c r="E178" s="2" t="s">
        <v>841</v>
      </c>
      <c r="F178" s="2" t="s">
        <v>380</v>
      </c>
      <c r="G178" s="2" t="s">
        <v>836</v>
      </c>
      <c r="H178" s="2">
        <v>0</v>
      </c>
      <c r="I178" s="2">
        <v>0</v>
      </c>
      <c r="J178" s="2" t="s">
        <v>842</v>
      </c>
      <c r="L178" s="2" t="s">
        <v>843</v>
      </c>
    </row>
    <row r="179" spans="1:12" ht="191.25">
      <c r="A179" s="2">
        <v>176</v>
      </c>
      <c r="B179" s="2" t="s">
        <v>121</v>
      </c>
      <c r="C179" s="2" t="s">
        <v>250</v>
      </c>
      <c r="D179" s="2" t="s">
        <v>366</v>
      </c>
      <c r="E179" s="2" t="s">
        <v>844</v>
      </c>
      <c r="F179" s="2" t="s">
        <v>380</v>
      </c>
      <c r="G179" s="2" t="s">
        <v>845</v>
      </c>
      <c r="H179" s="2">
        <v>0</v>
      </c>
      <c r="I179" s="2">
        <v>0</v>
      </c>
      <c r="J179" s="2" t="s">
        <v>846</v>
      </c>
      <c r="L179" s="2" t="s">
        <v>847</v>
      </c>
    </row>
    <row r="180" spans="1:12" ht="102">
      <c r="A180" s="2">
        <v>177</v>
      </c>
      <c r="B180" s="2" t="s">
        <v>121</v>
      </c>
      <c r="C180" s="2" t="s">
        <v>250</v>
      </c>
      <c r="D180" s="2" t="s">
        <v>366</v>
      </c>
      <c r="E180" s="2" t="s">
        <v>848</v>
      </c>
      <c r="F180" s="2" t="s">
        <v>380</v>
      </c>
      <c r="G180" s="2" t="s">
        <v>845</v>
      </c>
      <c r="H180" s="2">
        <v>0</v>
      </c>
      <c r="I180" s="2">
        <v>0</v>
      </c>
      <c r="J180" s="2" t="s">
        <v>849</v>
      </c>
      <c r="L180" s="2" t="s">
        <v>850</v>
      </c>
    </row>
    <row r="181" spans="1:12" ht="153">
      <c r="A181" s="2">
        <v>178</v>
      </c>
      <c r="B181" s="2" t="s">
        <v>121</v>
      </c>
      <c r="C181" s="2" t="s">
        <v>250</v>
      </c>
      <c r="D181" s="2" t="s">
        <v>366</v>
      </c>
      <c r="E181" s="2" t="s">
        <v>851</v>
      </c>
      <c r="F181" s="2" t="s">
        <v>380</v>
      </c>
      <c r="G181" s="2" t="s">
        <v>845</v>
      </c>
      <c r="H181" s="2">
        <v>0</v>
      </c>
      <c r="I181" s="2">
        <v>0</v>
      </c>
      <c r="J181" s="2" t="s">
        <v>852</v>
      </c>
      <c r="L181" s="2" t="s">
        <v>853</v>
      </c>
    </row>
    <row r="182" spans="1:12" ht="76.5">
      <c r="A182" s="2">
        <v>179</v>
      </c>
      <c r="B182" s="2" t="s">
        <v>121</v>
      </c>
      <c r="C182" s="2" t="s">
        <v>250</v>
      </c>
      <c r="D182" s="2" t="s">
        <v>366</v>
      </c>
      <c r="E182" s="2" t="s">
        <v>854</v>
      </c>
      <c r="F182" s="2" t="s">
        <v>380</v>
      </c>
      <c r="G182" s="2" t="s">
        <v>855</v>
      </c>
      <c r="H182" s="2">
        <v>0</v>
      </c>
      <c r="I182" s="2">
        <v>0</v>
      </c>
      <c r="J182" s="2" t="s">
        <v>856</v>
      </c>
      <c r="L182" s="2" t="s">
        <v>857</v>
      </c>
    </row>
    <row r="183" spans="1:12" ht="114.75">
      <c r="A183" s="2">
        <v>180</v>
      </c>
      <c r="B183" s="2" t="s">
        <v>121</v>
      </c>
      <c r="C183" s="2" t="s">
        <v>250</v>
      </c>
      <c r="D183" s="2" t="s">
        <v>366</v>
      </c>
      <c r="E183" s="2" t="s">
        <v>858</v>
      </c>
      <c r="F183" s="2" t="s">
        <v>380</v>
      </c>
      <c r="G183" s="2" t="s">
        <v>855</v>
      </c>
      <c r="H183" s="2">
        <v>0</v>
      </c>
      <c r="I183" s="2">
        <v>0</v>
      </c>
      <c r="J183" s="2" t="s">
        <v>859</v>
      </c>
      <c r="L183" s="2" t="s">
        <v>860</v>
      </c>
    </row>
    <row r="184" spans="1:12" ht="114.75">
      <c r="A184" s="2">
        <v>181</v>
      </c>
      <c r="B184" s="2" t="s">
        <v>121</v>
      </c>
      <c r="C184" s="2" t="s">
        <v>250</v>
      </c>
      <c r="D184" s="2" t="s">
        <v>366</v>
      </c>
      <c r="E184" s="2" t="s">
        <v>861</v>
      </c>
      <c r="F184" s="2" t="s">
        <v>380</v>
      </c>
      <c r="G184" s="2" t="s">
        <v>855</v>
      </c>
      <c r="H184" s="2">
        <v>0</v>
      </c>
      <c r="I184" s="2">
        <v>0</v>
      </c>
      <c r="J184" s="2" t="s">
        <v>862</v>
      </c>
      <c r="L184" s="2" t="s">
        <v>863</v>
      </c>
    </row>
    <row r="185" spans="1:12" ht="191.25">
      <c r="A185" s="2">
        <v>182</v>
      </c>
      <c r="B185" s="2" t="s">
        <v>121</v>
      </c>
      <c r="C185" s="2" t="s">
        <v>250</v>
      </c>
      <c r="D185" s="2" t="s">
        <v>366</v>
      </c>
      <c r="E185" s="2" t="s">
        <v>864</v>
      </c>
      <c r="F185" s="2" t="s">
        <v>380</v>
      </c>
      <c r="G185" s="2" t="s">
        <v>865</v>
      </c>
      <c r="H185" s="2">
        <v>0</v>
      </c>
      <c r="I185" s="2">
        <v>0</v>
      </c>
      <c r="J185" s="2" t="s">
        <v>866</v>
      </c>
      <c r="L185" s="2" t="s">
        <v>867</v>
      </c>
    </row>
    <row r="186" spans="1:12" ht="102">
      <c r="A186" s="2">
        <v>183</v>
      </c>
      <c r="B186" s="2" t="s">
        <v>121</v>
      </c>
      <c r="C186" s="2" t="s">
        <v>250</v>
      </c>
      <c r="D186" s="2" t="s">
        <v>366</v>
      </c>
      <c r="E186" s="2" t="s">
        <v>868</v>
      </c>
      <c r="F186" s="2" t="s">
        <v>380</v>
      </c>
      <c r="G186" s="2" t="s">
        <v>753</v>
      </c>
      <c r="H186" s="2">
        <v>0</v>
      </c>
      <c r="I186" s="2">
        <v>0</v>
      </c>
      <c r="J186" s="2" t="s">
        <v>869</v>
      </c>
      <c r="L186" s="2" t="s">
        <v>375</v>
      </c>
    </row>
    <row r="187" spans="1:12" ht="102">
      <c r="A187" s="2">
        <v>185</v>
      </c>
      <c r="B187" s="2" t="s">
        <v>121</v>
      </c>
      <c r="C187" s="2" t="s">
        <v>250</v>
      </c>
      <c r="D187" s="2" t="s">
        <v>366</v>
      </c>
      <c r="E187" s="2" t="s">
        <v>870</v>
      </c>
      <c r="F187" s="2" t="s">
        <v>380</v>
      </c>
      <c r="G187" s="2" t="s">
        <v>871</v>
      </c>
      <c r="H187" s="2">
        <v>0</v>
      </c>
      <c r="I187" s="2">
        <v>0</v>
      </c>
      <c r="J187" s="2" t="s">
        <v>872</v>
      </c>
      <c r="L187" s="2" t="s">
        <v>873</v>
      </c>
    </row>
    <row r="188" spans="1:12" ht="89.25">
      <c r="A188" s="2">
        <v>186</v>
      </c>
      <c r="B188" s="2" t="s">
        <v>121</v>
      </c>
      <c r="C188" s="2" t="s">
        <v>250</v>
      </c>
      <c r="D188" s="2" t="s">
        <v>366</v>
      </c>
      <c r="E188" s="2" t="s">
        <v>874</v>
      </c>
      <c r="F188" s="2" t="s">
        <v>380</v>
      </c>
      <c r="G188" s="2" t="s">
        <v>658</v>
      </c>
      <c r="H188" s="2">
        <v>0</v>
      </c>
      <c r="I188" s="2">
        <v>0</v>
      </c>
      <c r="J188" s="2" t="s">
        <v>814</v>
      </c>
      <c r="L188" s="2" t="s">
        <v>875</v>
      </c>
    </row>
    <row r="189" spans="1:12" ht="127.5">
      <c r="A189" s="2">
        <v>187</v>
      </c>
      <c r="B189" s="2" t="s">
        <v>121</v>
      </c>
      <c r="C189" s="2" t="s">
        <v>250</v>
      </c>
      <c r="D189" s="2" t="s">
        <v>366</v>
      </c>
      <c r="E189" s="2" t="s">
        <v>876</v>
      </c>
      <c r="F189" s="2" t="s">
        <v>380</v>
      </c>
      <c r="G189" s="2" t="s">
        <v>658</v>
      </c>
      <c r="H189" s="2">
        <v>0</v>
      </c>
      <c r="I189" s="2">
        <v>0</v>
      </c>
      <c r="J189" s="2" t="s">
        <v>877</v>
      </c>
      <c r="L189" s="2" t="s">
        <v>878</v>
      </c>
    </row>
    <row r="190" spans="1:12" ht="102">
      <c r="A190" s="2">
        <v>188</v>
      </c>
      <c r="B190" s="2" t="s">
        <v>121</v>
      </c>
      <c r="C190" s="2" t="s">
        <v>631</v>
      </c>
      <c r="D190" s="2" t="s">
        <v>366</v>
      </c>
      <c r="E190" s="2" t="s">
        <v>879</v>
      </c>
      <c r="F190" s="2" t="s">
        <v>380</v>
      </c>
      <c r="G190" s="2" t="s">
        <v>207</v>
      </c>
      <c r="H190" s="2">
        <v>0</v>
      </c>
      <c r="I190" s="2">
        <v>0</v>
      </c>
      <c r="J190" s="2" t="s">
        <v>880</v>
      </c>
      <c r="L190" s="2" t="s">
        <v>881</v>
      </c>
    </row>
    <row r="191" spans="1:12" ht="102">
      <c r="A191" s="2">
        <v>191</v>
      </c>
      <c r="B191" s="2" t="s">
        <v>121</v>
      </c>
      <c r="C191" s="2" t="s">
        <v>250</v>
      </c>
      <c r="D191" s="2" t="s">
        <v>366</v>
      </c>
      <c r="E191" s="2" t="s">
        <v>882</v>
      </c>
      <c r="F191" s="2" t="s">
        <v>380</v>
      </c>
      <c r="G191" s="2" t="s">
        <v>753</v>
      </c>
      <c r="H191" s="2">
        <v>0</v>
      </c>
      <c r="I191" s="2">
        <v>0</v>
      </c>
      <c r="J191" s="2" t="s">
        <v>883</v>
      </c>
      <c r="L191" s="2" t="s">
        <v>375</v>
      </c>
    </row>
    <row r="192" spans="1:12" ht="191.25">
      <c r="A192" s="2">
        <v>192</v>
      </c>
      <c r="B192" s="2" t="s">
        <v>121</v>
      </c>
      <c r="C192" s="2" t="s">
        <v>360</v>
      </c>
      <c r="D192" s="2" t="s">
        <v>366</v>
      </c>
      <c r="E192" s="2" t="s">
        <v>884</v>
      </c>
      <c r="F192" s="2" t="s">
        <v>380</v>
      </c>
      <c r="G192" s="2" t="s">
        <v>644</v>
      </c>
      <c r="H192" s="2">
        <v>0</v>
      </c>
      <c r="I192" s="2">
        <v>0</v>
      </c>
      <c r="J192" s="2" t="s">
        <v>885</v>
      </c>
      <c r="L192" s="2" t="s">
        <v>375</v>
      </c>
    </row>
    <row r="193" spans="1:12" ht="255">
      <c r="A193" s="2">
        <v>194</v>
      </c>
      <c r="B193" s="2" t="s">
        <v>121</v>
      </c>
      <c r="C193" s="2" t="s">
        <v>250</v>
      </c>
      <c r="D193" s="2" t="s">
        <v>366</v>
      </c>
      <c r="E193" s="2" t="s">
        <v>886</v>
      </c>
      <c r="F193" s="2" t="s">
        <v>380</v>
      </c>
      <c r="G193" s="2" t="s">
        <v>887</v>
      </c>
      <c r="H193" s="2">
        <v>0</v>
      </c>
      <c r="I193" s="2">
        <v>0</v>
      </c>
      <c r="J193" s="2" t="s">
        <v>888</v>
      </c>
      <c r="L193" s="2" t="s">
        <v>375</v>
      </c>
    </row>
    <row r="194" spans="1:12" ht="408">
      <c r="A194" s="2">
        <v>195</v>
      </c>
      <c r="B194" s="2" t="s">
        <v>121</v>
      </c>
      <c r="C194" s="2" t="s">
        <v>81</v>
      </c>
      <c r="D194" s="2" t="s">
        <v>33</v>
      </c>
      <c r="E194" s="2" t="s">
        <v>889</v>
      </c>
      <c r="F194" s="2" t="s">
        <v>380</v>
      </c>
      <c r="G194" s="2" t="s">
        <v>890</v>
      </c>
      <c r="H194" s="2">
        <v>72</v>
      </c>
      <c r="I194" s="2">
        <v>317</v>
      </c>
      <c r="J194" s="2" t="s">
        <v>891</v>
      </c>
      <c r="L194" s="2" t="s">
        <v>375</v>
      </c>
    </row>
    <row r="195" spans="1:12" ht="216.75">
      <c r="A195" s="2">
        <v>197</v>
      </c>
      <c r="B195" s="2" t="s">
        <v>121</v>
      </c>
      <c r="C195" s="2" t="s">
        <v>250</v>
      </c>
      <c r="D195" s="2" t="s">
        <v>366</v>
      </c>
      <c r="E195" s="2" t="s">
        <v>892</v>
      </c>
      <c r="F195" s="2" t="s">
        <v>380</v>
      </c>
      <c r="G195" s="2" t="s">
        <v>753</v>
      </c>
      <c r="H195" s="2">
        <v>0</v>
      </c>
      <c r="I195" s="2">
        <v>0</v>
      </c>
      <c r="J195" s="2" t="s">
        <v>893</v>
      </c>
      <c r="L195" s="2" t="s">
        <v>375</v>
      </c>
    </row>
    <row r="196" spans="1:12" ht="51">
      <c r="A196" s="2">
        <v>209</v>
      </c>
      <c r="B196" s="2" t="s">
        <v>121</v>
      </c>
      <c r="C196" s="2" t="s">
        <v>62</v>
      </c>
      <c r="D196" s="2" t="s">
        <v>366</v>
      </c>
      <c r="E196" s="2" t="s">
        <v>894</v>
      </c>
      <c r="F196" s="2" t="s">
        <v>416</v>
      </c>
      <c r="G196" s="2" t="s">
        <v>895</v>
      </c>
      <c r="H196" s="2">
        <v>0</v>
      </c>
      <c r="I196" s="2">
        <v>0</v>
      </c>
      <c r="J196" s="2" t="s">
        <v>896</v>
      </c>
      <c r="L196" s="2" t="s">
        <v>375</v>
      </c>
    </row>
    <row r="197" spans="1:12" ht="153">
      <c r="A197" s="2">
        <v>184</v>
      </c>
      <c r="B197" s="2" t="s">
        <v>42</v>
      </c>
      <c r="C197" s="2" t="s">
        <v>69</v>
      </c>
      <c r="D197" s="2" t="s">
        <v>366</v>
      </c>
      <c r="E197" s="2" t="s">
        <v>897</v>
      </c>
      <c r="F197" s="2" t="s">
        <v>380</v>
      </c>
      <c r="G197" s="2" t="s">
        <v>898</v>
      </c>
      <c r="H197" s="2">
        <v>0</v>
      </c>
      <c r="I197" s="2">
        <v>0</v>
      </c>
      <c r="J197" s="2" t="s">
        <v>899</v>
      </c>
      <c r="L197" s="2" t="s">
        <v>900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BS15"/>
  <sheetViews>
    <sheetView zoomScale="80" zoomScaleNormal="80" workbookViewId="0">
      <pane xSplit="2" topLeftCell="BE1" activePane="topRight" state="frozen"/>
      <selection pane="topRight" activeCell="BR4" sqref="BR4"/>
    </sheetView>
  </sheetViews>
  <sheetFormatPr defaultRowHeight="12.75"/>
  <cols>
    <col min="2" max="2" width="14.28515625" customWidth="1"/>
    <col min="3" max="41" width="0" hidden="1" customWidth="1"/>
    <col min="42" max="49" width="9.7109375" hidden="1" customWidth="1"/>
    <col min="50" max="54" width="9.7109375" customWidth="1"/>
    <col min="55" max="58" width="10.5703125" bestFit="1" customWidth="1"/>
    <col min="59" max="59" width="9.7109375" customWidth="1"/>
    <col min="60" max="62" width="10.28515625" bestFit="1" customWidth="1"/>
    <col min="63" max="68" width="9.7109375" customWidth="1"/>
    <col min="69" max="69" width="10.28515625" bestFit="1" customWidth="1"/>
    <col min="70" max="70" width="10.28515625" customWidth="1"/>
  </cols>
  <sheetData>
    <row r="1" spans="1:71">
      <c r="C1" s="4">
        <v>40898</v>
      </c>
      <c r="D1" s="4">
        <v>40912</v>
      </c>
      <c r="E1" s="4">
        <v>40919</v>
      </c>
      <c r="F1" s="4">
        <v>40926</v>
      </c>
      <c r="G1" s="4">
        <v>40933</v>
      </c>
      <c r="H1" s="4">
        <v>40940</v>
      </c>
      <c r="I1" s="4">
        <v>40947</v>
      </c>
      <c r="J1" s="4">
        <v>40954</v>
      </c>
      <c r="K1" s="4">
        <v>40961</v>
      </c>
      <c r="L1" s="4">
        <v>40968</v>
      </c>
      <c r="M1" s="4">
        <v>40974</v>
      </c>
      <c r="N1" s="4">
        <v>40975</v>
      </c>
      <c r="O1" s="4">
        <v>40976</v>
      </c>
      <c r="P1" s="4">
        <v>40977</v>
      </c>
      <c r="Q1" s="4">
        <v>40980</v>
      </c>
      <c r="R1" s="4">
        <v>40981</v>
      </c>
      <c r="S1" s="4">
        <v>40982</v>
      </c>
      <c r="T1" s="4">
        <v>40983</v>
      </c>
      <c r="U1" s="4">
        <v>40984</v>
      </c>
      <c r="V1" s="4">
        <v>40987</v>
      </c>
      <c r="W1" s="4">
        <v>40988</v>
      </c>
      <c r="X1" s="4">
        <v>40991</v>
      </c>
      <c r="Y1" s="4">
        <v>40994</v>
      </c>
      <c r="Z1" s="4">
        <v>40995</v>
      </c>
      <c r="AA1" s="4">
        <v>40996</v>
      </c>
      <c r="AB1" s="4">
        <v>40997</v>
      </c>
      <c r="AC1" s="4">
        <v>40998</v>
      </c>
      <c r="AD1" s="4">
        <v>41001</v>
      </c>
      <c r="AE1" s="4">
        <v>41002</v>
      </c>
      <c r="AF1" s="4">
        <v>41003</v>
      </c>
      <c r="AG1" s="4">
        <v>41005</v>
      </c>
      <c r="AH1" s="4">
        <v>41010</v>
      </c>
      <c r="AI1" s="4">
        <v>41015</v>
      </c>
      <c r="AJ1" s="4">
        <v>41017</v>
      </c>
      <c r="AK1" s="4">
        <v>41019</v>
      </c>
      <c r="AL1" s="4">
        <v>41025</v>
      </c>
      <c r="AM1" s="4">
        <v>41026</v>
      </c>
      <c r="AN1" s="4">
        <v>41032</v>
      </c>
      <c r="AO1" s="4">
        <v>41038</v>
      </c>
      <c r="AP1" s="4">
        <v>41046</v>
      </c>
      <c r="AQ1" s="4">
        <v>41053</v>
      </c>
      <c r="AR1" s="4">
        <v>41060</v>
      </c>
      <c r="AS1" s="4">
        <v>41061</v>
      </c>
      <c r="AT1" s="4">
        <v>41068</v>
      </c>
      <c r="AU1" s="4">
        <v>41075</v>
      </c>
      <c r="AV1" s="4">
        <v>41081</v>
      </c>
      <c r="AW1" s="4">
        <v>41088</v>
      </c>
      <c r="AX1" s="4">
        <v>41096</v>
      </c>
      <c r="AY1" s="4">
        <v>41103</v>
      </c>
      <c r="AZ1" s="4">
        <v>41110</v>
      </c>
      <c r="BA1" s="4">
        <v>41117</v>
      </c>
      <c r="BB1" s="4">
        <v>41124</v>
      </c>
      <c r="BC1" s="4">
        <v>41131</v>
      </c>
      <c r="BD1" s="4">
        <v>41138</v>
      </c>
      <c r="BE1" s="4">
        <v>41145</v>
      </c>
      <c r="BF1" s="4">
        <v>41152</v>
      </c>
      <c r="BG1" s="4">
        <v>41159</v>
      </c>
      <c r="BH1" s="4">
        <v>41166</v>
      </c>
      <c r="BI1" s="4">
        <v>41173</v>
      </c>
      <c r="BJ1" s="4">
        <v>41180</v>
      </c>
      <c r="BK1" s="4">
        <v>41187</v>
      </c>
      <c r="BL1" s="4">
        <v>41194</v>
      </c>
      <c r="BM1" s="4">
        <v>41201</v>
      </c>
      <c r="BN1" s="4">
        <v>41208</v>
      </c>
      <c r="BO1" s="4">
        <v>41215</v>
      </c>
      <c r="BP1" s="4">
        <v>41222</v>
      </c>
      <c r="BQ1" s="4">
        <v>41229</v>
      </c>
      <c r="BR1" s="4">
        <v>41236</v>
      </c>
      <c r="BS1" s="5" t="s">
        <v>23</v>
      </c>
    </row>
    <row r="2" spans="1:71">
      <c r="A2" t="s">
        <v>942</v>
      </c>
      <c r="B2" s="6" t="s">
        <v>944</v>
      </c>
      <c r="C2" s="7">
        <v>40</v>
      </c>
      <c r="D2" s="7">
        <v>34</v>
      </c>
      <c r="E2" s="7">
        <v>33</v>
      </c>
      <c r="F2" s="7">
        <v>30</v>
      </c>
      <c r="G2" s="7">
        <v>32</v>
      </c>
      <c r="H2" s="7">
        <v>32</v>
      </c>
      <c r="I2" s="7">
        <v>30</v>
      </c>
      <c r="J2" s="7">
        <v>30</v>
      </c>
      <c r="K2" s="7">
        <v>32</v>
      </c>
      <c r="L2" s="7">
        <v>39</v>
      </c>
      <c r="M2" s="7">
        <v>45</v>
      </c>
      <c r="N2" s="7">
        <v>38</v>
      </c>
      <c r="O2" s="7">
        <v>37</v>
      </c>
      <c r="P2" s="7">
        <v>32</v>
      </c>
      <c r="Q2" s="7">
        <v>30</v>
      </c>
      <c r="R2" s="7">
        <v>29</v>
      </c>
      <c r="S2" s="7">
        <v>32</v>
      </c>
      <c r="T2" s="7">
        <v>32</v>
      </c>
      <c r="U2" s="7">
        <v>32</v>
      </c>
      <c r="V2" s="7">
        <v>35</v>
      </c>
      <c r="W2" s="7">
        <v>35</v>
      </c>
      <c r="X2" s="7">
        <v>35</v>
      </c>
      <c r="Y2" s="7">
        <v>35</v>
      </c>
      <c r="Z2" s="7">
        <v>34</v>
      </c>
      <c r="AA2" s="7">
        <v>38</v>
      </c>
      <c r="AB2" s="7">
        <v>35</v>
      </c>
      <c r="AC2" s="7">
        <v>35</v>
      </c>
      <c r="AD2" s="7">
        <v>36</v>
      </c>
      <c r="AE2" s="7">
        <v>34</v>
      </c>
      <c r="AF2" s="7">
        <v>35</v>
      </c>
      <c r="AG2" s="7">
        <v>35</v>
      </c>
      <c r="AH2" s="7">
        <v>37</v>
      </c>
      <c r="AI2" s="7">
        <v>36</v>
      </c>
      <c r="AJ2" s="7">
        <v>36</v>
      </c>
      <c r="AK2" s="7">
        <v>37</v>
      </c>
      <c r="AL2" s="7">
        <v>41</v>
      </c>
      <c r="AM2" s="7">
        <v>39</v>
      </c>
      <c r="AN2" s="7">
        <v>37</v>
      </c>
      <c r="AO2" s="7">
        <v>36</v>
      </c>
      <c r="AP2" s="7">
        <v>34</v>
      </c>
      <c r="AQ2" s="7">
        <v>34</v>
      </c>
      <c r="AR2" s="7">
        <v>33</v>
      </c>
      <c r="AS2" s="7">
        <v>32</v>
      </c>
      <c r="AT2" s="7">
        <v>34</v>
      </c>
      <c r="AU2" s="7">
        <v>34</v>
      </c>
      <c r="AV2" s="7">
        <v>34</v>
      </c>
      <c r="AW2" s="7">
        <v>35</v>
      </c>
      <c r="AX2" s="7">
        <v>34</v>
      </c>
      <c r="AY2" s="7">
        <v>36</v>
      </c>
      <c r="AZ2" s="7">
        <v>36</v>
      </c>
      <c r="BA2" s="7">
        <v>45</v>
      </c>
      <c r="BB2" s="7">
        <v>39</v>
      </c>
      <c r="BC2" s="7">
        <v>39</v>
      </c>
      <c r="BD2" s="7">
        <v>39</v>
      </c>
      <c r="BE2" s="7">
        <v>44</v>
      </c>
      <c r="BF2" s="7">
        <v>43</v>
      </c>
      <c r="BG2" s="7">
        <v>41</v>
      </c>
      <c r="BH2" s="7">
        <v>44</v>
      </c>
      <c r="BI2" s="7">
        <v>44</v>
      </c>
      <c r="BJ2" s="7">
        <v>45</v>
      </c>
      <c r="BK2" s="7">
        <v>46</v>
      </c>
      <c r="BL2" s="7">
        <v>48</v>
      </c>
      <c r="BM2" s="7">
        <v>43</v>
      </c>
      <c r="BN2" s="7">
        <v>46</v>
      </c>
      <c r="BO2" s="7">
        <v>44</v>
      </c>
      <c r="BP2" s="7">
        <v>41</v>
      </c>
      <c r="BQ2" s="7">
        <v>39</v>
      </c>
      <c r="BR2" s="7">
        <v>39</v>
      </c>
      <c r="BS2" s="8">
        <f>COUNT(Risks!A:A)</f>
        <v>39</v>
      </c>
    </row>
    <row r="3" spans="1:71">
      <c r="A3" t="s">
        <v>942</v>
      </c>
      <c r="B3" s="6" t="s">
        <v>948</v>
      </c>
      <c r="C3" s="7">
        <v>15</v>
      </c>
      <c r="D3" s="7">
        <v>10</v>
      </c>
      <c r="E3" s="7">
        <v>13</v>
      </c>
      <c r="F3" s="7">
        <v>13</v>
      </c>
      <c r="G3" s="7">
        <v>14</v>
      </c>
      <c r="H3" s="7">
        <v>14</v>
      </c>
      <c r="I3" s="7">
        <v>16</v>
      </c>
      <c r="J3" s="7">
        <v>16</v>
      </c>
      <c r="K3" s="7">
        <v>21</v>
      </c>
      <c r="L3" s="7">
        <v>28</v>
      </c>
      <c r="M3" s="7">
        <v>25</v>
      </c>
      <c r="N3" s="7">
        <v>19</v>
      </c>
      <c r="O3" s="7">
        <v>17</v>
      </c>
      <c r="P3" s="7">
        <v>14</v>
      </c>
      <c r="Q3" s="7">
        <v>14</v>
      </c>
      <c r="R3" s="7">
        <v>14</v>
      </c>
      <c r="S3" s="7">
        <v>17</v>
      </c>
      <c r="T3" s="7">
        <v>16</v>
      </c>
      <c r="U3" s="7">
        <v>16</v>
      </c>
      <c r="V3" s="7">
        <v>15</v>
      </c>
      <c r="W3" s="7">
        <v>15</v>
      </c>
      <c r="X3" s="7">
        <v>15</v>
      </c>
      <c r="Y3" s="7">
        <v>15</v>
      </c>
      <c r="Z3" s="7">
        <v>14</v>
      </c>
      <c r="AA3" s="7">
        <v>14</v>
      </c>
      <c r="AB3" s="7">
        <v>17</v>
      </c>
      <c r="AC3" s="7">
        <v>17</v>
      </c>
      <c r="AD3" s="7">
        <v>19</v>
      </c>
      <c r="AE3" s="7">
        <v>18</v>
      </c>
      <c r="AF3" s="7">
        <v>17</v>
      </c>
      <c r="AG3" s="7">
        <v>20</v>
      </c>
      <c r="AH3" s="7">
        <v>20</v>
      </c>
      <c r="AI3" s="7">
        <v>19</v>
      </c>
      <c r="AJ3" s="7">
        <v>19</v>
      </c>
      <c r="AK3" s="7">
        <v>19</v>
      </c>
      <c r="AL3" s="7">
        <v>22</v>
      </c>
      <c r="AM3" s="7">
        <v>21</v>
      </c>
      <c r="AN3" s="7">
        <v>21</v>
      </c>
      <c r="AO3" s="7">
        <v>20</v>
      </c>
      <c r="AP3" s="7">
        <v>11</v>
      </c>
      <c r="AQ3" s="7">
        <v>11</v>
      </c>
      <c r="AR3" s="7">
        <v>11</v>
      </c>
      <c r="AS3" s="7">
        <v>11</v>
      </c>
      <c r="AT3" s="7">
        <v>11</v>
      </c>
      <c r="AU3" s="7">
        <v>11</v>
      </c>
      <c r="AV3" s="7">
        <v>11</v>
      </c>
      <c r="AW3" s="7">
        <v>11</v>
      </c>
      <c r="AX3" s="7">
        <v>10</v>
      </c>
      <c r="AY3" s="7">
        <v>11</v>
      </c>
      <c r="AZ3" s="7">
        <v>11</v>
      </c>
      <c r="BA3" s="7">
        <v>12</v>
      </c>
      <c r="BB3" s="7">
        <v>11</v>
      </c>
      <c r="BC3" s="7">
        <v>12</v>
      </c>
      <c r="BD3" s="7">
        <v>12</v>
      </c>
      <c r="BE3" s="7">
        <v>12</v>
      </c>
      <c r="BF3" s="7">
        <v>12</v>
      </c>
      <c r="BG3" s="7">
        <v>10</v>
      </c>
      <c r="BH3" s="7">
        <v>12</v>
      </c>
      <c r="BI3" s="7">
        <v>11</v>
      </c>
      <c r="BJ3" s="7">
        <v>10</v>
      </c>
      <c r="BK3" s="7">
        <v>10</v>
      </c>
      <c r="BL3" s="7">
        <v>9</v>
      </c>
      <c r="BM3" s="7">
        <v>7</v>
      </c>
      <c r="BN3" s="7">
        <v>7</v>
      </c>
      <c r="BO3" s="7">
        <v>6</v>
      </c>
      <c r="BP3" s="7">
        <v>5</v>
      </c>
      <c r="BQ3" s="7">
        <v>5</v>
      </c>
      <c r="BR3" s="7">
        <v>4</v>
      </c>
      <c r="BS3" s="8">
        <f>COUNTIF(Risks!E:E,"9")</f>
        <v>4</v>
      </c>
    </row>
    <row r="4" spans="1:71">
      <c r="A4" t="s">
        <v>942</v>
      </c>
      <c r="B4" s="6" t="s">
        <v>947</v>
      </c>
      <c r="C4" s="7"/>
      <c r="D4" s="7"/>
      <c r="E4" s="7">
        <v>2</v>
      </c>
      <c r="F4" s="7">
        <v>3</v>
      </c>
      <c r="G4" s="7">
        <v>5</v>
      </c>
      <c r="H4" s="7">
        <v>7</v>
      </c>
      <c r="I4" s="7">
        <v>8</v>
      </c>
      <c r="J4" s="7">
        <v>10</v>
      </c>
      <c r="K4" s="7">
        <v>9</v>
      </c>
      <c r="L4" s="7">
        <v>13</v>
      </c>
      <c r="M4" s="7">
        <v>9</v>
      </c>
      <c r="N4" s="7">
        <v>2</v>
      </c>
      <c r="O4" s="7">
        <v>2</v>
      </c>
      <c r="P4" s="7">
        <v>1</v>
      </c>
      <c r="Q4" s="7">
        <v>1</v>
      </c>
      <c r="R4" s="7">
        <v>0</v>
      </c>
      <c r="S4" s="7">
        <v>1</v>
      </c>
      <c r="T4" s="7">
        <v>1</v>
      </c>
      <c r="U4" s="7">
        <v>0</v>
      </c>
      <c r="V4" s="7">
        <v>0</v>
      </c>
      <c r="W4" s="7">
        <v>0</v>
      </c>
      <c r="X4" s="7">
        <v>0</v>
      </c>
      <c r="Y4" s="7">
        <v>0</v>
      </c>
      <c r="Z4" s="7">
        <v>0</v>
      </c>
      <c r="AA4" s="7">
        <v>0</v>
      </c>
      <c r="AB4" s="7">
        <v>0</v>
      </c>
      <c r="AC4" s="7">
        <v>0</v>
      </c>
      <c r="AD4" s="7">
        <v>10</v>
      </c>
      <c r="AE4" s="7">
        <v>7</v>
      </c>
      <c r="AF4" s="7">
        <v>7</v>
      </c>
      <c r="AG4" s="7">
        <v>7</v>
      </c>
      <c r="AH4" s="7">
        <v>8</v>
      </c>
      <c r="AI4" s="7">
        <v>9</v>
      </c>
      <c r="AJ4" s="7">
        <v>6</v>
      </c>
      <c r="AK4" s="7">
        <v>5</v>
      </c>
      <c r="AL4" s="7">
        <v>7</v>
      </c>
      <c r="AM4" s="7">
        <v>4</v>
      </c>
      <c r="AN4" s="7">
        <v>6</v>
      </c>
      <c r="AO4" s="7">
        <v>9</v>
      </c>
      <c r="AP4" s="7">
        <v>8</v>
      </c>
      <c r="AQ4" s="7">
        <v>5</v>
      </c>
      <c r="AR4" s="7">
        <v>7</v>
      </c>
      <c r="AS4" s="7">
        <v>5</v>
      </c>
      <c r="AT4" s="7">
        <v>7</v>
      </c>
      <c r="AU4" s="7">
        <v>5</v>
      </c>
      <c r="AV4" s="7">
        <v>5</v>
      </c>
      <c r="AW4" s="7">
        <v>3</v>
      </c>
      <c r="AX4" s="7">
        <v>10</v>
      </c>
      <c r="AY4" s="7">
        <v>10</v>
      </c>
      <c r="AZ4" s="7">
        <v>7</v>
      </c>
      <c r="BA4" s="7">
        <v>7</v>
      </c>
      <c r="BB4" s="7">
        <v>8</v>
      </c>
      <c r="BC4" s="7">
        <v>5</v>
      </c>
      <c r="BD4" s="7">
        <v>6</v>
      </c>
      <c r="BE4" s="7">
        <v>4</v>
      </c>
      <c r="BF4" s="7">
        <v>2</v>
      </c>
      <c r="BG4" s="7">
        <v>9</v>
      </c>
      <c r="BH4" s="7">
        <v>5</v>
      </c>
      <c r="BI4" s="7">
        <v>2</v>
      </c>
      <c r="BJ4" s="7">
        <v>5</v>
      </c>
      <c r="BK4" s="7">
        <v>11</v>
      </c>
      <c r="BL4" s="7">
        <v>15</v>
      </c>
      <c r="BM4" s="7">
        <v>13</v>
      </c>
      <c r="BN4" s="7">
        <v>5</v>
      </c>
      <c r="BO4" s="7">
        <v>8</v>
      </c>
      <c r="BP4" s="7">
        <v>3</v>
      </c>
      <c r="BQ4" s="7">
        <v>3</v>
      </c>
      <c r="BR4" s="7">
        <v>9</v>
      </c>
      <c r="BS4" s="8">
        <f>COUNTIF(Risks!H:H,"&lt;0")</f>
        <v>9</v>
      </c>
    </row>
    <row r="5" spans="1:71">
      <c r="A5" t="s">
        <v>942</v>
      </c>
      <c r="B5" s="6" t="s">
        <v>946</v>
      </c>
      <c r="C5" s="7">
        <f>C2-C3</f>
        <v>25</v>
      </c>
      <c r="D5" s="7">
        <f>D2-D3</f>
        <v>24</v>
      </c>
      <c r="E5" s="7">
        <f t="shared" ref="E5:BS5" si="0">E2-E3</f>
        <v>20</v>
      </c>
      <c r="F5" s="7">
        <f t="shared" si="0"/>
        <v>17</v>
      </c>
      <c r="G5" s="7">
        <f t="shared" si="0"/>
        <v>18</v>
      </c>
      <c r="H5" s="7">
        <f t="shared" si="0"/>
        <v>18</v>
      </c>
      <c r="I5" s="7">
        <f t="shared" si="0"/>
        <v>14</v>
      </c>
      <c r="J5" s="7">
        <f t="shared" si="0"/>
        <v>14</v>
      </c>
      <c r="K5" s="7">
        <f t="shared" si="0"/>
        <v>11</v>
      </c>
      <c r="L5" s="7">
        <f t="shared" si="0"/>
        <v>11</v>
      </c>
      <c r="M5" s="7">
        <f t="shared" si="0"/>
        <v>20</v>
      </c>
      <c r="N5" s="7">
        <f t="shared" si="0"/>
        <v>19</v>
      </c>
      <c r="O5" s="7">
        <f t="shared" si="0"/>
        <v>20</v>
      </c>
      <c r="P5" s="7">
        <f t="shared" si="0"/>
        <v>18</v>
      </c>
      <c r="Q5" s="7">
        <f t="shared" si="0"/>
        <v>16</v>
      </c>
      <c r="R5" s="7">
        <f t="shared" si="0"/>
        <v>15</v>
      </c>
      <c r="S5" s="7">
        <f t="shared" si="0"/>
        <v>15</v>
      </c>
      <c r="T5" s="7">
        <f t="shared" si="0"/>
        <v>16</v>
      </c>
      <c r="U5" s="7">
        <f t="shared" si="0"/>
        <v>16</v>
      </c>
      <c r="V5" s="7">
        <f t="shared" si="0"/>
        <v>20</v>
      </c>
      <c r="W5" s="7">
        <f t="shared" si="0"/>
        <v>20</v>
      </c>
      <c r="X5" s="7">
        <f t="shared" si="0"/>
        <v>20</v>
      </c>
      <c r="Y5" s="7">
        <f t="shared" si="0"/>
        <v>20</v>
      </c>
      <c r="Z5" s="7">
        <f t="shared" si="0"/>
        <v>20</v>
      </c>
      <c r="AA5" s="7">
        <f t="shared" si="0"/>
        <v>24</v>
      </c>
      <c r="AB5" s="7">
        <f t="shared" si="0"/>
        <v>18</v>
      </c>
      <c r="AC5" s="7">
        <f t="shared" si="0"/>
        <v>18</v>
      </c>
      <c r="AD5" s="7">
        <f t="shared" si="0"/>
        <v>17</v>
      </c>
      <c r="AE5" s="7">
        <f t="shared" si="0"/>
        <v>16</v>
      </c>
      <c r="AF5" s="7">
        <f t="shared" si="0"/>
        <v>18</v>
      </c>
      <c r="AG5" s="7">
        <f t="shared" si="0"/>
        <v>15</v>
      </c>
      <c r="AH5" s="7">
        <f t="shared" si="0"/>
        <v>17</v>
      </c>
      <c r="AI5" s="7">
        <f t="shared" si="0"/>
        <v>17</v>
      </c>
      <c r="AJ5" s="7">
        <f t="shared" si="0"/>
        <v>17</v>
      </c>
      <c r="AK5" s="7">
        <f t="shared" si="0"/>
        <v>18</v>
      </c>
      <c r="AL5" s="7">
        <f t="shared" si="0"/>
        <v>19</v>
      </c>
      <c r="AM5" s="7">
        <f t="shared" si="0"/>
        <v>18</v>
      </c>
      <c r="AN5" s="7">
        <f t="shared" si="0"/>
        <v>16</v>
      </c>
      <c r="AO5" s="7">
        <f t="shared" si="0"/>
        <v>16</v>
      </c>
      <c r="AP5" s="7">
        <f t="shared" si="0"/>
        <v>23</v>
      </c>
      <c r="AQ5" s="7">
        <f t="shared" si="0"/>
        <v>23</v>
      </c>
      <c r="AR5" s="7">
        <f t="shared" si="0"/>
        <v>22</v>
      </c>
      <c r="AS5" s="7">
        <f t="shared" si="0"/>
        <v>21</v>
      </c>
      <c r="AT5" s="7">
        <f t="shared" si="0"/>
        <v>23</v>
      </c>
      <c r="AU5" s="7">
        <f t="shared" si="0"/>
        <v>23</v>
      </c>
      <c r="AV5" s="7">
        <f t="shared" si="0"/>
        <v>23</v>
      </c>
      <c r="AW5" s="7">
        <f t="shared" si="0"/>
        <v>24</v>
      </c>
      <c r="AX5" s="7">
        <f t="shared" si="0"/>
        <v>24</v>
      </c>
      <c r="AY5" s="7">
        <f t="shared" si="0"/>
        <v>25</v>
      </c>
      <c r="AZ5" s="7">
        <f t="shared" si="0"/>
        <v>25</v>
      </c>
      <c r="BA5" s="7">
        <f t="shared" si="0"/>
        <v>33</v>
      </c>
      <c r="BB5" s="7">
        <f t="shared" si="0"/>
        <v>28</v>
      </c>
      <c r="BC5" s="7">
        <f t="shared" si="0"/>
        <v>27</v>
      </c>
      <c r="BD5" s="7">
        <f t="shared" si="0"/>
        <v>27</v>
      </c>
      <c r="BE5" s="7">
        <f t="shared" si="0"/>
        <v>32</v>
      </c>
      <c r="BF5" s="7">
        <f t="shared" si="0"/>
        <v>31</v>
      </c>
      <c r="BG5" s="7">
        <f t="shared" si="0"/>
        <v>31</v>
      </c>
      <c r="BH5" s="7">
        <f t="shared" si="0"/>
        <v>32</v>
      </c>
      <c r="BI5" s="7">
        <f t="shared" si="0"/>
        <v>33</v>
      </c>
      <c r="BJ5" s="7">
        <f t="shared" si="0"/>
        <v>35</v>
      </c>
      <c r="BK5" s="7">
        <f t="shared" si="0"/>
        <v>36</v>
      </c>
      <c r="BL5" s="7">
        <f t="shared" si="0"/>
        <v>39</v>
      </c>
      <c r="BM5" s="7">
        <f t="shared" si="0"/>
        <v>36</v>
      </c>
      <c r="BN5" s="7">
        <f t="shared" si="0"/>
        <v>39</v>
      </c>
      <c r="BO5" s="7">
        <f t="shared" si="0"/>
        <v>38</v>
      </c>
      <c r="BP5" s="7">
        <v>36</v>
      </c>
      <c r="BQ5" s="7">
        <v>34</v>
      </c>
      <c r="BR5" s="7">
        <v>35</v>
      </c>
      <c r="BS5" s="7">
        <f t="shared" si="0"/>
        <v>35</v>
      </c>
    </row>
    <row r="6" spans="1:71">
      <c r="A6" t="s">
        <v>943</v>
      </c>
      <c r="B6" s="6" t="s">
        <v>944</v>
      </c>
      <c r="C6" s="7">
        <v>37</v>
      </c>
      <c r="D6" s="7">
        <v>37</v>
      </c>
      <c r="E6" s="7">
        <v>42</v>
      </c>
      <c r="F6" s="7">
        <v>42</v>
      </c>
      <c r="G6" s="7">
        <v>45</v>
      </c>
      <c r="H6" s="7">
        <v>48</v>
      </c>
      <c r="I6" s="7">
        <v>52</v>
      </c>
      <c r="J6" s="7">
        <v>43</v>
      </c>
      <c r="K6" s="7">
        <v>49</v>
      </c>
      <c r="L6" s="7">
        <v>51</v>
      </c>
      <c r="M6" s="7">
        <v>55</v>
      </c>
      <c r="N6" s="7">
        <v>51</v>
      </c>
      <c r="O6" s="7">
        <v>53</v>
      </c>
      <c r="P6" s="7">
        <v>46</v>
      </c>
      <c r="Q6" s="7">
        <v>47</v>
      </c>
      <c r="R6" s="7">
        <v>44</v>
      </c>
      <c r="S6" s="7">
        <v>44</v>
      </c>
      <c r="T6" s="7">
        <v>42</v>
      </c>
      <c r="U6" s="7">
        <v>41</v>
      </c>
      <c r="V6" s="7">
        <v>37</v>
      </c>
      <c r="W6" s="7">
        <v>37</v>
      </c>
      <c r="X6" s="7">
        <v>37</v>
      </c>
      <c r="Y6" s="7">
        <v>37</v>
      </c>
      <c r="Z6" s="7">
        <v>37</v>
      </c>
      <c r="AA6" s="7">
        <v>36</v>
      </c>
      <c r="AB6" s="7">
        <v>32</v>
      </c>
      <c r="AC6" s="7">
        <v>31</v>
      </c>
      <c r="AD6" s="7">
        <v>29</v>
      </c>
      <c r="AE6" s="7">
        <v>29</v>
      </c>
      <c r="AF6" s="7">
        <v>29</v>
      </c>
      <c r="AG6" s="7">
        <v>30</v>
      </c>
      <c r="AH6" s="7">
        <v>30</v>
      </c>
      <c r="AI6" s="7">
        <v>31</v>
      </c>
      <c r="AJ6" s="7">
        <v>24</v>
      </c>
      <c r="AK6" s="7">
        <v>24</v>
      </c>
      <c r="AL6" s="7">
        <v>27</v>
      </c>
      <c r="AM6" s="7">
        <v>31</v>
      </c>
      <c r="AN6" s="7">
        <v>34</v>
      </c>
      <c r="AO6" s="7">
        <v>37</v>
      </c>
      <c r="AP6" s="7">
        <v>35</v>
      </c>
      <c r="AQ6" s="7">
        <v>33</v>
      </c>
      <c r="AR6" s="7">
        <v>32</v>
      </c>
      <c r="AS6" s="7">
        <v>31</v>
      </c>
      <c r="AT6" s="7">
        <v>26</v>
      </c>
      <c r="AU6" s="7">
        <v>28</v>
      </c>
      <c r="AV6" s="7">
        <v>27</v>
      </c>
      <c r="AW6" s="7">
        <v>33</v>
      </c>
      <c r="AX6" s="7">
        <v>32</v>
      </c>
      <c r="AY6" s="7">
        <v>31</v>
      </c>
      <c r="AZ6" s="7">
        <v>30</v>
      </c>
      <c r="BA6" s="7">
        <v>32</v>
      </c>
      <c r="BB6" s="7">
        <v>29</v>
      </c>
      <c r="BC6" s="7">
        <v>30</v>
      </c>
      <c r="BD6" s="7">
        <v>28</v>
      </c>
      <c r="BE6" s="7">
        <v>26</v>
      </c>
      <c r="BF6" s="7">
        <v>26</v>
      </c>
      <c r="BG6" s="7">
        <v>25</v>
      </c>
      <c r="BH6" s="7">
        <v>23</v>
      </c>
      <c r="BI6" s="7">
        <v>22</v>
      </c>
      <c r="BJ6" s="7">
        <v>23</v>
      </c>
      <c r="BK6" s="7">
        <v>18</v>
      </c>
      <c r="BL6" s="7">
        <v>20</v>
      </c>
      <c r="BM6" s="7">
        <v>20</v>
      </c>
      <c r="BN6" s="7">
        <v>22</v>
      </c>
      <c r="BO6" s="7">
        <v>20</v>
      </c>
      <c r="BP6" s="7">
        <v>20</v>
      </c>
      <c r="BQ6" s="7">
        <v>21</v>
      </c>
      <c r="BR6" s="7">
        <v>21</v>
      </c>
      <c r="BS6" s="8">
        <f>COUNT(Issues!A:A)</f>
        <v>21</v>
      </c>
    </row>
    <row r="7" spans="1:71">
      <c r="A7" t="s">
        <v>943</v>
      </c>
      <c r="B7" s="6" t="s">
        <v>945</v>
      </c>
      <c r="C7" s="7"/>
      <c r="D7" s="7"/>
      <c r="E7" s="7">
        <v>25</v>
      </c>
      <c r="F7" s="7">
        <v>25</v>
      </c>
      <c r="G7" s="7">
        <v>28</v>
      </c>
      <c r="H7" s="7">
        <v>33</v>
      </c>
      <c r="I7" s="7">
        <v>39</v>
      </c>
      <c r="J7" s="7">
        <v>31</v>
      </c>
      <c r="K7" s="7">
        <v>37</v>
      </c>
      <c r="L7" s="7">
        <v>40</v>
      </c>
      <c r="M7" s="7">
        <v>45</v>
      </c>
      <c r="N7" s="7">
        <v>42</v>
      </c>
      <c r="O7" s="7">
        <v>45</v>
      </c>
      <c r="P7" s="7">
        <v>37</v>
      </c>
      <c r="Q7" s="7">
        <v>37</v>
      </c>
      <c r="R7" s="7">
        <v>36</v>
      </c>
      <c r="S7" s="7">
        <v>36</v>
      </c>
      <c r="T7" s="7">
        <v>34</v>
      </c>
      <c r="U7" s="7">
        <v>33</v>
      </c>
      <c r="V7" s="7">
        <v>29</v>
      </c>
      <c r="W7" s="7">
        <v>29</v>
      </c>
      <c r="X7" s="7">
        <v>29</v>
      </c>
      <c r="Y7" s="7">
        <v>29</v>
      </c>
      <c r="Z7" s="7">
        <v>29</v>
      </c>
      <c r="AA7" s="7">
        <v>28</v>
      </c>
      <c r="AB7" s="7">
        <v>26</v>
      </c>
      <c r="AC7" s="7">
        <v>25</v>
      </c>
      <c r="AD7" s="7">
        <v>23</v>
      </c>
      <c r="AE7" s="7">
        <v>23</v>
      </c>
      <c r="AF7" s="7">
        <v>24</v>
      </c>
      <c r="AG7" s="7">
        <v>24</v>
      </c>
      <c r="AH7" s="7">
        <v>24</v>
      </c>
      <c r="AI7" s="7">
        <v>25</v>
      </c>
      <c r="AJ7" s="7">
        <v>17</v>
      </c>
      <c r="AK7" s="7">
        <v>17</v>
      </c>
      <c r="AL7" s="7">
        <v>18</v>
      </c>
      <c r="AM7" s="7">
        <v>22</v>
      </c>
      <c r="AN7" s="7">
        <v>24</v>
      </c>
      <c r="AO7" s="7">
        <v>26</v>
      </c>
      <c r="AP7" s="7">
        <v>25</v>
      </c>
      <c r="AQ7" s="7">
        <v>22</v>
      </c>
      <c r="AR7" s="7">
        <v>21</v>
      </c>
      <c r="AS7" s="7">
        <v>21</v>
      </c>
      <c r="AT7" s="7">
        <v>17</v>
      </c>
      <c r="AU7" s="7">
        <v>15</v>
      </c>
      <c r="AV7" s="7">
        <v>16</v>
      </c>
      <c r="AW7" s="7">
        <v>18</v>
      </c>
      <c r="AX7" s="7">
        <v>17</v>
      </c>
      <c r="AY7" s="7">
        <v>15</v>
      </c>
      <c r="AZ7" s="7">
        <v>15</v>
      </c>
      <c r="BA7" s="7">
        <v>13</v>
      </c>
      <c r="BB7" s="7">
        <v>13</v>
      </c>
      <c r="BC7" s="7">
        <v>16</v>
      </c>
      <c r="BD7" s="7">
        <v>15</v>
      </c>
      <c r="BE7" s="7">
        <v>15</v>
      </c>
      <c r="BF7" s="7">
        <v>15</v>
      </c>
      <c r="BG7" s="7">
        <v>13</v>
      </c>
      <c r="BH7" s="7">
        <v>14</v>
      </c>
      <c r="BI7" s="7">
        <v>14</v>
      </c>
      <c r="BJ7" s="7">
        <v>14</v>
      </c>
      <c r="BK7" s="7">
        <v>9</v>
      </c>
      <c r="BL7" s="7">
        <v>11</v>
      </c>
      <c r="BM7" s="7">
        <v>11</v>
      </c>
      <c r="BN7" s="7">
        <v>12</v>
      </c>
      <c r="BO7" s="7">
        <v>12</v>
      </c>
      <c r="BP7" s="7">
        <v>12</v>
      </c>
      <c r="BQ7" s="7">
        <v>11</v>
      </c>
      <c r="BR7" s="7">
        <v>11</v>
      </c>
      <c r="BS7" s="8">
        <f>COUNTIF(Issues!E:E,"3) High")</f>
        <v>11</v>
      </c>
    </row>
    <row r="8" spans="1:71">
      <c r="A8" t="s">
        <v>943</v>
      </c>
      <c r="B8" s="6" t="s">
        <v>941</v>
      </c>
      <c r="C8" s="7"/>
      <c r="D8" s="7"/>
      <c r="E8" s="7">
        <v>13</v>
      </c>
      <c r="F8" s="7">
        <v>12</v>
      </c>
      <c r="G8" s="7">
        <v>7</v>
      </c>
      <c r="H8" s="7">
        <v>13</v>
      </c>
      <c r="I8" s="7">
        <v>16</v>
      </c>
      <c r="J8" s="7">
        <v>14</v>
      </c>
      <c r="K8" s="7">
        <v>12</v>
      </c>
      <c r="L8" s="7">
        <v>22</v>
      </c>
      <c r="M8" s="7">
        <v>20</v>
      </c>
      <c r="N8" s="7">
        <v>14</v>
      </c>
      <c r="O8" s="7">
        <v>16</v>
      </c>
      <c r="P8" s="7">
        <v>13</v>
      </c>
      <c r="Q8" s="7">
        <v>8</v>
      </c>
      <c r="R8" s="7">
        <v>6</v>
      </c>
      <c r="S8" s="7">
        <v>4</v>
      </c>
      <c r="T8" s="7">
        <v>7</v>
      </c>
      <c r="U8" s="7">
        <v>6</v>
      </c>
      <c r="V8" s="7">
        <v>3</v>
      </c>
      <c r="W8" s="7">
        <v>10</v>
      </c>
      <c r="X8" s="7">
        <v>10</v>
      </c>
      <c r="Y8" s="7">
        <v>10</v>
      </c>
      <c r="Z8" s="7">
        <v>10</v>
      </c>
      <c r="AA8" s="7">
        <v>10</v>
      </c>
      <c r="AB8" s="7">
        <v>9</v>
      </c>
      <c r="AC8" s="7">
        <v>7</v>
      </c>
      <c r="AD8" s="7">
        <v>12</v>
      </c>
      <c r="AE8" s="7">
        <v>12</v>
      </c>
      <c r="AF8" s="7">
        <v>10</v>
      </c>
      <c r="AG8" s="7">
        <v>11</v>
      </c>
      <c r="AH8" s="7">
        <v>13</v>
      </c>
      <c r="AI8" s="7">
        <v>11</v>
      </c>
      <c r="AJ8" s="7">
        <v>4</v>
      </c>
      <c r="AK8" s="7">
        <v>4</v>
      </c>
      <c r="AL8" s="7">
        <v>6</v>
      </c>
      <c r="AM8" s="7">
        <v>4</v>
      </c>
      <c r="AN8" s="7">
        <v>9</v>
      </c>
      <c r="AO8" s="7">
        <v>6</v>
      </c>
      <c r="AP8" s="7">
        <v>11</v>
      </c>
      <c r="AQ8" s="7">
        <v>5</v>
      </c>
      <c r="AR8" s="7">
        <v>12</v>
      </c>
      <c r="AS8" s="7">
        <v>11</v>
      </c>
      <c r="AT8" s="7">
        <v>10</v>
      </c>
      <c r="AU8" s="7">
        <v>10</v>
      </c>
      <c r="AV8" s="7">
        <v>6</v>
      </c>
      <c r="AW8" s="7">
        <v>4</v>
      </c>
      <c r="AX8" s="7">
        <v>6</v>
      </c>
      <c r="AY8" s="7">
        <v>9</v>
      </c>
      <c r="AZ8" s="7">
        <v>8</v>
      </c>
      <c r="BA8" s="7">
        <v>12</v>
      </c>
      <c r="BB8" s="7">
        <v>16</v>
      </c>
      <c r="BC8" s="7">
        <v>12</v>
      </c>
      <c r="BD8" s="7">
        <v>8</v>
      </c>
      <c r="BE8" s="7">
        <v>9</v>
      </c>
      <c r="BF8" s="7">
        <v>9</v>
      </c>
      <c r="BG8" s="7">
        <v>11</v>
      </c>
      <c r="BH8" s="7">
        <v>7</v>
      </c>
      <c r="BI8" s="7">
        <v>6</v>
      </c>
      <c r="BJ8" s="7">
        <v>9</v>
      </c>
      <c r="BK8" s="7">
        <v>7</v>
      </c>
      <c r="BL8" s="7">
        <v>7</v>
      </c>
      <c r="BM8" s="7">
        <v>5</v>
      </c>
      <c r="BN8" s="7">
        <v>4</v>
      </c>
      <c r="BO8" s="7">
        <v>9</v>
      </c>
      <c r="BP8" s="7">
        <v>4</v>
      </c>
      <c r="BQ8" s="7">
        <v>5</v>
      </c>
      <c r="BR8" s="7">
        <v>5</v>
      </c>
      <c r="BS8" s="8">
        <f>COUNTIF(Issues!H:H,"&lt;0")</f>
        <v>5</v>
      </c>
    </row>
    <row r="9" spans="1:71">
      <c r="A9" t="s">
        <v>943</v>
      </c>
      <c r="B9" s="6" t="s">
        <v>944</v>
      </c>
      <c r="C9" s="7"/>
      <c r="D9" s="7"/>
      <c r="E9" s="7"/>
      <c r="F9" s="7"/>
      <c r="G9" s="7"/>
      <c r="H9" s="7"/>
      <c r="I9" s="7"/>
      <c r="J9" s="7"/>
      <c r="K9" s="7"/>
      <c r="L9" s="7">
        <f>L6-L7</f>
        <v>11</v>
      </c>
      <c r="M9" s="7">
        <f>M6-M7</f>
        <v>10</v>
      </c>
      <c r="N9" s="7">
        <f t="shared" ref="N9:BS9" si="1">N6-N7</f>
        <v>9</v>
      </c>
      <c r="O9" s="7">
        <f t="shared" si="1"/>
        <v>8</v>
      </c>
      <c r="P9" s="7">
        <f t="shared" si="1"/>
        <v>9</v>
      </c>
      <c r="Q9" s="7">
        <f t="shared" si="1"/>
        <v>10</v>
      </c>
      <c r="R9" s="7">
        <f t="shared" si="1"/>
        <v>8</v>
      </c>
      <c r="S9" s="7">
        <f t="shared" si="1"/>
        <v>8</v>
      </c>
      <c r="T9" s="7">
        <f t="shared" si="1"/>
        <v>8</v>
      </c>
      <c r="U9" s="7">
        <f t="shared" si="1"/>
        <v>8</v>
      </c>
      <c r="V9" s="7">
        <f t="shared" si="1"/>
        <v>8</v>
      </c>
      <c r="W9" s="7">
        <f t="shared" si="1"/>
        <v>8</v>
      </c>
      <c r="X9" s="7">
        <f t="shared" si="1"/>
        <v>8</v>
      </c>
      <c r="Y9" s="7">
        <f t="shared" si="1"/>
        <v>8</v>
      </c>
      <c r="Z9" s="7">
        <f t="shared" si="1"/>
        <v>8</v>
      </c>
      <c r="AA9" s="7">
        <f t="shared" si="1"/>
        <v>8</v>
      </c>
      <c r="AB9" s="7">
        <f t="shared" si="1"/>
        <v>6</v>
      </c>
      <c r="AC9" s="7">
        <f t="shared" si="1"/>
        <v>6</v>
      </c>
      <c r="AD9" s="7">
        <f t="shared" si="1"/>
        <v>6</v>
      </c>
      <c r="AE9" s="7">
        <f t="shared" si="1"/>
        <v>6</v>
      </c>
      <c r="AF9" s="7">
        <f t="shared" si="1"/>
        <v>5</v>
      </c>
      <c r="AG9" s="7">
        <f t="shared" si="1"/>
        <v>6</v>
      </c>
      <c r="AH9" s="7">
        <f t="shared" si="1"/>
        <v>6</v>
      </c>
      <c r="AI9" s="7">
        <f t="shared" si="1"/>
        <v>6</v>
      </c>
      <c r="AJ9" s="7">
        <f t="shared" si="1"/>
        <v>7</v>
      </c>
      <c r="AK9" s="7">
        <f t="shared" si="1"/>
        <v>7</v>
      </c>
      <c r="AL9" s="7">
        <f t="shared" si="1"/>
        <v>9</v>
      </c>
      <c r="AM9" s="7">
        <f t="shared" si="1"/>
        <v>9</v>
      </c>
      <c r="AN9" s="7">
        <f t="shared" si="1"/>
        <v>10</v>
      </c>
      <c r="AO9" s="7">
        <f t="shared" si="1"/>
        <v>11</v>
      </c>
      <c r="AP9" s="7">
        <f t="shared" si="1"/>
        <v>10</v>
      </c>
      <c r="AQ9" s="7">
        <f t="shared" si="1"/>
        <v>11</v>
      </c>
      <c r="AR9" s="7">
        <f t="shared" si="1"/>
        <v>11</v>
      </c>
      <c r="AS9" s="7">
        <f t="shared" si="1"/>
        <v>10</v>
      </c>
      <c r="AT9" s="7">
        <f t="shared" si="1"/>
        <v>9</v>
      </c>
      <c r="AU9" s="7">
        <f t="shared" si="1"/>
        <v>13</v>
      </c>
      <c r="AV9" s="7">
        <f t="shared" si="1"/>
        <v>11</v>
      </c>
      <c r="AW9" s="7">
        <f t="shared" si="1"/>
        <v>15</v>
      </c>
      <c r="AX9" s="7">
        <f t="shared" si="1"/>
        <v>15</v>
      </c>
      <c r="AY9" s="7">
        <f t="shared" si="1"/>
        <v>16</v>
      </c>
      <c r="AZ9" s="7">
        <f t="shared" si="1"/>
        <v>15</v>
      </c>
      <c r="BA9" s="7">
        <f t="shared" si="1"/>
        <v>19</v>
      </c>
      <c r="BB9" s="7">
        <f t="shared" si="1"/>
        <v>16</v>
      </c>
      <c r="BC9" s="7">
        <f t="shared" si="1"/>
        <v>14</v>
      </c>
      <c r="BD9" s="7">
        <f t="shared" si="1"/>
        <v>13</v>
      </c>
      <c r="BE9" s="7">
        <f t="shared" si="1"/>
        <v>11</v>
      </c>
      <c r="BF9" s="7">
        <f t="shared" si="1"/>
        <v>11</v>
      </c>
      <c r="BG9" s="7">
        <f t="shared" si="1"/>
        <v>12</v>
      </c>
      <c r="BH9" s="7">
        <f t="shared" si="1"/>
        <v>9</v>
      </c>
      <c r="BI9" s="7">
        <f t="shared" si="1"/>
        <v>8</v>
      </c>
      <c r="BJ9" s="7">
        <f t="shared" si="1"/>
        <v>9</v>
      </c>
      <c r="BK9" s="7">
        <f t="shared" si="1"/>
        <v>9</v>
      </c>
      <c r="BL9" s="7">
        <f t="shared" si="1"/>
        <v>9</v>
      </c>
      <c r="BM9" s="7">
        <f t="shared" si="1"/>
        <v>9</v>
      </c>
      <c r="BN9" s="7">
        <f t="shared" si="1"/>
        <v>10</v>
      </c>
      <c r="BO9" s="7">
        <f t="shared" si="1"/>
        <v>8</v>
      </c>
      <c r="BP9" s="7">
        <v>8</v>
      </c>
      <c r="BQ9" s="7">
        <v>10</v>
      </c>
      <c r="BR9" s="7">
        <v>10</v>
      </c>
      <c r="BS9" s="7">
        <f t="shared" si="1"/>
        <v>10</v>
      </c>
    </row>
    <row r="10" spans="1:71">
      <c r="A10" t="s">
        <v>25</v>
      </c>
      <c r="B10" s="6" t="s">
        <v>939</v>
      </c>
      <c r="C10" s="7">
        <v>153</v>
      </c>
      <c r="D10" s="7">
        <v>153</v>
      </c>
      <c r="E10" s="7">
        <v>154</v>
      </c>
      <c r="F10" s="7">
        <v>154</v>
      </c>
      <c r="G10" s="7">
        <v>161</v>
      </c>
      <c r="H10" s="7">
        <v>182</v>
      </c>
      <c r="I10" s="7">
        <v>183</v>
      </c>
      <c r="J10" s="7">
        <v>179</v>
      </c>
      <c r="K10" s="7">
        <v>179</v>
      </c>
      <c r="L10" s="7">
        <v>179</v>
      </c>
      <c r="M10" s="7">
        <v>181</v>
      </c>
      <c r="N10" s="7">
        <v>194</v>
      </c>
      <c r="O10" s="7">
        <v>192</v>
      </c>
      <c r="P10" s="7">
        <v>191</v>
      </c>
      <c r="Q10" s="7">
        <v>192</v>
      </c>
      <c r="R10" s="7">
        <v>193</v>
      </c>
      <c r="S10" s="7">
        <v>193</v>
      </c>
      <c r="T10" s="7">
        <v>191</v>
      </c>
      <c r="U10" s="7">
        <v>191</v>
      </c>
      <c r="V10" s="7">
        <v>191</v>
      </c>
      <c r="W10" s="7">
        <v>191</v>
      </c>
      <c r="X10" s="7">
        <v>176</v>
      </c>
      <c r="Y10" s="7">
        <v>176</v>
      </c>
      <c r="Z10" s="7">
        <v>177</v>
      </c>
      <c r="AA10" s="7">
        <v>178</v>
      </c>
      <c r="AB10" s="7">
        <v>178</v>
      </c>
      <c r="AC10" s="7">
        <v>178</v>
      </c>
      <c r="AD10" s="7">
        <v>178</v>
      </c>
      <c r="AE10" s="7">
        <v>182</v>
      </c>
      <c r="AF10" s="7">
        <v>179</v>
      </c>
      <c r="AG10" s="7">
        <v>178</v>
      </c>
      <c r="AH10" s="7">
        <v>178</v>
      </c>
      <c r="AI10" s="7">
        <v>179</v>
      </c>
      <c r="AJ10" s="7">
        <v>180</v>
      </c>
      <c r="AK10" s="7">
        <v>178</v>
      </c>
      <c r="AL10" s="7">
        <v>177</v>
      </c>
      <c r="AM10" s="7">
        <v>172</v>
      </c>
      <c r="AN10" s="7">
        <v>172</v>
      </c>
      <c r="AO10" s="7">
        <v>172</v>
      </c>
      <c r="AP10" s="7">
        <v>135</v>
      </c>
      <c r="AQ10" s="7">
        <v>145</v>
      </c>
      <c r="AR10" s="7">
        <v>149</v>
      </c>
      <c r="AS10" s="7">
        <v>149</v>
      </c>
      <c r="AT10" s="7">
        <f>86+57</f>
        <v>143</v>
      </c>
      <c r="AU10" s="7">
        <v>144</v>
      </c>
      <c r="AV10" s="7">
        <v>137</v>
      </c>
      <c r="AW10" s="7">
        <v>134</v>
      </c>
      <c r="AX10" s="7">
        <v>140</v>
      </c>
      <c r="AY10" s="7">
        <v>142</v>
      </c>
      <c r="AZ10" s="7">
        <v>143</v>
      </c>
      <c r="BA10" s="7">
        <v>147</v>
      </c>
      <c r="BB10" s="7">
        <v>149</v>
      </c>
      <c r="BC10" s="7">
        <v>153</v>
      </c>
      <c r="BD10" s="7">
        <v>154</v>
      </c>
      <c r="BE10" s="7">
        <v>154</v>
      </c>
      <c r="BF10" s="7">
        <v>154</v>
      </c>
      <c r="BG10" s="7">
        <v>172</v>
      </c>
      <c r="BH10" s="7">
        <v>174</v>
      </c>
      <c r="BI10" s="7">
        <v>175</v>
      </c>
      <c r="BJ10" s="7">
        <v>175</v>
      </c>
      <c r="BK10" s="7">
        <v>176</v>
      </c>
      <c r="BL10" s="7">
        <v>176</v>
      </c>
      <c r="BM10" s="7">
        <v>177</v>
      </c>
      <c r="BN10" s="7">
        <v>177</v>
      </c>
      <c r="BO10" s="7">
        <v>177</v>
      </c>
      <c r="BP10" s="7">
        <v>177</v>
      </c>
      <c r="BQ10" s="7">
        <v>177</v>
      </c>
      <c r="BR10" s="7">
        <v>177</v>
      </c>
      <c r="BS10" s="8">
        <f>COUNTIF(Decisions!D:D,"4) Validated")</f>
        <v>177</v>
      </c>
    </row>
    <row r="11" spans="1:71">
      <c r="A11" t="s">
        <v>25</v>
      </c>
      <c r="B11" s="6" t="s">
        <v>940</v>
      </c>
      <c r="C11" s="9">
        <v>24</v>
      </c>
      <c r="D11" s="9">
        <v>24</v>
      </c>
      <c r="E11" s="9">
        <v>25</v>
      </c>
      <c r="F11" s="9">
        <v>24</v>
      </c>
      <c r="G11" s="9">
        <v>30</v>
      </c>
      <c r="H11" s="9">
        <v>39</v>
      </c>
      <c r="I11" s="9">
        <v>40</v>
      </c>
      <c r="J11" s="9">
        <v>29</v>
      </c>
      <c r="K11" s="9">
        <v>28</v>
      </c>
      <c r="L11" s="9">
        <v>27</v>
      </c>
      <c r="M11" s="9">
        <v>22</v>
      </c>
      <c r="N11" s="9">
        <v>33</v>
      </c>
      <c r="O11" s="9">
        <v>28</v>
      </c>
      <c r="P11" s="9">
        <v>26</v>
      </c>
      <c r="Q11" s="9">
        <v>26</v>
      </c>
      <c r="R11" s="9">
        <v>26</v>
      </c>
      <c r="S11" s="9">
        <v>26</v>
      </c>
      <c r="T11" s="9">
        <v>23</v>
      </c>
      <c r="U11" s="9">
        <v>22</v>
      </c>
      <c r="V11" s="9">
        <v>21</v>
      </c>
      <c r="W11" s="9">
        <v>21</v>
      </c>
      <c r="X11" s="9">
        <v>21</v>
      </c>
      <c r="Y11" s="9">
        <v>21</v>
      </c>
      <c r="Z11" s="9">
        <v>22</v>
      </c>
      <c r="AA11" s="9">
        <v>22</v>
      </c>
      <c r="AB11" s="9">
        <v>22</v>
      </c>
      <c r="AC11" s="9">
        <v>22</v>
      </c>
      <c r="AD11" s="9">
        <v>22</v>
      </c>
      <c r="AE11" s="9">
        <v>23</v>
      </c>
      <c r="AF11" s="9">
        <v>23</v>
      </c>
      <c r="AG11" s="9">
        <v>23</v>
      </c>
      <c r="AH11" s="9">
        <v>23</v>
      </c>
      <c r="AI11" s="9">
        <v>22</v>
      </c>
      <c r="AJ11" s="9">
        <v>23</v>
      </c>
      <c r="AK11" s="9">
        <v>21</v>
      </c>
      <c r="AL11" s="9">
        <v>19</v>
      </c>
      <c r="AM11" s="9">
        <v>19</v>
      </c>
      <c r="AN11" s="9">
        <v>19</v>
      </c>
      <c r="AO11" s="9">
        <v>20</v>
      </c>
      <c r="AP11" s="9">
        <v>23</v>
      </c>
      <c r="AQ11" s="9">
        <v>23</v>
      </c>
      <c r="AR11" s="9">
        <v>19</v>
      </c>
      <c r="AS11" s="9">
        <v>19</v>
      </c>
      <c r="AT11" s="9">
        <v>16</v>
      </c>
      <c r="AU11" s="9">
        <v>12</v>
      </c>
      <c r="AV11" s="9">
        <v>12</v>
      </c>
      <c r="AW11" s="9">
        <v>12</v>
      </c>
      <c r="AX11" s="9">
        <v>16</v>
      </c>
      <c r="AY11" s="9">
        <v>19</v>
      </c>
      <c r="AZ11" s="9">
        <v>19</v>
      </c>
      <c r="BA11" s="9">
        <v>25</v>
      </c>
      <c r="BB11" s="9">
        <v>23</v>
      </c>
      <c r="BC11" s="9">
        <v>19</v>
      </c>
      <c r="BD11" s="9">
        <v>19</v>
      </c>
      <c r="BE11" s="9">
        <v>16</v>
      </c>
      <c r="BF11" s="9">
        <v>16</v>
      </c>
      <c r="BG11" s="9">
        <v>17</v>
      </c>
      <c r="BH11" s="9">
        <v>17</v>
      </c>
      <c r="BI11" s="9">
        <v>17</v>
      </c>
      <c r="BJ11" s="9">
        <v>17</v>
      </c>
      <c r="BK11" s="9">
        <v>18</v>
      </c>
      <c r="BL11" s="9">
        <v>18</v>
      </c>
      <c r="BM11" s="9">
        <v>15</v>
      </c>
      <c r="BN11" s="9">
        <v>15</v>
      </c>
      <c r="BO11" s="9">
        <v>19</v>
      </c>
      <c r="BP11" s="9">
        <v>19</v>
      </c>
      <c r="BQ11" s="9">
        <v>19</v>
      </c>
      <c r="BR11" s="9">
        <v>19</v>
      </c>
      <c r="BS11" s="10">
        <f>COUNTIF(Decisions!D:D,"1) Pending")</f>
        <v>19</v>
      </c>
    </row>
    <row r="12" spans="1:71">
      <c r="A12" t="s">
        <v>25</v>
      </c>
      <c r="B12" s="11" t="s">
        <v>941</v>
      </c>
      <c r="C12" s="8"/>
      <c r="D12" s="8"/>
      <c r="E12" s="8"/>
      <c r="F12" s="8"/>
      <c r="G12" s="8"/>
      <c r="H12" s="8"/>
      <c r="I12" s="8"/>
      <c r="J12" s="8"/>
      <c r="K12" s="8"/>
      <c r="L12" s="8"/>
      <c r="M12" s="8"/>
      <c r="N12" s="7"/>
      <c r="O12" s="8">
        <v>11</v>
      </c>
      <c r="P12" s="8">
        <v>9</v>
      </c>
      <c r="Q12" s="8">
        <v>9</v>
      </c>
      <c r="R12" s="8">
        <v>9</v>
      </c>
      <c r="S12" s="8">
        <v>8</v>
      </c>
      <c r="T12" s="8">
        <v>5</v>
      </c>
      <c r="U12" s="8">
        <v>2</v>
      </c>
      <c r="V12" s="8">
        <v>1</v>
      </c>
      <c r="W12" s="8">
        <v>3</v>
      </c>
      <c r="X12" s="8">
        <v>3</v>
      </c>
      <c r="Y12" s="8">
        <v>6</v>
      </c>
      <c r="Z12" s="8">
        <v>6</v>
      </c>
      <c r="AA12" s="8">
        <v>6</v>
      </c>
      <c r="AB12" s="8">
        <v>6</v>
      </c>
      <c r="AC12" s="8">
        <v>6</v>
      </c>
      <c r="AD12" s="8">
        <v>8</v>
      </c>
      <c r="AE12" s="8">
        <v>10</v>
      </c>
      <c r="AF12" s="8">
        <v>8</v>
      </c>
      <c r="AG12" s="8">
        <v>8</v>
      </c>
      <c r="AH12" s="8">
        <v>9</v>
      </c>
      <c r="AI12" s="8">
        <v>9</v>
      </c>
      <c r="AJ12" s="8">
        <v>8</v>
      </c>
      <c r="AK12" s="8">
        <v>7</v>
      </c>
      <c r="AL12" s="8">
        <v>9</v>
      </c>
      <c r="AM12" s="8">
        <v>9</v>
      </c>
      <c r="AN12" s="8">
        <v>9</v>
      </c>
      <c r="AO12" s="8">
        <v>9</v>
      </c>
      <c r="AP12" s="8">
        <v>13</v>
      </c>
      <c r="AQ12" s="8">
        <v>10</v>
      </c>
      <c r="AR12" s="8">
        <v>8</v>
      </c>
      <c r="AS12" s="8">
        <v>14</v>
      </c>
      <c r="AT12" s="8">
        <v>12</v>
      </c>
      <c r="AU12" s="8">
        <v>4</v>
      </c>
      <c r="AV12" s="8">
        <v>3</v>
      </c>
      <c r="AW12" s="8">
        <v>1</v>
      </c>
      <c r="AX12" s="8">
        <v>3</v>
      </c>
      <c r="AY12" s="8">
        <v>11</v>
      </c>
      <c r="AZ12" s="8">
        <v>7</v>
      </c>
      <c r="BA12" s="8">
        <v>17</v>
      </c>
      <c r="BB12" s="8">
        <v>16</v>
      </c>
      <c r="BC12" s="8">
        <v>9</v>
      </c>
      <c r="BD12" s="8">
        <v>10</v>
      </c>
      <c r="BE12" s="8">
        <v>9</v>
      </c>
      <c r="BF12" s="8">
        <v>9</v>
      </c>
      <c r="BG12" s="8">
        <v>10</v>
      </c>
      <c r="BH12" s="8">
        <v>2</v>
      </c>
      <c r="BI12" s="8">
        <v>1</v>
      </c>
      <c r="BJ12" s="8">
        <v>1</v>
      </c>
      <c r="BK12" s="8">
        <v>2</v>
      </c>
      <c r="BL12" s="8">
        <v>2</v>
      </c>
      <c r="BM12" s="8">
        <v>0</v>
      </c>
      <c r="BN12" s="8">
        <v>0</v>
      </c>
      <c r="BO12" s="8">
        <v>6</v>
      </c>
      <c r="BP12" s="8">
        <v>6</v>
      </c>
      <c r="BQ12" s="8">
        <v>0</v>
      </c>
      <c r="BR12" s="8">
        <v>0</v>
      </c>
      <c r="BS12" s="8">
        <f>COUNTIFS(Decisions!D:D,"1) Pending",Decisions!H:H,"&lt;0")</f>
        <v>0</v>
      </c>
    </row>
    <row r="13" spans="1:71">
      <c r="A13" t="s">
        <v>38</v>
      </c>
      <c r="B13" s="6" t="s">
        <v>939</v>
      </c>
      <c r="C13" s="7">
        <v>78</v>
      </c>
      <c r="D13" s="7">
        <v>70</v>
      </c>
      <c r="E13" s="7">
        <v>67</v>
      </c>
      <c r="F13" s="7">
        <v>67</v>
      </c>
      <c r="G13" s="7">
        <v>68</v>
      </c>
      <c r="H13" s="7">
        <v>69</v>
      </c>
      <c r="I13" s="7">
        <v>69</v>
      </c>
      <c r="J13" s="7">
        <v>69</v>
      </c>
      <c r="K13" s="7">
        <v>63</v>
      </c>
      <c r="L13" s="7">
        <v>63</v>
      </c>
      <c r="M13" s="7">
        <v>63</v>
      </c>
      <c r="N13" s="7">
        <v>63</v>
      </c>
      <c r="O13" s="7">
        <v>63</v>
      </c>
      <c r="P13" s="7">
        <v>63</v>
      </c>
      <c r="Q13" s="7">
        <v>62</v>
      </c>
      <c r="R13" s="7">
        <v>62</v>
      </c>
      <c r="S13" s="7">
        <v>62</v>
      </c>
      <c r="T13" s="7">
        <v>62</v>
      </c>
      <c r="U13" s="7">
        <v>62</v>
      </c>
      <c r="V13" s="7">
        <v>62</v>
      </c>
      <c r="W13" s="7">
        <v>62</v>
      </c>
      <c r="X13" s="7">
        <v>54</v>
      </c>
      <c r="Y13" s="7">
        <v>54</v>
      </c>
      <c r="Z13" s="7">
        <v>53</v>
      </c>
      <c r="AA13" s="7">
        <v>53</v>
      </c>
      <c r="AB13" s="7">
        <v>54</v>
      </c>
      <c r="AC13" s="7">
        <v>55</v>
      </c>
      <c r="AD13" s="7">
        <v>55</v>
      </c>
      <c r="AE13" s="7">
        <v>100</v>
      </c>
      <c r="AF13" s="7">
        <v>99</v>
      </c>
      <c r="AG13" s="7">
        <v>99</v>
      </c>
      <c r="AH13" s="7">
        <v>102</v>
      </c>
      <c r="AI13" s="7">
        <v>102</v>
      </c>
      <c r="AJ13" s="7">
        <v>102</v>
      </c>
      <c r="AK13" s="7">
        <v>103</v>
      </c>
      <c r="AL13" s="7">
        <v>103</v>
      </c>
      <c r="AM13" s="7">
        <v>103</v>
      </c>
      <c r="AN13" s="7">
        <v>100</v>
      </c>
      <c r="AO13" s="7">
        <v>103</v>
      </c>
      <c r="AP13" s="7">
        <v>92</v>
      </c>
      <c r="AQ13" s="7">
        <v>92</v>
      </c>
      <c r="AR13" s="7">
        <v>93</v>
      </c>
      <c r="AS13" s="7">
        <v>93</v>
      </c>
      <c r="AT13" s="7">
        <v>93</v>
      </c>
      <c r="AU13" s="7">
        <v>93</v>
      </c>
      <c r="AV13" s="7">
        <v>93</v>
      </c>
      <c r="AW13" s="7">
        <f>78+15</f>
        <v>93</v>
      </c>
      <c r="AX13" s="7">
        <v>83</v>
      </c>
      <c r="AY13" s="7">
        <v>83</v>
      </c>
      <c r="AZ13" s="7">
        <v>86</v>
      </c>
      <c r="BA13" s="7">
        <v>86</v>
      </c>
      <c r="BB13" s="7">
        <v>86</v>
      </c>
      <c r="BC13" s="7">
        <v>86</v>
      </c>
      <c r="BD13" s="7">
        <v>88</v>
      </c>
      <c r="BE13" s="7">
        <v>88</v>
      </c>
      <c r="BF13" s="7">
        <v>88</v>
      </c>
      <c r="BG13" s="7">
        <v>90</v>
      </c>
      <c r="BH13" s="7">
        <v>90</v>
      </c>
      <c r="BI13" s="7">
        <v>90</v>
      </c>
      <c r="BJ13" s="7">
        <v>90</v>
      </c>
      <c r="BK13" s="7">
        <v>90</v>
      </c>
      <c r="BL13" s="7">
        <v>90</v>
      </c>
      <c r="BM13" s="7">
        <v>90</v>
      </c>
      <c r="BN13" s="7">
        <v>90</v>
      </c>
      <c r="BO13" s="7">
        <v>90</v>
      </c>
      <c r="BP13" s="7">
        <v>90</v>
      </c>
      <c r="BQ13" s="7">
        <v>90</v>
      </c>
      <c r="BR13" s="7">
        <v>90</v>
      </c>
      <c r="BS13" s="8">
        <f>COUNTIF(Assumptions!E:E,"3) Validated")</f>
        <v>90</v>
      </c>
    </row>
    <row r="14" spans="1:71">
      <c r="A14" t="s">
        <v>38</v>
      </c>
      <c r="B14" s="11" t="s">
        <v>940</v>
      </c>
      <c r="C14" s="8"/>
      <c r="D14" s="8"/>
      <c r="E14" s="8"/>
      <c r="F14" s="8"/>
      <c r="G14" s="8"/>
      <c r="H14" s="8"/>
      <c r="I14" s="8"/>
      <c r="J14" s="8"/>
      <c r="K14" s="8"/>
      <c r="L14" s="8"/>
      <c r="M14" s="8"/>
      <c r="N14" s="8"/>
      <c r="O14" s="8"/>
      <c r="P14" s="8"/>
      <c r="Q14" s="8"/>
      <c r="R14" s="8"/>
      <c r="S14" s="8">
        <v>43</v>
      </c>
      <c r="T14" s="8">
        <v>43</v>
      </c>
      <c r="U14" s="8">
        <v>43</v>
      </c>
      <c r="V14" s="8">
        <v>43</v>
      </c>
      <c r="W14" s="8">
        <v>43</v>
      </c>
      <c r="X14" s="8">
        <v>12</v>
      </c>
      <c r="Y14" s="8">
        <v>12</v>
      </c>
      <c r="Z14" s="8">
        <v>11</v>
      </c>
      <c r="AA14" s="8">
        <v>10</v>
      </c>
      <c r="AB14" s="8">
        <v>11</v>
      </c>
      <c r="AC14" s="8">
        <v>7</v>
      </c>
      <c r="AD14" s="8">
        <v>7</v>
      </c>
      <c r="AE14" s="8">
        <v>25</v>
      </c>
      <c r="AF14" s="8">
        <v>24</v>
      </c>
      <c r="AG14" s="8">
        <v>24</v>
      </c>
      <c r="AH14" s="8">
        <v>22</v>
      </c>
      <c r="AI14" s="8">
        <v>22</v>
      </c>
      <c r="AJ14" s="8">
        <v>22</v>
      </c>
      <c r="AK14" s="8">
        <v>22</v>
      </c>
      <c r="AL14" s="8">
        <v>22</v>
      </c>
      <c r="AM14" s="8">
        <v>22</v>
      </c>
      <c r="AN14" s="8">
        <v>8</v>
      </c>
      <c r="AO14" s="8">
        <v>11</v>
      </c>
      <c r="AP14" s="8">
        <v>11</v>
      </c>
      <c r="AQ14" s="8">
        <v>11</v>
      </c>
      <c r="AR14" s="8">
        <v>10</v>
      </c>
      <c r="AS14" s="8">
        <v>10</v>
      </c>
      <c r="AT14" s="8">
        <v>10</v>
      </c>
      <c r="AU14" s="8">
        <v>10</v>
      </c>
      <c r="AV14" s="8">
        <v>12</v>
      </c>
      <c r="AW14" s="8">
        <v>6</v>
      </c>
      <c r="AX14" s="8">
        <v>7</v>
      </c>
      <c r="AY14" s="8">
        <v>6</v>
      </c>
      <c r="AZ14" s="8">
        <v>3</v>
      </c>
      <c r="BA14" s="8">
        <v>2</v>
      </c>
      <c r="BB14" s="8">
        <v>2</v>
      </c>
      <c r="BC14" s="8">
        <v>2</v>
      </c>
      <c r="BD14" s="8">
        <v>3</v>
      </c>
      <c r="BE14" s="8">
        <v>3</v>
      </c>
      <c r="BF14" s="8">
        <v>3</v>
      </c>
      <c r="BG14" s="8">
        <v>1</v>
      </c>
      <c r="BH14" s="8">
        <v>1</v>
      </c>
      <c r="BI14" s="8">
        <v>1</v>
      </c>
      <c r="BJ14" s="8">
        <v>1</v>
      </c>
      <c r="BK14" s="8">
        <v>1</v>
      </c>
      <c r="BL14" s="8">
        <v>1</v>
      </c>
      <c r="BM14" s="8">
        <v>1</v>
      </c>
      <c r="BN14" s="8">
        <v>1</v>
      </c>
      <c r="BO14" s="8">
        <v>1</v>
      </c>
      <c r="BP14" s="8">
        <v>1</v>
      </c>
      <c r="BQ14" s="8">
        <v>1</v>
      </c>
      <c r="BR14" s="8">
        <v>1</v>
      </c>
      <c r="BS14" s="8">
        <f>COUNTIF(Assumptions!E:E,"1) Not yet validated")</f>
        <v>1</v>
      </c>
    </row>
    <row r="15" spans="1:71">
      <c r="A15" t="s">
        <v>38</v>
      </c>
      <c r="B15" s="11" t="s">
        <v>941</v>
      </c>
      <c r="C15" s="8"/>
      <c r="D15" s="8"/>
      <c r="E15" s="8"/>
      <c r="F15" s="8"/>
      <c r="G15" s="8"/>
      <c r="H15" s="8"/>
      <c r="I15" s="8"/>
      <c r="J15" s="8"/>
      <c r="K15" s="8"/>
      <c r="L15" s="8"/>
      <c r="M15" s="8"/>
      <c r="N15" s="7"/>
      <c r="O15" s="8">
        <v>41</v>
      </c>
      <c r="P15" s="8">
        <v>41</v>
      </c>
      <c r="Q15" s="8">
        <v>40</v>
      </c>
      <c r="R15" s="8">
        <v>39</v>
      </c>
      <c r="S15" s="8">
        <v>39</v>
      </c>
      <c r="T15" s="8">
        <v>38</v>
      </c>
      <c r="U15" s="8">
        <v>38</v>
      </c>
      <c r="V15" s="8">
        <v>37</v>
      </c>
      <c r="W15" s="8">
        <v>37</v>
      </c>
      <c r="X15" s="8">
        <v>6</v>
      </c>
      <c r="Y15" s="8">
        <v>6</v>
      </c>
      <c r="Z15" s="8">
        <v>6</v>
      </c>
      <c r="AA15" s="8">
        <v>5</v>
      </c>
      <c r="AB15" s="8">
        <v>7</v>
      </c>
      <c r="AC15" s="8">
        <v>3</v>
      </c>
      <c r="AD15" s="8">
        <v>5</v>
      </c>
      <c r="AE15" s="8">
        <v>5</v>
      </c>
      <c r="AF15" s="8">
        <v>4</v>
      </c>
      <c r="AG15" s="8">
        <v>6</v>
      </c>
      <c r="AH15" s="8">
        <v>4</v>
      </c>
      <c r="AI15" s="8">
        <v>8</v>
      </c>
      <c r="AJ15" s="8">
        <v>8</v>
      </c>
      <c r="AK15" s="8">
        <v>8</v>
      </c>
      <c r="AL15" s="8">
        <v>8</v>
      </c>
      <c r="AM15" s="8">
        <v>4</v>
      </c>
      <c r="AN15" s="8">
        <v>1</v>
      </c>
      <c r="AO15" s="8">
        <v>1</v>
      </c>
      <c r="AP15" s="8">
        <v>3</v>
      </c>
      <c r="AQ15" s="8">
        <v>1</v>
      </c>
      <c r="AR15" s="8">
        <v>1</v>
      </c>
      <c r="AS15" s="8">
        <v>1</v>
      </c>
      <c r="AT15" s="8">
        <v>1</v>
      </c>
      <c r="AU15" s="8">
        <v>7</v>
      </c>
      <c r="AV15" s="8">
        <v>9</v>
      </c>
      <c r="AW15" s="8">
        <v>3</v>
      </c>
      <c r="AX15" s="8">
        <v>3</v>
      </c>
      <c r="AY15" s="8">
        <v>2</v>
      </c>
      <c r="AZ15" s="8">
        <v>1</v>
      </c>
      <c r="BA15" s="8">
        <v>0</v>
      </c>
      <c r="BB15" s="8">
        <v>0</v>
      </c>
      <c r="BC15" s="8">
        <v>0</v>
      </c>
      <c r="BD15" s="8">
        <v>1</v>
      </c>
      <c r="BE15" s="8">
        <v>1</v>
      </c>
      <c r="BF15" s="8">
        <v>1</v>
      </c>
      <c r="BG15" s="8">
        <v>0</v>
      </c>
      <c r="BH15" s="8">
        <v>0</v>
      </c>
      <c r="BI15" s="8">
        <v>0</v>
      </c>
      <c r="BJ15" s="8">
        <v>0</v>
      </c>
      <c r="BK15" s="8">
        <v>0</v>
      </c>
      <c r="BL15" s="8">
        <v>0</v>
      </c>
      <c r="BM15" s="8">
        <v>0</v>
      </c>
      <c r="BN15" s="8">
        <v>0</v>
      </c>
      <c r="BO15" s="8">
        <v>1</v>
      </c>
      <c r="BP15" s="8">
        <v>1</v>
      </c>
      <c r="BQ15" s="8">
        <v>1</v>
      </c>
      <c r="BR15" s="8">
        <v>1</v>
      </c>
      <c r="BS15" s="8">
        <f>COUNTIFS(Assumptions!E:E,"1) Not yet validated",Assumptions!I:I,"&lt;0")</f>
        <v>1</v>
      </c>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dimension ref="A1:AU7"/>
  <sheetViews>
    <sheetView topLeftCell="AC1" workbookViewId="0">
      <selection activeCell="AJ26" sqref="AJ26"/>
    </sheetView>
  </sheetViews>
  <sheetFormatPr defaultRowHeight="12.75"/>
  <cols>
    <col min="1" max="1" width="18.42578125" bestFit="1" customWidth="1"/>
    <col min="18" max="18" width="9.7109375" bestFit="1" customWidth="1"/>
    <col min="19" max="46" width="9.7109375" customWidth="1"/>
  </cols>
  <sheetData>
    <row r="1" spans="1:47">
      <c r="B1" t="s">
        <v>24</v>
      </c>
      <c r="C1" s="12">
        <v>40933</v>
      </c>
      <c r="D1" s="12">
        <v>40942</v>
      </c>
      <c r="E1" s="12">
        <v>40949</v>
      </c>
      <c r="F1" s="12">
        <v>40956</v>
      </c>
      <c r="G1" s="12">
        <v>40963</v>
      </c>
      <c r="H1" s="12">
        <v>40970</v>
      </c>
      <c r="I1" s="12">
        <v>40977</v>
      </c>
      <c r="J1" s="12">
        <v>40984</v>
      </c>
      <c r="K1" s="12">
        <v>40991</v>
      </c>
      <c r="L1" s="12">
        <v>40998</v>
      </c>
      <c r="M1" s="12">
        <v>41005</v>
      </c>
      <c r="N1" s="12">
        <v>41012</v>
      </c>
      <c r="O1" s="12">
        <v>41019</v>
      </c>
      <c r="P1" s="12">
        <v>41026</v>
      </c>
      <c r="Q1" s="12">
        <v>41033</v>
      </c>
      <c r="R1" s="12">
        <v>41040</v>
      </c>
      <c r="S1" s="12">
        <v>41047</v>
      </c>
      <c r="T1" s="12">
        <v>41054</v>
      </c>
      <c r="U1" s="12">
        <v>41061</v>
      </c>
      <c r="V1" s="12">
        <v>41068</v>
      </c>
      <c r="W1" s="12">
        <v>41075</v>
      </c>
      <c r="X1" s="12">
        <v>41082</v>
      </c>
      <c r="Y1" s="12">
        <v>41089</v>
      </c>
      <c r="Z1" s="12">
        <v>41096</v>
      </c>
      <c r="AA1" s="12">
        <v>41103</v>
      </c>
      <c r="AB1" s="12">
        <v>41110</v>
      </c>
      <c r="AC1" s="12">
        <v>41117</v>
      </c>
      <c r="AD1" s="12">
        <v>41124</v>
      </c>
      <c r="AE1" s="12">
        <v>41131</v>
      </c>
      <c r="AF1" s="12">
        <v>41138</v>
      </c>
      <c r="AG1" s="12">
        <v>41145</v>
      </c>
      <c r="AH1" s="12">
        <v>41152</v>
      </c>
      <c r="AI1" s="12">
        <v>41159</v>
      </c>
      <c r="AJ1" s="12">
        <v>41166</v>
      </c>
      <c r="AK1" s="12">
        <v>41173</v>
      </c>
      <c r="AL1" s="12">
        <v>41180</v>
      </c>
      <c r="AM1" s="12">
        <v>41187</v>
      </c>
      <c r="AN1" s="12">
        <v>41194</v>
      </c>
      <c r="AO1" s="12">
        <v>41201</v>
      </c>
      <c r="AP1" s="12">
        <v>41208</v>
      </c>
      <c r="AQ1" s="12">
        <v>41215</v>
      </c>
      <c r="AR1" s="12">
        <v>41222</v>
      </c>
      <c r="AS1" s="12">
        <v>41229</v>
      </c>
      <c r="AT1" s="12">
        <v>41236</v>
      </c>
      <c r="AU1" s="12" t="s">
        <v>23</v>
      </c>
    </row>
    <row r="2" spans="1:47">
      <c r="A2" t="s">
        <v>25</v>
      </c>
      <c r="B2">
        <v>14</v>
      </c>
      <c r="C2">
        <v>161</v>
      </c>
      <c r="D2">
        <v>182</v>
      </c>
      <c r="E2">
        <v>183</v>
      </c>
      <c r="F2">
        <v>174</v>
      </c>
      <c r="G2">
        <v>179</v>
      </c>
      <c r="H2">
        <v>179</v>
      </c>
      <c r="I2">
        <v>194</v>
      </c>
      <c r="J2">
        <v>191</v>
      </c>
      <c r="K2">
        <v>176</v>
      </c>
      <c r="L2">
        <v>178</v>
      </c>
      <c r="M2">
        <v>178</v>
      </c>
      <c r="N2">
        <v>179</v>
      </c>
      <c r="O2">
        <v>178</v>
      </c>
      <c r="P2">
        <v>177</v>
      </c>
      <c r="Q2">
        <v>172</v>
      </c>
      <c r="R2">
        <v>172</v>
      </c>
      <c r="S2">
        <v>135</v>
      </c>
      <c r="T2">
        <v>145</v>
      </c>
      <c r="U2">
        <v>149</v>
      </c>
      <c r="V2">
        <v>143</v>
      </c>
      <c r="W2">
        <v>144</v>
      </c>
      <c r="X2">
        <v>137</v>
      </c>
      <c r="Y2">
        <v>134</v>
      </c>
      <c r="Z2">
        <v>140</v>
      </c>
      <c r="AA2">
        <v>142</v>
      </c>
      <c r="AB2">
        <v>143</v>
      </c>
      <c r="AC2">
        <v>146</v>
      </c>
      <c r="AD2">
        <v>149</v>
      </c>
      <c r="AE2">
        <v>152</v>
      </c>
      <c r="AF2">
        <v>154</v>
      </c>
      <c r="AG2">
        <v>154</v>
      </c>
      <c r="AH2">
        <v>154</v>
      </c>
      <c r="AI2">
        <v>172</v>
      </c>
      <c r="AJ2">
        <v>173</v>
      </c>
      <c r="AK2">
        <v>175</v>
      </c>
      <c r="AL2">
        <v>175</v>
      </c>
      <c r="AM2">
        <v>176</v>
      </c>
      <c r="AN2">
        <v>176</v>
      </c>
      <c r="AO2">
        <v>177</v>
      </c>
      <c r="AP2">
        <v>177</v>
      </c>
      <c r="AQ2">
        <v>177</v>
      </c>
      <c r="AR2">
        <v>177</v>
      </c>
      <c r="AS2">
        <v>177</v>
      </c>
      <c r="AT2">
        <v>177</v>
      </c>
      <c r="AU2">
        <f>COUNTIF(Decisions!D:D,"4) Validated")</f>
        <v>177</v>
      </c>
    </row>
    <row r="3" spans="1:47">
      <c r="A3" t="s">
        <v>26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row>
    <row r="4" spans="1:47">
      <c r="A4" t="s">
        <v>27</v>
      </c>
      <c r="B4">
        <v>15</v>
      </c>
      <c r="C4">
        <v>14</v>
      </c>
      <c r="D4">
        <v>14</v>
      </c>
      <c r="E4">
        <v>16</v>
      </c>
      <c r="F4">
        <v>16</v>
      </c>
      <c r="G4">
        <v>21</v>
      </c>
      <c r="H4">
        <v>28</v>
      </c>
      <c r="I4">
        <v>16</v>
      </c>
      <c r="J4">
        <v>16</v>
      </c>
      <c r="K4">
        <v>15</v>
      </c>
      <c r="L4">
        <v>17</v>
      </c>
      <c r="M4">
        <v>20</v>
      </c>
      <c r="N4">
        <v>20</v>
      </c>
      <c r="O4">
        <v>19</v>
      </c>
      <c r="P4">
        <v>22</v>
      </c>
      <c r="Q4">
        <v>21</v>
      </c>
      <c r="R4">
        <v>20</v>
      </c>
      <c r="S4">
        <v>11</v>
      </c>
      <c r="T4">
        <v>11</v>
      </c>
      <c r="U4">
        <v>11</v>
      </c>
      <c r="V4">
        <v>11</v>
      </c>
      <c r="W4">
        <v>11</v>
      </c>
      <c r="X4">
        <v>11</v>
      </c>
      <c r="Y4">
        <v>11</v>
      </c>
      <c r="Z4">
        <v>10</v>
      </c>
      <c r="AA4">
        <v>11</v>
      </c>
      <c r="AB4">
        <v>11</v>
      </c>
      <c r="AC4">
        <v>11</v>
      </c>
      <c r="AD4">
        <v>12</v>
      </c>
      <c r="AE4">
        <v>11</v>
      </c>
      <c r="AF4">
        <v>12</v>
      </c>
      <c r="AG4">
        <v>12</v>
      </c>
      <c r="AH4">
        <v>12</v>
      </c>
      <c r="AI4">
        <v>10</v>
      </c>
      <c r="AJ4">
        <v>11</v>
      </c>
      <c r="AK4">
        <v>11</v>
      </c>
      <c r="AL4">
        <v>10</v>
      </c>
      <c r="AM4">
        <v>10</v>
      </c>
      <c r="AN4">
        <v>9</v>
      </c>
      <c r="AO4">
        <v>7</v>
      </c>
      <c r="AP4">
        <v>7</v>
      </c>
      <c r="AQ4">
        <v>6</v>
      </c>
      <c r="AR4">
        <v>5</v>
      </c>
      <c r="AS4">
        <v>5</v>
      </c>
      <c r="AT4">
        <v>4</v>
      </c>
      <c r="AU4">
        <f>COUNTIF(Risks!E:E,"9")</f>
        <v>4</v>
      </c>
    </row>
    <row r="5" spans="1:47">
      <c r="A5" t="s">
        <v>28</v>
      </c>
      <c r="B5">
        <v>71</v>
      </c>
      <c r="C5">
        <v>68</v>
      </c>
      <c r="D5">
        <v>69</v>
      </c>
      <c r="E5">
        <v>69</v>
      </c>
      <c r="F5">
        <v>69</v>
      </c>
      <c r="G5">
        <v>63</v>
      </c>
      <c r="H5">
        <v>63</v>
      </c>
      <c r="I5">
        <v>63</v>
      </c>
      <c r="J5">
        <v>62</v>
      </c>
      <c r="K5">
        <v>54</v>
      </c>
      <c r="L5">
        <v>54</v>
      </c>
      <c r="M5">
        <v>99</v>
      </c>
      <c r="N5">
        <v>102</v>
      </c>
      <c r="O5">
        <v>103</v>
      </c>
      <c r="P5">
        <v>103</v>
      </c>
      <c r="Q5">
        <v>100</v>
      </c>
      <c r="R5">
        <v>103</v>
      </c>
      <c r="S5">
        <v>92</v>
      </c>
      <c r="T5">
        <v>92</v>
      </c>
      <c r="U5">
        <v>93</v>
      </c>
      <c r="V5">
        <v>93</v>
      </c>
      <c r="W5">
        <v>93</v>
      </c>
      <c r="X5">
        <v>93</v>
      </c>
      <c r="Y5">
        <v>93</v>
      </c>
      <c r="Z5">
        <v>83</v>
      </c>
      <c r="AA5">
        <v>83</v>
      </c>
      <c r="AB5">
        <v>85</v>
      </c>
      <c r="AC5">
        <v>86</v>
      </c>
      <c r="AD5">
        <v>86</v>
      </c>
      <c r="AE5">
        <v>86</v>
      </c>
      <c r="AF5">
        <v>88</v>
      </c>
      <c r="AG5">
        <v>88</v>
      </c>
      <c r="AH5">
        <v>88</v>
      </c>
      <c r="AI5">
        <v>90</v>
      </c>
      <c r="AJ5">
        <v>90</v>
      </c>
      <c r="AK5">
        <v>90</v>
      </c>
      <c r="AL5">
        <v>90</v>
      </c>
      <c r="AM5">
        <v>90</v>
      </c>
      <c r="AN5">
        <v>90</v>
      </c>
      <c r="AO5">
        <v>90</v>
      </c>
      <c r="AP5">
        <v>90</v>
      </c>
      <c r="AQ5">
        <v>90</v>
      </c>
      <c r="AR5">
        <v>90</v>
      </c>
      <c r="AS5">
        <v>90</v>
      </c>
      <c r="AT5">
        <v>90</v>
      </c>
      <c r="AU5">
        <f>COUNTIF(Assumptions!E:E,"3) Validated")</f>
        <v>90</v>
      </c>
    </row>
    <row r="6" spans="1:47">
      <c r="A6" t="s">
        <v>29</v>
      </c>
      <c r="B6">
        <v>30</v>
      </c>
      <c r="C6">
        <v>45</v>
      </c>
      <c r="D6">
        <v>48</v>
      </c>
      <c r="E6">
        <v>52</v>
      </c>
      <c r="F6">
        <v>43</v>
      </c>
      <c r="G6">
        <v>49</v>
      </c>
      <c r="H6">
        <v>51</v>
      </c>
      <c r="I6">
        <v>53</v>
      </c>
      <c r="J6">
        <v>42</v>
      </c>
      <c r="K6">
        <v>37</v>
      </c>
      <c r="L6">
        <v>33</v>
      </c>
      <c r="M6">
        <v>30</v>
      </c>
      <c r="N6">
        <v>30</v>
      </c>
      <c r="O6">
        <v>24</v>
      </c>
      <c r="P6">
        <v>27</v>
      </c>
      <c r="Q6">
        <v>35</v>
      </c>
      <c r="R6">
        <v>37</v>
      </c>
      <c r="S6">
        <v>35</v>
      </c>
      <c r="T6">
        <v>33</v>
      </c>
      <c r="U6">
        <v>32</v>
      </c>
      <c r="V6">
        <v>26</v>
      </c>
      <c r="W6">
        <v>28</v>
      </c>
      <c r="X6">
        <v>27</v>
      </c>
      <c r="Y6">
        <v>33</v>
      </c>
      <c r="Z6">
        <v>32</v>
      </c>
      <c r="AA6">
        <v>31</v>
      </c>
      <c r="AB6">
        <v>29</v>
      </c>
      <c r="AC6">
        <v>33</v>
      </c>
      <c r="AD6">
        <v>29</v>
      </c>
      <c r="AE6">
        <v>31</v>
      </c>
      <c r="AF6">
        <v>28</v>
      </c>
      <c r="AG6">
        <v>26</v>
      </c>
      <c r="AH6">
        <v>26</v>
      </c>
      <c r="AI6">
        <v>25</v>
      </c>
      <c r="AJ6">
        <v>23</v>
      </c>
      <c r="AK6">
        <v>22</v>
      </c>
      <c r="AL6">
        <v>23</v>
      </c>
      <c r="AM6">
        <v>18</v>
      </c>
      <c r="AN6">
        <v>20</v>
      </c>
      <c r="AO6">
        <v>20</v>
      </c>
      <c r="AP6">
        <v>22</v>
      </c>
      <c r="AQ6">
        <v>20</v>
      </c>
      <c r="AR6">
        <v>20</v>
      </c>
      <c r="AS6">
        <v>22</v>
      </c>
      <c r="AT6">
        <v>21</v>
      </c>
      <c r="AU6">
        <f>COUNT(Issues!A:A)</f>
        <v>21</v>
      </c>
    </row>
    <row r="7" spans="1:47">
      <c r="A7" t="s">
        <v>30</v>
      </c>
      <c r="B7">
        <v>36</v>
      </c>
      <c r="C7">
        <v>32</v>
      </c>
      <c r="D7">
        <v>32</v>
      </c>
      <c r="E7">
        <v>30</v>
      </c>
      <c r="F7">
        <v>30</v>
      </c>
      <c r="G7">
        <v>32</v>
      </c>
      <c r="H7">
        <v>39</v>
      </c>
      <c r="I7">
        <v>37</v>
      </c>
      <c r="J7">
        <v>32</v>
      </c>
      <c r="K7">
        <v>35</v>
      </c>
      <c r="L7">
        <v>35</v>
      </c>
      <c r="M7">
        <v>35</v>
      </c>
      <c r="N7">
        <v>37</v>
      </c>
      <c r="O7">
        <v>37</v>
      </c>
      <c r="P7">
        <v>41</v>
      </c>
      <c r="Q7">
        <v>37</v>
      </c>
      <c r="R7">
        <v>36</v>
      </c>
      <c r="S7">
        <v>34</v>
      </c>
      <c r="T7">
        <v>34</v>
      </c>
      <c r="U7">
        <v>33</v>
      </c>
      <c r="V7">
        <v>34</v>
      </c>
      <c r="W7">
        <v>36</v>
      </c>
      <c r="X7">
        <v>34</v>
      </c>
      <c r="Y7">
        <v>35</v>
      </c>
      <c r="Z7">
        <v>34</v>
      </c>
      <c r="AA7">
        <v>36</v>
      </c>
      <c r="AB7">
        <v>36</v>
      </c>
      <c r="AC7">
        <v>44</v>
      </c>
      <c r="AD7">
        <v>40</v>
      </c>
      <c r="AE7">
        <v>38</v>
      </c>
      <c r="AF7">
        <v>39</v>
      </c>
      <c r="AG7">
        <v>43</v>
      </c>
      <c r="AH7">
        <v>43</v>
      </c>
      <c r="AI7">
        <v>41</v>
      </c>
      <c r="AJ7">
        <v>42</v>
      </c>
      <c r="AK7">
        <v>44</v>
      </c>
      <c r="AL7">
        <v>44</v>
      </c>
      <c r="AM7">
        <v>46</v>
      </c>
      <c r="AN7">
        <v>48</v>
      </c>
      <c r="AO7">
        <v>43</v>
      </c>
      <c r="AP7">
        <v>46</v>
      </c>
      <c r="AQ7">
        <v>44</v>
      </c>
      <c r="AR7">
        <v>41</v>
      </c>
      <c r="AS7">
        <v>39</v>
      </c>
      <c r="AT7">
        <v>39</v>
      </c>
      <c r="AU7">
        <f>COUNT(Risks!A:A)</f>
        <v>39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198"/>
  <sheetViews>
    <sheetView workbookViewId="0">
      <selection activeCell="A6" sqref="A6:D6"/>
    </sheetView>
  </sheetViews>
  <sheetFormatPr defaultRowHeight="12.75"/>
  <cols>
    <col min="1" max="1" width="4.5703125" style="2" customWidth="1"/>
    <col min="2" max="2" width="41.42578125" customWidth="1"/>
    <col min="3" max="3" width="16.28515625" customWidth="1"/>
    <col min="4" max="4" width="17.42578125" customWidth="1"/>
    <col min="5" max="5" width="65.28515625" customWidth="1"/>
  </cols>
  <sheetData>
    <row r="1" spans="1:5" ht="63.75">
      <c r="A1" s="17" t="s">
        <v>36</v>
      </c>
      <c r="B1" s="15"/>
      <c r="C1" s="15"/>
    </row>
    <row r="2" spans="1:5" ht="38.25">
      <c r="A2" s="18" t="s">
        <v>6</v>
      </c>
      <c r="B2" s="2" t="s">
        <v>35</v>
      </c>
    </row>
    <row r="3" spans="1:5" ht="25.5">
      <c r="A3" s="18" t="s">
        <v>4</v>
      </c>
      <c r="B3" s="2" t="s">
        <v>45</v>
      </c>
    </row>
    <row r="5" spans="1:5">
      <c r="A5" s="18" t="s">
        <v>0</v>
      </c>
      <c r="B5" s="18" t="s">
        <v>5</v>
      </c>
      <c r="C5" s="18" t="s">
        <v>1</v>
      </c>
      <c r="D5" s="18" t="s">
        <v>2</v>
      </c>
      <c r="E5" s="18" t="s">
        <v>39</v>
      </c>
    </row>
    <row r="6" spans="1:5" ht="25.5">
      <c r="A6" s="2">
        <v>19</v>
      </c>
      <c r="B6" s="2" t="s">
        <v>46</v>
      </c>
      <c r="C6" s="2" t="s">
        <v>20</v>
      </c>
      <c r="D6" s="2" t="s">
        <v>105</v>
      </c>
      <c r="E6" s="2" t="s">
        <v>71</v>
      </c>
    </row>
    <row r="7" spans="1:5">
      <c r="B7" s="2"/>
      <c r="C7" s="2"/>
      <c r="D7" s="2"/>
      <c r="E7" s="2"/>
    </row>
    <row r="8" spans="1:5" ht="25.5">
      <c r="A8" s="2">
        <v>22</v>
      </c>
      <c r="B8" s="2" t="s">
        <v>47</v>
      </c>
      <c r="C8" s="2" t="s">
        <v>17</v>
      </c>
      <c r="D8" s="2" t="s">
        <v>18</v>
      </c>
      <c r="E8" s="2" t="s">
        <v>71</v>
      </c>
    </row>
    <row r="9" spans="1:5">
      <c r="B9" s="2"/>
      <c r="C9" s="2"/>
      <c r="D9" s="2"/>
      <c r="E9" s="2"/>
    </row>
    <row r="10" spans="1:5" ht="76.5">
      <c r="A10" s="2">
        <v>34</v>
      </c>
      <c r="B10" s="2" t="s">
        <v>107</v>
      </c>
      <c r="C10" s="2" t="s">
        <v>20</v>
      </c>
      <c r="D10" s="2" t="s">
        <v>105</v>
      </c>
      <c r="E10" s="2" t="s">
        <v>71</v>
      </c>
    </row>
    <row r="11" spans="1:5">
      <c r="B11" s="2"/>
      <c r="C11" s="2"/>
      <c r="D11" s="2"/>
      <c r="E11" s="2"/>
    </row>
    <row r="12" spans="1:5" ht="25.5">
      <c r="A12" s="2">
        <v>208</v>
      </c>
      <c r="B12" s="2" t="s">
        <v>52</v>
      </c>
      <c r="C12" s="2" t="s">
        <v>49</v>
      </c>
      <c r="D12" s="2" t="s">
        <v>51</v>
      </c>
      <c r="E12" s="2" t="s">
        <v>71</v>
      </c>
    </row>
    <row r="13" spans="1:5">
      <c r="B13" s="2"/>
      <c r="C13" s="2"/>
      <c r="D13" s="2"/>
      <c r="E13" s="2"/>
    </row>
    <row r="14" spans="1:5" ht="25.5">
      <c r="A14" s="2">
        <v>251</v>
      </c>
      <c r="B14" s="2" t="s">
        <v>99</v>
      </c>
      <c r="C14" s="2" t="s">
        <v>49</v>
      </c>
      <c r="D14" s="2" t="s">
        <v>98</v>
      </c>
      <c r="E14" s="2" t="s">
        <v>71</v>
      </c>
    </row>
    <row r="15" spans="1:5">
      <c r="B15" s="2"/>
      <c r="C15" s="2"/>
      <c r="D15" s="2"/>
      <c r="E15" s="2"/>
    </row>
    <row r="16" spans="1:5" ht="38.25">
      <c r="A16" s="2">
        <v>279</v>
      </c>
      <c r="B16" s="2" t="s">
        <v>56</v>
      </c>
      <c r="C16" s="2" t="s">
        <v>20</v>
      </c>
      <c r="D16" s="2" t="s">
        <v>43</v>
      </c>
      <c r="E16" s="2" t="s">
        <v>71</v>
      </c>
    </row>
    <row r="17" spans="1:5">
      <c r="B17" s="2"/>
      <c r="C17" s="2"/>
      <c r="D17" s="2"/>
      <c r="E17" s="2"/>
    </row>
    <row r="18" spans="1:5" ht="25.5">
      <c r="A18" s="2">
        <v>222</v>
      </c>
      <c r="B18" s="2" t="s">
        <v>117</v>
      </c>
      <c r="C18" s="2" t="s">
        <v>20</v>
      </c>
      <c r="D18" s="2" t="s">
        <v>21</v>
      </c>
      <c r="E18" s="2" t="s">
        <v>71</v>
      </c>
    </row>
    <row r="19" spans="1:5">
      <c r="B19" s="2"/>
      <c r="C19" s="2"/>
      <c r="D19" s="2"/>
      <c r="E19" s="2"/>
    </row>
    <row r="20" spans="1:5" ht="25.5">
      <c r="A20" s="2">
        <v>318</v>
      </c>
      <c r="B20" s="2" t="s">
        <v>128</v>
      </c>
      <c r="C20" s="2" t="s">
        <v>42</v>
      </c>
      <c r="D20" s="2" t="s">
        <v>58</v>
      </c>
      <c r="E20" s="2" t="s">
        <v>71</v>
      </c>
    </row>
    <row r="21" spans="1:5">
      <c r="B21" s="2"/>
      <c r="C21" s="2"/>
      <c r="D21" s="2"/>
      <c r="E21" s="2"/>
    </row>
    <row r="22" spans="1:5" ht="38.25">
      <c r="A22" s="2">
        <v>329</v>
      </c>
      <c r="B22" s="2" t="s">
        <v>909</v>
      </c>
      <c r="C22" s="2" t="s">
        <v>20</v>
      </c>
      <c r="D22" s="2" t="s">
        <v>50</v>
      </c>
      <c r="E22" s="2" t="s">
        <v>71</v>
      </c>
    </row>
    <row r="23" spans="1:5">
      <c r="B23" s="2"/>
      <c r="C23" s="2"/>
      <c r="D23" s="2"/>
      <c r="E23" s="2"/>
    </row>
    <row r="24" spans="1:5">
      <c r="A24"/>
    </row>
    <row r="25" spans="1:5">
      <c r="A25"/>
    </row>
    <row r="26" spans="1:5">
      <c r="A26"/>
    </row>
    <row r="27" spans="1:5">
      <c r="A27"/>
    </row>
    <row r="28" spans="1:5">
      <c r="A28"/>
    </row>
    <row r="29" spans="1:5">
      <c r="A29"/>
    </row>
    <row r="30" spans="1:5">
      <c r="A30"/>
    </row>
    <row r="31" spans="1:5">
      <c r="A31"/>
    </row>
    <row r="32" spans="1:5">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sheetData>
  <pageMargins left="0.7" right="0.7" top="0.75" bottom="0.75" header="0.3" footer="0.3"/>
  <pageSetup orientation="portrait" verticalDpi="0" r:id="rId2"/>
</worksheet>
</file>

<file path=xl/worksheets/sheet8.xml><?xml version="1.0" encoding="utf-8"?>
<worksheet xmlns="http://schemas.openxmlformats.org/spreadsheetml/2006/main" xmlns:r="http://schemas.openxmlformats.org/officeDocument/2006/relationships">
  <dimension ref="A1:E15"/>
  <sheetViews>
    <sheetView workbookViewId="0">
      <selection activeCell="D4" sqref="D4"/>
    </sheetView>
  </sheetViews>
  <sheetFormatPr defaultRowHeight="12.75"/>
  <cols>
    <col min="1" max="1" width="5.7109375" customWidth="1"/>
    <col min="2" max="2" width="37.5703125" customWidth="1"/>
    <col min="3" max="3" width="17.42578125" customWidth="1"/>
    <col min="4" max="4" width="11.42578125" bestFit="1" customWidth="1"/>
    <col min="5" max="5" width="49.28515625" customWidth="1"/>
  </cols>
  <sheetData>
    <row r="1" spans="1:5" ht="51">
      <c r="A1" s="17" t="s">
        <v>37</v>
      </c>
    </row>
    <row r="2" spans="1:5" ht="38.25">
      <c r="A2" s="18" t="s">
        <v>6</v>
      </c>
      <c r="B2" s="2" t="s">
        <v>35</v>
      </c>
    </row>
    <row r="3" spans="1:5" ht="25.5">
      <c r="A3" s="18" t="s">
        <v>11</v>
      </c>
      <c r="B3" s="2" t="s">
        <v>45</v>
      </c>
    </row>
    <row r="4" spans="1:5">
      <c r="A4" s="2"/>
    </row>
    <row r="5" spans="1:5">
      <c r="A5" s="18" t="s">
        <v>0</v>
      </c>
      <c r="B5" s="18" t="s">
        <v>5</v>
      </c>
      <c r="C5" s="18" t="s">
        <v>1</v>
      </c>
      <c r="D5" s="18" t="s">
        <v>10</v>
      </c>
      <c r="E5" s="18" t="s">
        <v>39</v>
      </c>
    </row>
    <row r="6" spans="1:5" ht="25.5">
      <c r="A6" s="2">
        <v>118</v>
      </c>
      <c r="B6" s="2" t="s">
        <v>65</v>
      </c>
      <c r="C6" s="2" t="s">
        <v>20</v>
      </c>
      <c r="D6" s="2" t="s">
        <v>105</v>
      </c>
      <c r="E6" s="2" t="s">
        <v>130</v>
      </c>
    </row>
    <row r="7" spans="1:5">
      <c r="A7" s="2"/>
      <c r="B7" s="2"/>
      <c r="C7" s="2"/>
      <c r="D7" s="2"/>
      <c r="E7" s="2"/>
    </row>
    <row r="8" spans="1:5" ht="38.25">
      <c r="A8" s="2">
        <v>75</v>
      </c>
      <c r="B8" s="2" t="s">
        <v>64</v>
      </c>
      <c r="C8" s="2" t="s">
        <v>20</v>
      </c>
      <c r="D8" s="2" t="s">
        <v>21</v>
      </c>
      <c r="E8" s="2" t="s">
        <v>130</v>
      </c>
    </row>
    <row r="9" spans="1:5">
      <c r="A9" s="2"/>
      <c r="B9" s="2"/>
      <c r="C9" s="2"/>
      <c r="D9" s="2"/>
      <c r="E9" s="2"/>
    </row>
    <row r="10" spans="1:5" ht="51">
      <c r="A10" s="2">
        <v>182</v>
      </c>
      <c r="B10" s="2" t="s">
        <v>143</v>
      </c>
      <c r="C10" s="2" t="s">
        <v>20</v>
      </c>
      <c r="D10" s="2" t="s">
        <v>21</v>
      </c>
      <c r="E10" s="2" t="s">
        <v>130</v>
      </c>
    </row>
    <row r="11" spans="1:5">
      <c r="A11" s="2"/>
      <c r="B11" s="2"/>
      <c r="C11" s="2"/>
      <c r="D11" s="2"/>
      <c r="E11" s="2"/>
    </row>
    <row r="12" spans="1:5" ht="25.5">
      <c r="A12" s="2">
        <v>187</v>
      </c>
      <c r="B12" s="2" t="s">
        <v>911</v>
      </c>
      <c r="C12" s="2" t="s">
        <v>20</v>
      </c>
      <c r="D12" s="2" t="s">
        <v>210</v>
      </c>
      <c r="E12" s="2" t="s">
        <v>130</v>
      </c>
    </row>
    <row r="13" spans="1:5">
      <c r="A13" s="2"/>
      <c r="B13" s="2"/>
      <c r="C13" s="2"/>
      <c r="D13" s="2"/>
      <c r="E13" s="2"/>
    </row>
    <row r="14" spans="1:5" ht="25.5">
      <c r="A14" s="2">
        <v>190</v>
      </c>
      <c r="B14" s="2" t="s">
        <v>912</v>
      </c>
      <c r="C14" s="2" t="s">
        <v>19</v>
      </c>
      <c r="D14" s="2" t="s">
        <v>88</v>
      </c>
      <c r="E14" s="2" t="s">
        <v>130</v>
      </c>
    </row>
    <row r="15" spans="1:5">
      <c r="A15" s="2"/>
      <c r="B15" s="2"/>
      <c r="C15" s="2"/>
      <c r="D15" s="2"/>
      <c r="E15" s="2"/>
    </row>
  </sheetData>
  <pageMargins left="0.7" right="0.7" top="0.75" bottom="0.75" header="0.3" footer="0.3"/>
  <pageSetup orientation="portrait" verticalDpi="0" r:id="rId2"/>
</worksheet>
</file>

<file path=xl/worksheets/sheet9.xml><?xml version="1.0" encoding="utf-8"?>
<worksheet xmlns="http://schemas.openxmlformats.org/spreadsheetml/2006/main" xmlns:r="http://schemas.openxmlformats.org/officeDocument/2006/relationships">
  <dimension ref="A1:E7"/>
  <sheetViews>
    <sheetView workbookViewId="0">
      <selection activeCell="D5" sqref="D5"/>
    </sheetView>
  </sheetViews>
  <sheetFormatPr defaultRowHeight="12.75"/>
  <cols>
    <col min="1" max="1" width="12.28515625" bestFit="1" customWidth="1"/>
    <col min="2" max="2" width="34" bestFit="1" customWidth="1"/>
    <col min="3" max="3" width="14.85546875" bestFit="1" customWidth="1"/>
    <col min="4" max="4" width="19.28515625" bestFit="1" customWidth="1"/>
    <col min="5" max="5" width="87.42578125" bestFit="1" customWidth="1"/>
  </cols>
  <sheetData>
    <row r="1" spans="1:5">
      <c r="A1" s="13" t="s">
        <v>31</v>
      </c>
      <c r="B1" t="s">
        <v>32</v>
      </c>
    </row>
    <row r="2" spans="1:5">
      <c r="A2" s="13" t="s">
        <v>6</v>
      </c>
      <c r="B2" t="s">
        <v>35</v>
      </c>
    </row>
    <row r="3" spans="1:5">
      <c r="A3" s="16" t="s">
        <v>38</v>
      </c>
    </row>
    <row r="4" spans="1:5">
      <c r="A4" s="13" t="s">
        <v>0</v>
      </c>
      <c r="B4" s="13" t="s">
        <v>5</v>
      </c>
      <c r="C4" s="13" t="s">
        <v>1</v>
      </c>
      <c r="D4" s="13" t="s">
        <v>10</v>
      </c>
      <c r="E4" s="13" t="s">
        <v>39</v>
      </c>
    </row>
    <row r="5" spans="1:5">
      <c r="A5">
        <v>194</v>
      </c>
      <c r="B5" t="s">
        <v>361</v>
      </c>
      <c r="C5" t="s">
        <v>121</v>
      </c>
      <c r="D5" t="s">
        <v>360</v>
      </c>
      <c r="E5" t="s">
        <v>153</v>
      </c>
    </row>
    <row r="7" spans="1:5">
      <c r="A7" t="s">
        <v>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
  <sheetViews>
    <sheetView workbookViewId="0">
      <selection activeCell="B11" sqref="B11"/>
    </sheetView>
  </sheetViews>
  <sheetFormatPr defaultRowHeight="12.75"/>
  <cols>
    <col min="1" max="1" width="11.7109375" bestFit="1" customWidth="1"/>
    <col min="2" max="2" width="72.7109375" bestFit="1" customWidth="1"/>
    <col min="3" max="3" width="14.85546875" bestFit="1" customWidth="1"/>
    <col min="4" max="4" width="14.28515625" bestFit="1" customWidth="1"/>
    <col min="5" max="5" width="7" customWidth="1"/>
  </cols>
  <sheetData>
    <row r="1" spans="1:5">
      <c r="A1" s="13" t="s">
        <v>31</v>
      </c>
      <c r="B1" t="s">
        <v>33</v>
      </c>
    </row>
    <row r="2" spans="1:5">
      <c r="A2" s="13" t="s">
        <v>6</v>
      </c>
      <c r="B2" s="14">
        <v>0</v>
      </c>
    </row>
    <row r="3" spans="1:5">
      <c r="A3" s="16" t="s">
        <v>25</v>
      </c>
    </row>
    <row r="4" spans="1:5">
      <c r="A4" s="13" t="s">
        <v>0</v>
      </c>
      <c r="B4" s="13" t="s">
        <v>5</v>
      </c>
      <c r="C4" s="13" t="s">
        <v>1</v>
      </c>
      <c r="D4" s="13" t="s">
        <v>2</v>
      </c>
      <c r="E4" s="13" t="s">
        <v>39</v>
      </c>
    </row>
    <row r="5" spans="1:5">
      <c r="A5"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4BBD4D6DD9E8E844ABCF76CA171F0261" ma:contentTypeVersion="0" ma:contentTypeDescription="Create a new document." ma:contentTypeScope="" ma:versionID="ff6fea24881b0aa657582125e422a8c5">
  <xsd:schema xmlns:xsd="http://www.w3.org/2001/XMLSchema" xmlns:xs="http://www.w3.org/2001/XMLSchema" xmlns:p="http://schemas.microsoft.com/office/2006/metadata/properties" xmlns:ns2="0cbe1240-e4fe-486d-8edc-2712abb96eb4" targetNamespace="http://schemas.microsoft.com/office/2006/metadata/properties" ma:root="true" ma:fieldsID="bd214d6eee052d324e45fcce3bef4425" ns2:_="">
    <xsd:import namespace="0cbe1240-e4fe-486d-8edc-2712abb96eb4"/>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0cbe1240-e4fe-486d-8edc-2712abb96eb4">MSIBM-75-3467</_dlc_DocId>
    <_dlc_DocIdUrl xmlns="0cbe1240-e4fe-486d-8edc-2712abb96eb4">
      <Url>http://sp.ey.net/msibm/_layouts/DocIdRedir.aspx?ID=MSIBM-75-3467</Url>
      <Description>MSIBM-75-3467</Description>
    </_dlc_DocIdUrl>
  </documentManagement>
</p:properties>
</file>

<file path=customXml/itemProps1.xml><?xml version="1.0" encoding="utf-8"?>
<ds:datastoreItem xmlns:ds="http://schemas.openxmlformats.org/officeDocument/2006/customXml" ds:itemID="{FD715A0D-D3A8-44C9-A33F-D37FBFD5C08F}">
  <ds:schemaRefs>
    <ds:schemaRef ds:uri="http://schemas.microsoft.com/sharepoint/v3/contenttype/forms"/>
  </ds:schemaRefs>
</ds:datastoreItem>
</file>

<file path=customXml/itemProps2.xml><?xml version="1.0" encoding="utf-8"?>
<ds:datastoreItem xmlns:ds="http://schemas.openxmlformats.org/officeDocument/2006/customXml" ds:itemID="{37656773-575D-4B5A-9D5E-681B46AE0963}">
  <ds:schemaRefs>
    <ds:schemaRef ds:uri="http://schemas.microsoft.com/sharepoint/events"/>
  </ds:schemaRefs>
</ds:datastoreItem>
</file>

<file path=customXml/itemProps3.xml><?xml version="1.0" encoding="utf-8"?>
<ds:datastoreItem xmlns:ds="http://schemas.openxmlformats.org/officeDocument/2006/customXml" ds:itemID="{03CDAE43-484A-479E-941D-B9215DD606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96C4019-C839-460F-8F1E-DFA76BA9DC0F}">
  <ds:schemaRefs>
    <ds:schemaRef ds:uri="http://schemas.microsoft.com/office/2006/metadata/properties"/>
    <ds:schemaRef ds:uri="http://schemas.microsoft.com/office/infopath/2007/PartnerControls"/>
    <ds:schemaRef ds:uri="0cbe1240-e4fe-486d-8edc-2712abb96e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Risks</vt:lpstr>
      <vt:lpstr>Issues</vt:lpstr>
      <vt:lpstr>Assumptions</vt:lpstr>
      <vt:lpstr>Decisions</vt:lpstr>
      <vt:lpstr>RAID Summary</vt:lpstr>
      <vt:lpstr>Cross-Org</vt:lpstr>
      <vt:lpstr>Risk Pivot</vt:lpstr>
      <vt:lpstr>Issue Pivot</vt:lpstr>
      <vt:lpstr>Assumption Pivot</vt:lpstr>
      <vt:lpstr>Decision Pivot</vt:lpstr>
    </vt:vector>
  </TitlesOfParts>
  <Company>Ernst &amp; Young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RAID KPI Template 2012-11-21</dc:title>
  <dc:creator>Laura Murphy</dc:creator>
  <cp:lastModifiedBy>Wale Agbaje</cp:lastModifiedBy>
  <dcterms:created xsi:type="dcterms:W3CDTF">2012-05-17T19:28:56Z</dcterms:created>
  <dcterms:modified xsi:type="dcterms:W3CDTF">2012-11-22T11:54:34Z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0x0101004BBD4D6DD9E8E844ABCF76CA171F0261</vt:lpwstr>
  </property>
  <property fmtid="{D5CDD505-2E9C-101B-9397-08002B2CF9AE}" pid="3" name="_dlc_DocIdItemGuid">
    <vt:lpwstr>95ca1b9c-bbc9-4a9a-9fce-0d97e7f76693</vt:lpwstr>
  </property>
</Properties>
</file>