
<file path=[Content_Types].xml><?xml version="1.0" encoding="utf-8"?>
<Types xmlns="http://schemas.openxmlformats.org/package/2006/content-types">
  <Override PartName="/xl/tables/table4.xml" ContentType="application/vnd.openxmlformats-officedocument.spreadsheetml.table+xml"/>
  <Override PartName="/xl/charts/chart6.xml" ContentType="application/vnd.openxmlformats-officedocument.drawingml.chart+xml"/>
  <Override PartName="/customXml/itemProps3.xml" ContentType="application/vnd.openxmlformats-officedocument.customXmlProperties+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charts/chart13.xml" ContentType="application/vnd.openxmlformats-officedocument.drawingml.chart+xml"/>
  <Override PartName="/xl/tables/table5.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customXml/itemProps4.xml" ContentType="application/vnd.openxmlformats-officedocument.customXmlProperties+xml"/>
  <Override PartName="/docProps/core.xml" ContentType="application/vnd.openxmlformats-package.core-properties+xml"/>
  <Default Extension="bin" ContentType="application/vnd.openxmlformats-officedocument.spreadsheetml.printerSettings"/>
  <Override PartName="/xl/tables/table3.xml" ContentType="application/vnd.openxmlformats-officedocument.spreadsheetml.table+xml"/>
  <Override PartName="/xl/charts/chart7.xml" ContentType="application/vnd.openxmlformats-officedocument.drawingml.chart+xml"/>
  <Override PartName="/xl/charts/chart10.xml" ContentType="application/vnd.openxmlformats-officedocument.drawingml.chart+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60" yWindow="4335" windowWidth="15330" windowHeight="3930" tabRatio="909" firstSheet="1" activeTab="11"/>
  </bookViews>
  <sheets>
    <sheet name="Instructions" sheetId="28" r:id="rId1"/>
    <sheet name="Ratings" sheetId="29" r:id="rId2"/>
    <sheet name="Risk Log" sheetId="11" r:id="rId3"/>
    <sheet name="Issues Log" sheetId="14" r:id="rId4"/>
    <sheet name="Assumption Log" sheetId="6" r:id="rId5"/>
    <sheet name="Decision Log" sheetId="32" r:id="rId6"/>
    <sheet name="Actions Report" sheetId="30" r:id="rId7"/>
    <sheet name="RAID Summary" sheetId="27" r:id="rId8"/>
    <sheet name="Project Summary" sheetId="31" r:id="rId9"/>
    <sheet name="Snapshot" sheetId="33" r:id="rId10"/>
    <sheet name="Snapshot Detail" sheetId="34" r:id="rId11"/>
    <sheet name="Cross Org Data" sheetId="35" r:id="rId12"/>
  </sheets>
  <externalReferences>
    <externalReference r:id="rId13"/>
  </externalReferences>
  <definedNames>
    <definedName name="_xlnm._FilterDatabase" localSheetId="5" hidden="1">'Decision Log'!$O$1:$Q$1</definedName>
    <definedName name="_xlnm.Print_Area" localSheetId="3">'Issues Log'!$A$2:$V$234</definedName>
    <definedName name="_xlnm.Print_Area" localSheetId="2">'Risk Log'!$A$1:$AA$255</definedName>
    <definedName name="_xlnm.Print_Titles" localSheetId="4">'Assumption Log'!$1:$1</definedName>
    <definedName name="_xlnm.Print_Titles" localSheetId="5">'Decision Log'!$1:$1</definedName>
  </definedNames>
  <calcPr calcId="125725"/>
  <smartTagPr show="none"/>
</workbook>
</file>

<file path=xl/calcChain.xml><?xml version="1.0" encoding="utf-8"?>
<calcChain xmlns="http://schemas.openxmlformats.org/spreadsheetml/2006/main">
  <c r="S112" i="31"/>
  <c r="S111"/>
  <c r="S110"/>
  <c r="S109"/>
  <c r="S108"/>
  <c r="S107"/>
  <c r="S106"/>
  <c r="S105"/>
  <c r="S104"/>
  <c r="S100"/>
  <c r="S98"/>
  <c r="S97"/>
  <c r="S93"/>
  <c r="S92"/>
  <c r="S88"/>
  <c r="S86"/>
  <c r="S85"/>
  <c r="S81"/>
  <c r="S79"/>
  <c r="S78"/>
  <c r="S74"/>
  <c r="S73"/>
  <c r="S69"/>
  <c r="S67"/>
  <c r="S66"/>
  <c r="S62"/>
  <c r="S60"/>
  <c r="S59"/>
  <c r="X59"/>
  <c r="S55"/>
  <c r="S54"/>
  <c r="S50"/>
  <c r="S48"/>
  <c r="S47"/>
  <c r="S43"/>
  <c r="S41"/>
  <c r="S40"/>
  <c r="S36"/>
  <c r="S35"/>
  <c r="S31"/>
  <c r="S29"/>
  <c r="S28"/>
  <c r="S24"/>
  <c r="S22"/>
  <c r="S21"/>
  <c r="S17"/>
  <c r="S16"/>
  <c r="S12"/>
  <c r="S10"/>
  <c r="S9"/>
  <c r="S5"/>
  <c r="S3"/>
  <c r="S2"/>
  <c r="AA11" i="27"/>
  <c r="Q1" i="6"/>
  <c r="P2" s="1"/>
  <c r="Q1" i="32"/>
  <c r="P2" s="1"/>
  <c r="AI7" i="14"/>
  <c r="AI8"/>
  <c r="AI9"/>
  <c r="AI10"/>
  <c r="AI11"/>
  <c r="AI12"/>
  <c r="AI13"/>
  <c r="AI14"/>
  <c r="AI15"/>
  <c r="AI16"/>
  <c r="AI17"/>
  <c r="AI18"/>
  <c r="AI19"/>
  <c r="AI20"/>
  <c r="AI21"/>
  <c r="AI22"/>
  <c r="AI23"/>
  <c r="AI24"/>
  <c r="AI25"/>
  <c r="AI26"/>
  <c r="AI27"/>
  <c r="AI28"/>
  <c r="AI29"/>
  <c r="AI30"/>
  <c r="AI31"/>
  <c r="AI32"/>
  <c r="AI33"/>
  <c r="AI34"/>
  <c r="AI35"/>
  <c r="AI36"/>
  <c r="AI37"/>
  <c r="AI38"/>
  <c r="AI39"/>
  <c r="AI40"/>
  <c r="AI41"/>
  <c r="AI42"/>
  <c r="AI43"/>
  <c r="AI44"/>
  <c r="AI45"/>
  <c r="AI46"/>
  <c r="AI47"/>
  <c r="AI48"/>
  <c r="AI49"/>
  <c r="AI50"/>
  <c r="AI51"/>
  <c r="AI52"/>
  <c r="AI53"/>
  <c r="AI54"/>
  <c r="AI55"/>
  <c r="AI56"/>
  <c r="AI57"/>
  <c r="AI58"/>
  <c r="AI59"/>
  <c r="AI60"/>
  <c r="AI61"/>
  <c r="AI62"/>
  <c r="AI63"/>
  <c r="AI64"/>
  <c r="AI65"/>
  <c r="AI66"/>
  <c r="AI67"/>
  <c r="AI68"/>
  <c r="AI69"/>
  <c r="AI70"/>
  <c r="AI71"/>
  <c r="AI72"/>
  <c r="AI73"/>
  <c r="AI74"/>
  <c r="AI75"/>
  <c r="AI76"/>
  <c r="AI77"/>
  <c r="AI78"/>
  <c r="AI79"/>
  <c r="AI80"/>
  <c r="AI81"/>
  <c r="AI82"/>
  <c r="AI83"/>
  <c r="AI84"/>
  <c r="AI85"/>
  <c r="AI86"/>
  <c r="AI87"/>
  <c r="AI88"/>
  <c r="AI89"/>
  <c r="AI90"/>
  <c r="AI91"/>
  <c r="AI92"/>
  <c r="AI93"/>
  <c r="AI94"/>
  <c r="AI95"/>
  <c r="AI96"/>
  <c r="AI97"/>
  <c r="AI98"/>
  <c r="AI99"/>
  <c r="AI100"/>
  <c r="AI101"/>
  <c r="AI102"/>
  <c r="AI103"/>
  <c r="AI104"/>
  <c r="AI105"/>
  <c r="AI106"/>
  <c r="AI107"/>
  <c r="AI108"/>
  <c r="AI109"/>
  <c r="AI110"/>
  <c r="AI111"/>
  <c r="AI112"/>
  <c r="AI113"/>
  <c r="AI114"/>
  <c r="AI115"/>
  <c r="AI116"/>
  <c r="AI117"/>
  <c r="AI118"/>
  <c r="AI119"/>
  <c r="AI120"/>
  <c r="AI121"/>
  <c r="AI122"/>
  <c r="AI123"/>
  <c r="AI124"/>
  <c r="AI125"/>
  <c r="AI126"/>
  <c r="AI127"/>
  <c r="AI128"/>
  <c r="AI129"/>
  <c r="AI130"/>
  <c r="AI131"/>
  <c r="AI132"/>
  <c r="AI133"/>
  <c r="AI134"/>
  <c r="AI135"/>
  <c r="AI136"/>
  <c r="AI137"/>
  <c r="AI138"/>
  <c r="AI139"/>
  <c r="AI140"/>
  <c r="AI141"/>
  <c r="AI142"/>
  <c r="AI143"/>
  <c r="AI144"/>
  <c r="AI145"/>
  <c r="AI146"/>
  <c r="AI147"/>
  <c r="AI148"/>
  <c r="AI149"/>
  <c r="AI150"/>
  <c r="AI151"/>
  <c r="AI152"/>
  <c r="AI153"/>
  <c r="AI154"/>
  <c r="AI155"/>
  <c r="AI156"/>
  <c r="AI157"/>
  <c r="AI158"/>
  <c r="AI159"/>
  <c r="AI160"/>
  <c r="AI161"/>
  <c r="AI162"/>
  <c r="AI163"/>
  <c r="AI164"/>
  <c r="AI165"/>
  <c r="AI166"/>
  <c r="AI167"/>
  <c r="AI168"/>
  <c r="AI169"/>
  <c r="AI170"/>
  <c r="AI171"/>
  <c r="AI172"/>
  <c r="AI173"/>
  <c r="AI174"/>
  <c r="AI175"/>
  <c r="AI176"/>
  <c r="AI177"/>
  <c r="AI178"/>
  <c r="AI179"/>
  <c r="AI180"/>
  <c r="AI181"/>
  <c r="AI182"/>
  <c r="AI183"/>
  <c r="AI184"/>
  <c r="AI185"/>
  <c r="AI186"/>
  <c r="AI187"/>
  <c r="AI188"/>
  <c r="AI189"/>
  <c r="AI190"/>
  <c r="AI191"/>
  <c r="AI192"/>
  <c r="AI193"/>
  <c r="AI194"/>
  <c r="AI195"/>
  <c r="AI196"/>
  <c r="AI197"/>
  <c r="AI198"/>
  <c r="AI199"/>
  <c r="AI200"/>
  <c r="AI201"/>
  <c r="AI202"/>
  <c r="AI203"/>
  <c r="AI204"/>
  <c r="AI205"/>
  <c r="AI206"/>
  <c r="AI207"/>
  <c r="AI208"/>
  <c r="AI209"/>
  <c r="AI210"/>
  <c r="AI211"/>
  <c r="AI212"/>
  <c r="AI213"/>
  <c r="AI214"/>
  <c r="AI215"/>
  <c r="AI216"/>
  <c r="AI217"/>
  <c r="AI218"/>
  <c r="AI219"/>
  <c r="AI220"/>
  <c r="AI221"/>
  <c r="AI222"/>
  <c r="AI223"/>
  <c r="AI224"/>
  <c r="AI225"/>
  <c r="AI226"/>
  <c r="AI227"/>
  <c r="AI228"/>
  <c r="AI229"/>
  <c r="AI230"/>
  <c r="AI231"/>
  <c r="AI232"/>
  <c r="AI233"/>
  <c r="AI234"/>
  <c r="AI5"/>
  <c r="AI6"/>
  <c r="AI4"/>
  <c r="AB4"/>
  <c r="AN4" i="11"/>
  <c r="AN5"/>
  <c r="AN6"/>
  <c r="AN7"/>
  <c r="AN8"/>
  <c r="AN9"/>
  <c r="AN10"/>
  <c r="AN11"/>
  <c r="AN12"/>
  <c r="AN13"/>
  <c r="AN14"/>
  <c r="AN15"/>
  <c r="AN16"/>
  <c r="AN17"/>
  <c r="AN18"/>
  <c r="AN19"/>
  <c r="AN20"/>
  <c r="AN21"/>
  <c r="AN22"/>
  <c r="AN23"/>
  <c r="AN24"/>
  <c r="AN25"/>
  <c r="AN26"/>
  <c r="AN27"/>
  <c r="AN28"/>
  <c r="AN29"/>
  <c r="AN30"/>
  <c r="AN31"/>
  <c r="AN32"/>
  <c r="AN33"/>
  <c r="AN34"/>
  <c r="AN35"/>
  <c r="AN36"/>
  <c r="AN37"/>
  <c r="AN38"/>
  <c r="AN39"/>
  <c r="AN40"/>
  <c r="AN41"/>
  <c r="AN42"/>
  <c r="AN43"/>
  <c r="AN44"/>
  <c r="AN45"/>
  <c r="AN46"/>
  <c r="AN47"/>
  <c r="AN48"/>
  <c r="AN49"/>
  <c r="AN50"/>
  <c r="AN51"/>
  <c r="AN52"/>
  <c r="AN53"/>
  <c r="AN54"/>
  <c r="AN55"/>
  <c r="AN56"/>
  <c r="AN57"/>
  <c r="AN58"/>
  <c r="AN59"/>
  <c r="AN60"/>
  <c r="AN61"/>
  <c r="AN62"/>
  <c r="AN63"/>
  <c r="AN64"/>
  <c r="AN65"/>
  <c r="AN66"/>
  <c r="AN67"/>
  <c r="AN68"/>
  <c r="AN69"/>
  <c r="AN70"/>
  <c r="AN71"/>
  <c r="AN72"/>
  <c r="AN73"/>
  <c r="AN74"/>
  <c r="AN75"/>
  <c r="AN76"/>
  <c r="AN77"/>
  <c r="AN78"/>
  <c r="AN79"/>
  <c r="AN80"/>
  <c r="AN81"/>
  <c r="AN82"/>
  <c r="AN83"/>
  <c r="AN84"/>
  <c r="AN85"/>
  <c r="AN86"/>
  <c r="AN87"/>
  <c r="AN88"/>
  <c r="AN89"/>
  <c r="AN90"/>
  <c r="AN91"/>
  <c r="AN92"/>
  <c r="AN93"/>
  <c r="AN94"/>
  <c r="AN95"/>
  <c r="AN96"/>
  <c r="AN97"/>
  <c r="AN98"/>
  <c r="AN99"/>
  <c r="AN100"/>
  <c r="AN101"/>
  <c r="AN102"/>
  <c r="AN103"/>
  <c r="AN104"/>
  <c r="AN105"/>
  <c r="AN106"/>
  <c r="AN107"/>
  <c r="AN108"/>
  <c r="AN109"/>
  <c r="AN110"/>
  <c r="AN111"/>
  <c r="AN112"/>
  <c r="AN113"/>
  <c r="AN114"/>
  <c r="AN115"/>
  <c r="AN116"/>
  <c r="AN117"/>
  <c r="AN118"/>
  <c r="AN119"/>
  <c r="AN120"/>
  <c r="AN121"/>
  <c r="AN122"/>
  <c r="AN123"/>
  <c r="AN124"/>
  <c r="AN125"/>
  <c r="AN126"/>
  <c r="AN127"/>
  <c r="AN128"/>
  <c r="AN129"/>
  <c r="AN130"/>
  <c r="AN131"/>
  <c r="AN132"/>
  <c r="AN133"/>
  <c r="AN134"/>
  <c r="AN135"/>
  <c r="AN136"/>
  <c r="AN137"/>
  <c r="AN138"/>
  <c r="AN139"/>
  <c r="AN140"/>
  <c r="AN141"/>
  <c r="AN142"/>
  <c r="AN143"/>
  <c r="AN144"/>
  <c r="AN145"/>
  <c r="AN146"/>
  <c r="AN147"/>
  <c r="AN148"/>
  <c r="AN149"/>
  <c r="AN150"/>
  <c r="AN151"/>
  <c r="AN152"/>
  <c r="AN153"/>
  <c r="AN154"/>
  <c r="AN155"/>
  <c r="AN156"/>
  <c r="AN157"/>
  <c r="AN158"/>
  <c r="AN159"/>
  <c r="AN160"/>
  <c r="AN161"/>
  <c r="AN162"/>
  <c r="AN163"/>
  <c r="AN164"/>
  <c r="AN165"/>
  <c r="AN166"/>
  <c r="AN167"/>
  <c r="AN168"/>
  <c r="AN169"/>
  <c r="AN170"/>
  <c r="AN171"/>
  <c r="AN172"/>
  <c r="AN173"/>
  <c r="AN174"/>
  <c r="AN175"/>
  <c r="AN176"/>
  <c r="AN177"/>
  <c r="AN178"/>
  <c r="AN179"/>
  <c r="AN180"/>
  <c r="AN181"/>
  <c r="AN182"/>
  <c r="AN183"/>
  <c r="AN184"/>
  <c r="AN185"/>
  <c r="AN186"/>
  <c r="AN187"/>
  <c r="AN188"/>
  <c r="AN189"/>
  <c r="AN190"/>
  <c r="AN191"/>
  <c r="AN192"/>
  <c r="AN193"/>
  <c r="AN194"/>
  <c r="AN195"/>
  <c r="AN196"/>
  <c r="AN197"/>
  <c r="AN198"/>
  <c r="AN199"/>
  <c r="AN200"/>
  <c r="AN201"/>
  <c r="AN202"/>
  <c r="AN203"/>
  <c r="AN204"/>
  <c r="AN205"/>
  <c r="AN206"/>
  <c r="AN207"/>
  <c r="AN208"/>
  <c r="AN209"/>
  <c r="AN210"/>
  <c r="AN211"/>
  <c r="AN212"/>
  <c r="AN213"/>
  <c r="AN214"/>
  <c r="AN215"/>
  <c r="AN216"/>
  <c r="AN217"/>
  <c r="AN218"/>
  <c r="AN219"/>
  <c r="AN220"/>
  <c r="AN221"/>
  <c r="AN222"/>
  <c r="AN223"/>
  <c r="AN224"/>
  <c r="AN225"/>
  <c r="AN226"/>
  <c r="AN227"/>
  <c r="AN228"/>
  <c r="AN229"/>
  <c r="AN230"/>
  <c r="AN231"/>
  <c r="AN232"/>
  <c r="AN233"/>
  <c r="AN234"/>
  <c r="AN235"/>
  <c r="AN236"/>
  <c r="AN237"/>
  <c r="AN238"/>
  <c r="AN239"/>
  <c r="AN240"/>
  <c r="AN241"/>
  <c r="AN242"/>
  <c r="AN243"/>
  <c r="AN244"/>
  <c r="AN245"/>
  <c r="AN246"/>
  <c r="AN247"/>
  <c r="AN248"/>
  <c r="AN249"/>
  <c r="AN250"/>
  <c r="AN251"/>
  <c r="AN252"/>
  <c r="AN3"/>
  <c r="AB129" i="14"/>
  <c r="AB130"/>
  <c r="AB131"/>
  <c r="AB132"/>
  <c r="AB133"/>
  <c r="AB134"/>
  <c r="AA1"/>
  <c r="AG133" s="1"/>
  <c r="AH133" s="1"/>
  <c r="AK3" i="11"/>
  <c r="AJ3"/>
  <c r="AI3"/>
  <c r="AH3"/>
  <c r="L2" i="33"/>
  <c r="AE1" i="11"/>
  <c r="AG136" s="1"/>
  <c r="AF112"/>
  <c r="AB119" i="14"/>
  <c r="AB120"/>
  <c r="AB121"/>
  <c r="AB122"/>
  <c r="AB123"/>
  <c r="AB124"/>
  <c r="AB125"/>
  <c r="AB126"/>
  <c r="AB128"/>
  <c r="AB135"/>
  <c r="AB137"/>
  <c r="AB138"/>
  <c r="AB139"/>
  <c r="AB140"/>
  <c r="AB141"/>
  <c r="AB142"/>
  <c r="AB143"/>
  <c r="AB144"/>
  <c r="AB145"/>
  <c r="AB146"/>
  <c r="AB147"/>
  <c r="AB148"/>
  <c r="AB149"/>
  <c r="AB150"/>
  <c r="AB151"/>
  <c r="AB152"/>
  <c r="AB153"/>
  <c r="AB154"/>
  <c r="AB155"/>
  <c r="AB156"/>
  <c r="AB157"/>
  <c r="AB158"/>
  <c r="AB159"/>
  <c r="AB160"/>
  <c r="AB161"/>
  <c r="AB162"/>
  <c r="AB163"/>
  <c r="AB164"/>
  <c r="AB165"/>
  <c r="AB166"/>
  <c r="AB167"/>
  <c r="AB168"/>
  <c r="AB169"/>
  <c r="AB170"/>
  <c r="AB171"/>
  <c r="AB172"/>
  <c r="AB173"/>
  <c r="AB174"/>
  <c r="AB175"/>
  <c r="AB176"/>
  <c r="AB177"/>
  <c r="AB178"/>
  <c r="AB179"/>
  <c r="AB180"/>
  <c r="AB181"/>
  <c r="AB182"/>
  <c r="AB183"/>
  <c r="AB184"/>
  <c r="AB185"/>
  <c r="AB186"/>
  <c r="AB187"/>
  <c r="AB188"/>
  <c r="AB189"/>
  <c r="AB190"/>
  <c r="AB191"/>
  <c r="AB192"/>
  <c r="AB193"/>
  <c r="AB194"/>
  <c r="AB195"/>
  <c r="AB196"/>
  <c r="AB197"/>
  <c r="AB198"/>
  <c r="AB199"/>
  <c r="AB200"/>
  <c r="AB201"/>
  <c r="AB202"/>
  <c r="AB203"/>
  <c r="AB204"/>
  <c r="AB205"/>
  <c r="AB206"/>
  <c r="AB207"/>
  <c r="AB208"/>
  <c r="AB209"/>
  <c r="AB210"/>
  <c r="AB211"/>
  <c r="AB212"/>
  <c r="AB213"/>
  <c r="AB214"/>
  <c r="AB215"/>
  <c r="AB216"/>
  <c r="AB217"/>
  <c r="AB218"/>
  <c r="AB219"/>
  <c r="AB220"/>
  <c r="AB221"/>
  <c r="AB222"/>
  <c r="AB223"/>
  <c r="AB224"/>
  <c r="AB225"/>
  <c r="AB226"/>
  <c r="AB227"/>
  <c r="AB228"/>
  <c r="AB229"/>
  <c r="AB230"/>
  <c r="AB231"/>
  <c r="AB232"/>
  <c r="AB233"/>
  <c r="AB234"/>
  <c r="AK110" i="11"/>
  <c r="AK111"/>
  <c r="AK112"/>
  <c r="AK113"/>
  <c r="AK114"/>
  <c r="AK115"/>
  <c r="AK116"/>
  <c r="AK117"/>
  <c r="AK118"/>
  <c r="AK119"/>
  <c r="AK120"/>
  <c r="AK121"/>
  <c r="AK122"/>
  <c r="AK123"/>
  <c r="AK124"/>
  <c r="AK125"/>
  <c r="AK126"/>
  <c r="AK127"/>
  <c r="AK128"/>
  <c r="AK129"/>
  <c r="AK130"/>
  <c r="AK131"/>
  <c r="AK132"/>
  <c r="AK133"/>
  <c r="AK134"/>
  <c r="AK135"/>
  <c r="AK136"/>
  <c r="AK137"/>
  <c r="AK138"/>
  <c r="AK139"/>
  <c r="AK140"/>
  <c r="AK141"/>
  <c r="AK142"/>
  <c r="AK143"/>
  <c r="AK144"/>
  <c r="AK145"/>
  <c r="AK146"/>
  <c r="AK147"/>
  <c r="AK148"/>
  <c r="AK149"/>
  <c r="AK150"/>
  <c r="AK151"/>
  <c r="AK152"/>
  <c r="AK153"/>
  <c r="AK154"/>
  <c r="AK155"/>
  <c r="AK156"/>
  <c r="AK157"/>
  <c r="AK158"/>
  <c r="AK159"/>
  <c r="AK160"/>
  <c r="AK161"/>
  <c r="AK162"/>
  <c r="AK163"/>
  <c r="AK164"/>
  <c r="AK165"/>
  <c r="AK166"/>
  <c r="AK167"/>
  <c r="AK168"/>
  <c r="AK169"/>
  <c r="AK170"/>
  <c r="AK171"/>
  <c r="AK172"/>
  <c r="AK173"/>
  <c r="AK174"/>
  <c r="AK175"/>
  <c r="AK176"/>
  <c r="AK177"/>
  <c r="AK178"/>
  <c r="AK179"/>
  <c r="AK180"/>
  <c r="AK181"/>
  <c r="AK182"/>
  <c r="AK183"/>
  <c r="AK184"/>
  <c r="AK185"/>
  <c r="AK186"/>
  <c r="AK187"/>
  <c r="AK188"/>
  <c r="AK189"/>
  <c r="AK190"/>
  <c r="AK191"/>
  <c r="AK192"/>
  <c r="AK193"/>
  <c r="AK194"/>
  <c r="AK195"/>
  <c r="AK196"/>
  <c r="AK197"/>
  <c r="AK198"/>
  <c r="AK199"/>
  <c r="AK200"/>
  <c r="AK201"/>
  <c r="AK202"/>
  <c r="AK203"/>
  <c r="AK204"/>
  <c r="AK205"/>
  <c r="AK206"/>
  <c r="AK207"/>
  <c r="AK208"/>
  <c r="AK209"/>
  <c r="AK210"/>
  <c r="AK211"/>
  <c r="AK212"/>
  <c r="AK213"/>
  <c r="AK214"/>
  <c r="AK215"/>
  <c r="AK216"/>
  <c r="AK217"/>
  <c r="AK218"/>
  <c r="AK219"/>
  <c r="AK220"/>
  <c r="AK221"/>
  <c r="AK222"/>
  <c r="AK223"/>
  <c r="AK224"/>
  <c r="AK225"/>
  <c r="AK226"/>
  <c r="AK227"/>
  <c r="AK228"/>
  <c r="AK229"/>
  <c r="AK230"/>
  <c r="AK231"/>
  <c r="AK232"/>
  <c r="AK233"/>
  <c r="AK234"/>
  <c r="AK235"/>
  <c r="AK236"/>
  <c r="AK237"/>
  <c r="AK238"/>
  <c r="AK239"/>
  <c r="AK240"/>
  <c r="AK241"/>
  <c r="AK242"/>
  <c r="AK243"/>
  <c r="AK244"/>
  <c r="AK245"/>
  <c r="AK246"/>
  <c r="AK247"/>
  <c r="AK248"/>
  <c r="AK249"/>
  <c r="AK250"/>
  <c r="AK251"/>
  <c r="AK252"/>
  <c r="L6" i="35"/>
  <c r="L5"/>
  <c r="L2"/>
  <c r="M7" i="33"/>
  <c r="M6"/>
  <c r="M4"/>
  <c r="M3"/>
  <c r="M2"/>
  <c r="L7"/>
  <c r="L6"/>
  <c r="L5"/>
  <c r="L4"/>
  <c r="L3"/>
  <c r="J7"/>
  <c r="J6"/>
  <c r="J5"/>
  <c r="J4"/>
  <c r="J3"/>
  <c r="J2"/>
  <c r="H7"/>
  <c r="H6"/>
  <c r="H5"/>
  <c r="H4"/>
  <c r="H3"/>
  <c r="H2"/>
  <c r="X112" i="31"/>
  <c r="X93"/>
  <c r="X74"/>
  <c r="X55"/>
  <c r="X36"/>
  <c r="X17"/>
  <c r="X111"/>
  <c r="X92"/>
  <c r="X73"/>
  <c r="X54"/>
  <c r="X35"/>
  <c r="X16"/>
  <c r="X107"/>
  <c r="X88"/>
  <c r="X69"/>
  <c r="X50"/>
  <c r="X31"/>
  <c r="X12"/>
  <c r="AB3" i="14"/>
  <c r="AB5"/>
  <c r="AB6"/>
  <c r="AB2"/>
  <c r="AB7"/>
  <c r="AB8"/>
  <c r="AB9"/>
  <c r="AB10"/>
  <c r="AB11"/>
  <c r="AB12"/>
  <c r="AB13"/>
  <c r="AB14"/>
  <c r="AB15"/>
  <c r="AB16"/>
  <c r="AB17"/>
  <c r="AB18"/>
  <c r="AB19"/>
  <c r="AB20"/>
  <c r="AB21"/>
  <c r="AB22"/>
  <c r="AB23"/>
  <c r="AB24"/>
  <c r="AB25"/>
  <c r="AB26"/>
  <c r="AB27"/>
  <c r="AB28"/>
  <c r="AB29"/>
  <c r="AB30"/>
  <c r="AB31"/>
  <c r="AB32"/>
  <c r="AB33"/>
  <c r="AB34"/>
  <c r="AB35"/>
  <c r="AB36"/>
  <c r="AB37"/>
  <c r="AB38"/>
  <c r="AB39"/>
  <c r="AB40"/>
  <c r="AB41"/>
  <c r="AB42"/>
  <c r="AB43"/>
  <c r="AB44"/>
  <c r="AB45"/>
  <c r="AB46"/>
  <c r="AB47"/>
  <c r="AB48"/>
  <c r="AB49"/>
  <c r="AB50"/>
  <c r="AB51"/>
  <c r="AB52"/>
  <c r="AB53"/>
  <c r="AB54"/>
  <c r="AB55"/>
  <c r="AB56"/>
  <c r="AB57"/>
  <c r="AB58"/>
  <c r="AB59"/>
  <c r="AB60"/>
  <c r="AB61"/>
  <c r="AB62"/>
  <c r="AB63"/>
  <c r="AB64"/>
  <c r="AB65"/>
  <c r="AB66"/>
  <c r="AB67"/>
  <c r="AB68"/>
  <c r="AB69"/>
  <c r="AB70"/>
  <c r="AB71"/>
  <c r="AB72"/>
  <c r="AB73"/>
  <c r="AB74"/>
  <c r="AB75"/>
  <c r="AB76"/>
  <c r="AB77"/>
  <c r="AB78"/>
  <c r="AB79"/>
  <c r="AB80"/>
  <c r="AB81"/>
  <c r="AB82"/>
  <c r="AB83"/>
  <c r="AB84"/>
  <c r="AB85"/>
  <c r="AB86"/>
  <c r="AB87"/>
  <c r="AB88"/>
  <c r="AB89"/>
  <c r="AB90"/>
  <c r="AB91"/>
  <c r="AB92"/>
  <c r="AB93"/>
  <c r="AB94"/>
  <c r="AB95"/>
  <c r="AB96"/>
  <c r="AB97"/>
  <c r="AB98"/>
  <c r="AB99"/>
  <c r="AB100"/>
  <c r="AB101"/>
  <c r="AB102"/>
  <c r="AB103"/>
  <c r="AB104"/>
  <c r="AB105"/>
  <c r="AB106"/>
  <c r="AB107"/>
  <c r="AB108"/>
  <c r="AB109"/>
  <c r="AB110"/>
  <c r="AB111"/>
  <c r="AB112"/>
  <c r="AB113"/>
  <c r="AB114"/>
  <c r="AB115"/>
  <c r="AB116"/>
  <c r="AB117"/>
  <c r="AB118"/>
  <c r="X104" i="31"/>
  <c r="X85"/>
  <c r="X66"/>
  <c r="X47"/>
  <c r="X28"/>
  <c r="X9"/>
  <c r="AK5" i="11"/>
  <c r="AK6"/>
  <c r="AK7"/>
  <c r="AK8"/>
  <c r="AK9"/>
  <c r="AK10"/>
  <c r="AK11"/>
  <c r="AK12"/>
  <c r="AK13"/>
  <c r="AK14"/>
  <c r="AK15"/>
  <c r="AK16"/>
  <c r="AK17"/>
  <c r="AK18"/>
  <c r="AK19"/>
  <c r="AK20"/>
  <c r="AK21"/>
  <c r="AK22"/>
  <c r="AK23"/>
  <c r="AK24"/>
  <c r="AK25"/>
  <c r="AK26"/>
  <c r="AK27"/>
  <c r="AK28"/>
  <c r="AK29"/>
  <c r="AK30"/>
  <c r="AK31"/>
  <c r="AK32"/>
  <c r="AK33"/>
  <c r="AK34"/>
  <c r="AK35"/>
  <c r="AK36"/>
  <c r="AK37"/>
  <c r="AK38"/>
  <c r="AK39"/>
  <c r="AK40"/>
  <c r="AK41"/>
  <c r="AK42"/>
  <c r="AK43"/>
  <c r="AK44"/>
  <c r="AK45"/>
  <c r="AK46"/>
  <c r="AK47"/>
  <c r="AK48"/>
  <c r="AK49"/>
  <c r="AK50"/>
  <c r="AK51"/>
  <c r="AK52"/>
  <c r="AK53"/>
  <c r="AK54"/>
  <c r="AK55"/>
  <c r="AK56"/>
  <c r="AK57"/>
  <c r="AK58"/>
  <c r="AK59"/>
  <c r="AK60"/>
  <c r="AK61"/>
  <c r="AK62"/>
  <c r="AK63"/>
  <c r="AK64"/>
  <c r="AK65"/>
  <c r="AK66"/>
  <c r="AK67"/>
  <c r="AK68"/>
  <c r="AK69"/>
  <c r="AK70"/>
  <c r="AK71"/>
  <c r="AK72"/>
  <c r="AK73"/>
  <c r="AK74"/>
  <c r="AK75"/>
  <c r="AK76"/>
  <c r="AK77"/>
  <c r="AK78"/>
  <c r="AK79"/>
  <c r="AK80"/>
  <c r="AK81"/>
  <c r="AK82"/>
  <c r="AK83"/>
  <c r="AK84"/>
  <c r="AK85"/>
  <c r="AK86"/>
  <c r="AK87"/>
  <c r="AK88"/>
  <c r="AK89"/>
  <c r="AK90"/>
  <c r="AK91"/>
  <c r="AK92"/>
  <c r="AK93"/>
  <c r="AK94"/>
  <c r="AK95"/>
  <c r="AK96"/>
  <c r="AK97"/>
  <c r="AK98"/>
  <c r="AK99"/>
  <c r="AK100"/>
  <c r="AK101"/>
  <c r="AK102"/>
  <c r="AK103"/>
  <c r="AK104"/>
  <c r="AK105"/>
  <c r="AK106"/>
  <c r="AK107"/>
  <c r="AK108"/>
  <c r="AK109"/>
  <c r="AK4"/>
  <c r="AF109"/>
  <c r="AF108"/>
  <c r="AA2" i="27"/>
  <c r="AA3"/>
  <c r="AA5"/>
  <c r="AA6"/>
  <c r="AA8"/>
  <c r="AA9"/>
  <c r="AA10"/>
  <c r="Y160" i="14"/>
  <c r="Z160" s="1"/>
  <c r="Y163"/>
  <c r="Z163" s="1"/>
  <c r="Y164"/>
  <c r="Z164" s="1"/>
  <c r="Y165"/>
  <c r="Z165" s="1"/>
  <c r="Y166"/>
  <c r="Z166" s="1"/>
  <c r="Y167"/>
  <c r="Z167" s="1"/>
  <c r="Y168"/>
  <c r="Z168" s="1"/>
  <c r="Y169"/>
  <c r="Z169" s="1"/>
  <c r="Y170"/>
  <c r="Z170" s="1"/>
  <c r="Y171"/>
  <c r="Z171" s="1"/>
  <c r="Y172"/>
  <c r="Z172" s="1"/>
  <c r="Y173"/>
  <c r="Z173" s="1"/>
  <c r="Y174"/>
  <c r="Z174" s="1"/>
  <c r="Y175"/>
  <c r="Z175" s="1"/>
  <c r="Y176"/>
  <c r="Z176" s="1"/>
  <c r="Y177"/>
  <c r="Z177" s="1"/>
  <c r="Y178"/>
  <c r="Z178" s="1"/>
  <c r="Y179"/>
  <c r="Z179" s="1"/>
  <c r="Y180"/>
  <c r="Z180" s="1"/>
  <c r="Y181"/>
  <c r="Z181" s="1"/>
  <c r="Y182"/>
  <c r="Z182" s="1"/>
  <c r="Y183"/>
  <c r="Z183" s="1"/>
  <c r="Y184"/>
  <c r="Z184" s="1"/>
  <c r="Y185"/>
  <c r="Z185" s="1"/>
  <c r="Y186"/>
  <c r="Z186" s="1"/>
  <c r="Y187"/>
  <c r="Z187" s="1"/>
  <c r="Y188"/>
  <c r="Z188" s="1"/>
  <c r="Y189"/>
  <c r="Z189" s="1"/>
  <c r="Y190"/>
  <c r="Z190" s="1"/>
  <c r="Y191"/>
  <c r="Z191" s="1"/>
  <c r="Y192"/>
  <c r="Z192" s="1"/>
  <c r="Y193"/>
  <c r="Z193" s="1"/>
  <c r="Y194"/>
  <c r="Z194" s="1"/>
  <c r="Y195"/>
  <c r="Z195" s="1"/>
  <c r="Y196"/>
  <c r="Z196" s="1"/>
  <c r="Y197"/>
  <c r="Z197" s="1"/>
  <c r="Y198"/>
  <c r="Z198" s="1"/>
  <c r="Y199"/>
  <c r="Z199" s="1"/>
  <c r="Y200"/>
  <c r="Z200" s="1"/>
  <c r="Y201"/>
  <c r="Z201" s="1"/>
  <c r="Y202"/>
  <c r="Z202" s="1"/>
  <c r="Y203"/>
  <c r="Z203" s="1"/>
  <c r="Y204"/>
  <c r="Z204" s="1"/>
  <c r="Y205"/>
  <c r="Z205" s="1"/>
  <c r="Y206"/>
  <c r="Z206" s="1"/>
  <c r="Y207"/>
  <c r="Z207" s="1"/>
  <c r="Y208"/>
  <c r="Z208" s="1"/>
  <c r="Y209"/>
  <c r="Z209" s="1"/>
  <c r="Y210"/>
  <c r="Z210" s="1"/>
  <c r="Y211"/>
  <c r="Z211" s="1"/>
  <c r="Y212"/>
  <c r="Z212" s="1"/>
  <c r="Y213"/>
  <c r="Z213" s="1"/>
  <c r="Y214"/>
  <c r="Z214" s="1"/>
  <c r="Y215"/>
  <c r="Z215" s="1"/>
  <c r="Y216"/>
  <c r="Z216" s="1"/>
  <c r="Y217"/>
  <c r="Z217" s="1"/>
  <c r="Y218"/>
  <c r="Z218" s="1"/>
  <c r="Y219"/>
  <c r="Z219" s="1"/>
  <c r="Y220"/>
  <c r="Z220" s="1"/>
  <c r="Y221"/>
  <c r="Z221" s="1"/>
  <c r="Y222"/>
  <c r="Z222" s="1"/>
  <c r="Y223"/>
  <c r="Z223" s="1"/>
  <c r="Y224"/>
  <c r="Z224" s="1"/>
  <c r="Y225"/>
  <c r="Z225" s="1"/>
  <c r="Y226"/>
  <c r="Z226" s="1"/>
  <c r="Y227"/>
  <c r="Z227" s="1"/>
  <c r="Y228"/>
  <c r="Z228" s="1"/>
  <c r="Y229"/>
  <c r="Z229" s="1"/>
  <c r="Y230"/>
  <c r="Z230" s="1"/>
  <c r="Y231"/>
  <c r="Z231" s="1"/>
  <c r="Y232"/>
  <c r="Z232" s="1"/>
  <c r="Y233"/>
  <c r="Z233" s="1"/>
  <c r="Y234"/>
  <c r="Z234" s="1"/>
  <c r="AG252" i="11"/>
  <c r="AG251"/>
  <c r="AG250"/>
  <c r="AG249"/>
  <c r="AG248"/>
  <c r="AG247"/>
  <c r="AG246"/>
  <c r="AG245"/>
  <c r="AG244"/>
  <c r="AG243"/>
  <c r="AG242"/>
  <c r="AG241"/>
  <c r="AG240"/>
  <c r="AG239"/>
  <c r="AG238"/>
  <c r="AG237"/>
  <c r="AG236"/>
  <c r="AG235"/>
  <c r="AG234"/>
  <c r="AG233"/>
  <c r="AG232"/>
  <c r="AG231"/>
  <c r="AG230"/>
  <c r="AG229"/>
  <c r="AG228"/>
  <c r="AG227"/>
  <c r="AG226"/>
  <c r="AG225"/>
  <c r="AG224"/>
  <c r="AG223"/>
  <c r="AG222"/>
  <c r="AG221"/>
  <c r="AG220"/>
  <c r="AG219"/>
  <c r="AG218"/>
  <c r="AG217"/>
  <c r="AG216"/>
  <c r="AG215"/>
  <c r="AG214"/>
  <c r="AG213"/>
  <c r="AG212"/>
  <c r="AG211"/>
  <c r="AG210"/>
  <c r="AG209"/>
  <c r="AG208"/>
  <c r="AG207"/>
  <c r="AG206"/>
  <c r="AG205"/>
  <c r="AG204"/>
  <c r="AG203"/>
  <c r="AG202"/>
  <c r="AG201"/>
  <c r="AG200"/>
  <c r="AG199"/>
  <c r="AG198"/>
  <c r="AG197"/>
  <c r="AG196"/>
  <c r="AG195"/>
  <c r="AG194"/>
  <c r="AG193"/>
  <c r="AG192"/>
  <c r="AG191"/>
  <c r="AG190"/>
  <c r="AG189"/>
  <c r="AG188"/>
  <c r="AG187"/>
  <c r="AG186"/>
  <c r="AG185"/>
  <c r="AG184"/>
  <c r="AG183"/>
  <c r="AG182"/>
  <c r="AG181"/>
  <c r="AG180"/>
  <c r="AG179"/>
  <c r="AG178"/>
  <c r="AG177"/>
  <c r="AG176"/>
  <c r="AG175"/>
  <c r="AG174"/>
  <c r="AG173"/>
  <c r="AG172"/>
  <c r="AG171"/>
  <c r="AG170"/>
  <c r="AG169"/>
  <c r="AG168"/>
  <c r="AG167"/>
  <c r="AG166"/>
  <c r="AG165"/>
  <c r="AG164"/>
  <c r="AG163"/>
  <c r="AG162"/>
  <c r="AG161"/>
  <c r="AG160"/>
  <c r="AG159"/>
  <c r="AG158"/>
  <c r="AG157"/>
  <c r="AG156"/>
  <c r="AG155"/>
  <c r="AG154"/>
  <c r="AG153"/>
  <c r="AG152"/>
  <c r="AG151"/>
  <c r="AG150"/>
  <c r="AG149"/>
  <c r="AG148"/>
  <c r="AG147"/>
  <c r="AG146"/>
  <c r="AG145"/>
  <c r="AG144"/>
  <c r="AG119"/>
  <c r="AG112"/>
  <c r="AG94"/>
  <c r="AG79"/>
  <c r="AG73"/>
  <c r="AG56"/>
  <c r="AG47"/>
  <c r="AG44"/>
  <c r="AG42"/>
  <c r="AG37"/>
  <c r="AG32"/>
  <c r="AG31"/>
  <c r="AG15"/>
  <c r="AG12"/>
  <c r="AF3"/>
  <c r="AF252"/>
  <c r="AF251"/>
  <c r="AF250"/>
  <c r="AF249"/>
  <c r="AF248"/>
  <c r="AF247"/>
  <c r="AF246"/>
  <c r="AF245"/>
  <c r="AF244"/>
  <c r="AF243"/>
  <c r="AF242"/>
  <c r="AF241"/>
  <c r="AF240"/>
  <c r="AF239"/>
  <c r="AF238"/>
  <c r="AF237"/>
  <c r="AF236"/>
  <c r="AF235"/>
  <c r="AF234"/>
  <c r="AF233"/>
  <c r="AF232"/>
  <c r="AF231"/>
  <c r="AF230"/>
  <c r="AF229"/>
  <c r="AF228"/>
  <c r="AF227"/>
  <c r="AF226"/>
  <c r="AF225"/>
  <c r="AF224"/>
  <c r="AF223"/>
  <c r="AF222"/>
  <c r="AF221"/>
  <c r="AF220"/>
  <c r="AF219"/>
  <c r="AF218"/>
  <c r="AF217"/>
  <c r="AF216"/>
  <c r="AF215"/>
  <c r="AF214"/>
  <c r="AF213"/>
  <c r="AF212"/>
  <c r="AF211"/>
  <c r="AF210"/>
  <c r="AF209"/>
  <c r="AF208"/>
  <c r="AF207"/>
  <c r="AF206"/>
  <c r="AF205"/>
  <c r="AF204"/>
  <c r="AF203"/>
  <c r="AF202"/>
  <c r="AF201"/>
  <c r="AF200"/>
  <c r="AF199"/>
  <c r="AF198"/>
  <c r="AF197"/>
  <c r="AF196"/>
  <c r="AF195"/>
  <c r="AF194"/>
  <c r="AF193"/>
  <c r="AF192"/>
  <c r="AF191"/>
  <c r="AF190"/>
  <c r="AF189"/>
  <c r="AF188"/>
  <c r="AF187"/>
  <c r="AF186"/>
  <c r="AF185"/>
  <c r="AF184"/>
  <c r="AF183"/>
  <c r="AF182"/>
  <c r="AF181"/>
  <c r="AF180"/>
  <c r="AF179"/>
  <c r="AF178"/>
  <c r="AF177"/>
  <c r="AF176"/>
  <c r="AF175"/>
  <c r="AF174"/>
  <c r="AF173"/>
  <c r="AF172"/>
  <c r="AF171"/>
  <c r="AF170"/>
  <c r="AF169"/>
  <c r="AF168"/>
  <c r="AF167"/>
  <c r="AF166"/>
  <c r="AF165"/>
  <c r="AF164"/>
  <c r="AF163"/>
  <c r="AF162"/>
  <c r="AF161"/>
  <c r="AF160"/>
  <c r="AF159"/>
  <c r="AF158"/>
  <c r="AF157"/>
  <c r="AF156"/>
  <c r="AF155"/>
  <c r="AF154"/>
  <c r="AF153"/>
  <c r="AF152"/>
  <c r="AF151"/>
  <c r="AF150"/>
  <c r="AF149"/>
  <c r="AF148"/>
  <c r="AF147"/>
  <c r="AF146"/>
  <c r="AF145"/>
  <c r="AF144"/>
  <c r="AF143"/>
  <c r="AF142"/>
  <c r="AF141"/>
  <c r="AF140"/>
  <c r="AF139"/>
  <c r="AF138"/>
  <c r="AF137"/>
  <c r="AF136"/>
  <c r="AF135"/>
  <c r="AF134"/>
  <c r="AF133"/>
  <c r="AF132"/>
  <c r="AF131"/>
  <c r="AF130"/>
  <c r="AF129"/>
  <c r="AF128"/>
  <c r="AF127"/>
  <c r="AF126"/>
  <c r="AF125"/>
  <c r="AF124"/>
  <c r="AF123"/>
  <c r="AF122"/>
  <c r="AF121"/>
  <c r="AF120"/>
  <c r="AF119"/>
  <c r="AF118"/>
  <c r="AF117"/>
  <c r="AF116"/>
  <c r="AF111"/>
  <c r="AF110"/>
  <c r="AF115"/>
  <c r="AF114"/>
  <c r="AF113"/>
  <c r="AF107"/>
  <c r="AF106"/>
  <c r="AF105"/>
  <c r="AF104"/>
  <c r="AF103"/>
  <c r="AF102"/>
  <c r="AF101"/>
  <c r="AF100"/>
  <c r="AF99"/>
  <c r="AF98"/>
  <c r="AF97"/>
  <c r="AF96"/>
  <c r="AF95"/>
  <c r="AF94"/>
  <c r="AF93"/>
  <c r="AF92"/>
  <c r="AF91"/>
  <c r="AF90"/>
  <c r="AF89"/>
  <c r="AF88"/>
  <c r="AF87"/>
  <c r="AF86"/>
  <c r="AF85"/>
  <c r="AF84"/>
  <c r="AF83"/>
  <c r="AF82"/>
  <c r="AF81"/>
  <c r="AF80"/>
  <c r="AF79"/>
  <c r="AF78"/>
  <c r="AF77"/>
  <c r="AF76"/>
  <c r="AF75"/>
  <c r="AF74"/>
  <c r="AF73"/>
  <c r="AF72"/>
  <c r="AF71"/>
  <c r="AF70"/>
  <c r="AF69"/>
  <c r="AF68"/>
  <c r="AF67"/>
  <c r="AF66"/>
  <c r="AF65"/>
  <c r="AF64"/>
  <c r="AF63"/>
  <c r="AF62"/>
  <c r="AF61"/>
  <c r="AF60"/>
  <c r="AF59"/>
  <c r="AF58"/>
  <c r="AF57"/>
  <c r="AF56"/>
  <c r="AF55"/>
  <c r="AF54"/>
  <c r="AF53"/>
  <c r="AF52"/>
  <c r="AF51"/>
  <c r="AF50"/>
  <c r="AF49"/>
  <c r="AF48"/>
  <c r="AF47"/>
  <c r="AF46"/>
  <c r="AF45"/>
  <c r="AF44"/>
  <c r="AF43"/>
  <c r="AF42"/>
  <c r="AF41"/>
  <c r="AF40"/>
  <c r="AF39"/>
  <c r="AF38"/>
  <c r="AF37"/>
  <c r="AF36"/>
  <c r="AF35"/>
  <c r="AF34"/>
  <c r="AF33"/>
  <c r="AF32"/>
  <c r="AF31"/>
  <c r="AF30"/>
  <c r="AF29"/>
  <c r="AF28"/>
  <c r="AF27"/>
  <c r="AF26"/>
  <c r="AF25"/>
  <c r="AF24"/>
  <c r="AF23"/>
  <c r="AF22"/>
  <c r="AF21"/>
  <c r="AF20"/>
  <c r="AF19"/>
  <c r="AF18"/>
  <c r="AF17"/>
  <c r="AF16"/>
  <c r="AF15"/>
  <c r="AF14"/>
  <c r="AF13"/>
  <c r="AF12"/>
  <c r="AF11"/>
  <c r="AF10"/>
  <c r="AF9"/>
  <c r="AF8"/>
  <c r="AF7"/>
  <c r="AF6"/>
  <c r="AF5"/>
  <c r="AF4"/>
  <c r="AF2"/>
  <c r="B44" i="27"/>
  <c r="AG92" i="11"/>
  <c r="AG102"/>
  <c r="AG86"/>
  <c r="AG95"/>
  <c r="AG70"/>
  <c r="AG26"/>
  <c r="AG28"/>
  <c r="AG24"/>
  <c r="AG101"/>
  <c r="AG49"/>
  <c r="AG89"/>
  <c r="AG48"/>
  <c r="AG80"/>
  <c r="AG50"/>
  <c r="AG10"/>
  <c r="AG127"/>
  <c r="AG129"/>
  <c r="AG128"/>
  <c r="AG71"/>
  <c r="AG51"/>
  <c r="AG22"/>
  <c r="AG84"/>
  <c r="AG52"/>
  <c r="AG125"/>
  <c r="AG126"/>
  <c r="AG14"/>
  <c r="AG69"/>
  <c r="AG13"/>
  <c r="AG75"/>
  <c r="AG118"/>
  <c r="AG85"/>
  <c r="AG107"/>
  <c r="AG45"/>
  <c r="AG114"/>
  <c r="AG88"/>
  <c r="AG9"/>
  <c r="AG27"/>
  <c r="AG106"/>
  <c r="AG11"/>
  <c r="AG53"/>
  <c r="AG57"/>
  <c r="AG29"/>
  <c r="AG39"/>
  <c r="AG25"/>
  <c r="AG76"/>
  <c r="AG4"/>
  <c r="AG17"/>
  <c r="AG91"/>
  <c r="AG5"/>
  <c r="AG104"/>
  <c r="AG108"/>
  <c r="AG46"/>
  <c r="AG74"/>
  <c r="AG83"/>
  <c r="AG105"/>
  <c r="AG110"/>
  <c r="AG116"/>
  <c r="AG43"/>
  <c r="Y137" i="14"/>
  <c r="Z137" s="1"/>
  <c r="Y117"/>
  <c r="Z117" s="1"/>
  <c r="G7" i="33"/>
  <c r="X110" i="31"/>
  <c r="X109"/>
  <c r="F7" i="33"/>
  <c r="X106" i="31"/>
  <c r="X108"/>
  <c r="Y161" i="14"/>
  <c r="Z161" s="1"/>
  <c r="Y159"/>
  <c r="Z159" s="1"/>
  <c r="Y153"/>
  <c r="Z153" s="1"/>
  <c r="Y154"/>
  <c r="Z154" s="1"/>
  <c r="Y157"/>
  <c r="Z157" s="1"/>
  <c r="Y5"/>
  <c r="Z5" s="1"/>
  <c r="Y142"/>
  <c r="Z142" s="1"/>
  <c r="Y146"/>
  <c r="Z146" s="1"/>
  <c r="Y33"/>
  <c r="Z33" s="1"/>
  <c r="X10" i="31"/>
  <c r="Y100" i="14"/>
  <c r="Z100" s="1"/>
  <c r="Y53"/>
  <c r="Z53" s="1"/>
  <c r="Y16"/>
  <c r="Z16" s="1"/>
  <c r="Y88"/>
  <c r="Z88" s="1"/>
  <c r="Y149"/>
  <c r="Z149" s="1"/>
  <c r="Y115"/>
  <c r="Z115" s="1"/>
  <c r="Y147"/>
  <c r="Z147" s="1"/>
  <c r="Y56"/>
  <c r="Z56" s="1"/>
  <c r="Y138"/>
  <c r="Z138" s="1"/>
  <c r="Y102"/>
  <c r="Z102" s="1"/>
  <c r="X48" i="31"/>
  <c r="X105"/>
  <c r="X29"/>
  <c r="AG115" i="11"/>
  <c r="Y93" i="14"/>
  <c r="Z93" s="1"/>
  <c r="Y17"/>
  <c r="Z17" s="1"/>
  <c r="Y124"/>
  <c r="Z124" s="1"/>
  <c r="AG143" i="11" l="1"/>
  <c r="AG132"/>
  <c r="P125" i="32"/>
  <c r="AL141" i="11"/>
  <c r="AM141" s="1"/>
  <c r="P76" i="6"/>
  <c r="AG21" i="11"/>
  <c r="X67" i="31"/>
  <c r="P207" i="32"/>
  <c r="X86" i="31"/>
  <c r="AG36" i="11"/>
  <c r="AE7"/>
  <c r="AH7" s="1"/>
  <c r="AL237"/>
  <c r="AM237" s="1"/>
  <c r="AL66"/>
  <c r="AM66" s="1"/>
  <c r="AE107"/>
  <c r="AI107" s="1"/>
  <c r="AL128"/>
  <c r="AM128" s="1"/>
  <c r="AL33"/>
  <c r="AM33" s="1"/>
  <c r="AL137"/>
  <c r="AM137" s="1"/>
  <c r="AE93"/>
  <c r="AJ93" s="1"/>
  <c r="AL79"/>
  <c r="AM79" s="1"/>
  <c r="AE35"/>
  <c r="AI35" s="1"/>
  <c r="AL92"/>
  <c r="AM92" s="1"/>
  <c r="AL91"/>
  <c r="AM91" s="1"/>
  <c r="AL45"/>
  <c r="AM45" s="1"/>
  <c r="AL93"/>
  <c r="AM93" s="1"/>
  <c r="AL215"/>
  <c r="AM215" s="1"/>
  <c r="AG130"/>
  <c r="AG141"/>
  <c r="AG77"/>
  <c r="AE27"/>
  <c r="AJ27" s="1"/>
  <c r="AL238"/>
  <c r="AM238" s="1"/>
  <c r="AE222"/>
  <c r="AI222" s="1"/>
  <c r="AG109"/>
  <c r="AL223"/>
  <c r="AM223" s="1"/>
  <c r="AE78"/>
  <c r="AH78" s="1"/>
  <c r="AL3"/>
  <c r="AM3" s="1"/>
  <c r="AE182"/>
  <c r="AH182" s="1"/>
  <c r="AG140"/>
  <c r="AE164"/>
  <c r="AI164" s="1"/>
  <c r="AL178"/>
  <c r="AM178" s="1"/>
  <c r="AE117"/>
  <c r="AH117" s="1"/>
  <c r="AG2"/>
  <c r="AL235"/>
  <c r="AM235" s="1"/>
  <c r="AE38"/>
  <c r="AJ38" s="1"/>
  <c r="AG139"/>
  <c r="Y22" i="14"/>
  <c r="Z22" s="1"/>
  <c r="AG142" i="11"/>
  <c r="Y75" i="14"/>
  <c r="Z75" s="1"/>
  <c r="Y51"/>
  <c r="Z51" s="1"/>
  <c r="Y150"/>
  <c r="Z150" s="1"/>
  <c r="Y52"/>
  <c r="Z52" s="1"/>
  <c r="AG134"/>
  <c r="AH134" s="1"/>
  <c r="AC182"/>
  <c r="AE182" s="1"/>
  <c r="Y80"/>
  <c r="Z80" s="1"/>
  <c r="AG7"/>
  <c r="AH7" s="1"/>
  <c r="AG43"/>
  <c r="AH43" s="1"/>
  <c r="Y95"/>
  <c r="Z95" s="1"/>
  <c r="AC92"/>
  <c r="AF92" s="1"/>
  <c r="AG114"/>
  <c r="AH114" s="1"/>
  <c r="AC223"/>
  <c r="AD223" s="1"/>
  <c r="AG190"/>
  <c r="AH190" s="1"/>
  <c r="AC112"/>
  <c r="AF112" s="1"/>
  <c r="AC114"/>
  <c r="AD114" s="1"/>
  <c r="P37" i="6"/>
  <c r="P82" i="32"/>
  <c r="P168"/>
  <c r="P40"/>
  <c r="P210"/>
  <c r="P79"/>
  <c r="P18"/>
  <c r="P146"/>
  <c r="P61"/>
  <c r="P189"/>
  <c r="P104"/>
  <c r="P15"/>
  <c r="P143"/>
  <c r="P114"/>
  <c r="P29"/>
  <c r="P157"/>
  <c r="P72"/>
  <c r="P200"/>
  <c r="P111"/>
  <c r="P50"/>
  <c r="P178"/>
  <c r="P93"/>
  <c r="P8"/>
  <c r="P136"/>
  <c r="P47"/>
  <c r="P175"/>
  <c r="Y134" i="14"/>
  <c r="Z134" s="1"/>
  <c r="AG4"/>
  <c r="AH4" s="1"/>
  <c r="AC177"/>
  <c r="AF177" s="1"/>
  <c r="AG118"/>
  <c r="AH118" s="1"/>
  <c r="Y42"/>
  <c r="Z42" s="1"/>
  <c r="AG62"/>
  <c r="AH62" s="1"/>
  <c r="Y74"/>
  <c r="Z74" s="1"/>
  <c r="Y29"/>
  <c r="Z29" s="1"/>
  <c r="AC204"/>
  <c r="AD204" s="1"/>
  <c r="AC7"/>
  <c r="AF7" s="1"/>
  <c r="AC29"/>
  <c r="AD29" s="1"/>
  <c r="Y139"/>
  <c r="Z139" s="1"/>
  <c r="AG81"/>
  <c r="AH81" s="1"/>
  <c r="AG140"/>
  <c r="AH140" s="1"/>
  <c r="AG181"/>
  <c r="AH181" s="1"/>
  <c r="AG90"/>
  <c r="AH90" s="1"/>
  <c r="AC218"/>
  <c r="AD218" s="1"/>
  <c r="AC131"/>
  <c r="AF131" s="1"/>
  <c r="Y50"/>
  <c r="Z50" s="1"/>
  <c r="AC118"/>
  <c r="AF118" s="1"/>
  <c r="AG183"/>
  <c r="AH183" s="1"/>
  <c r="Y31"/>
  <c r="Z31" s="1"/>
  <c r="Y30"/>
  <c r="Z30" s="1"/>
  <c r="AC46"/>
  <c r="AE46" s="1"/>
  <c r="Y14"/>
  <c r="Z14" s="1"/>
  <c r="AG27"/>
  <c r="AH27" s="1"/>
  <c r="Y38"/>
  <c r="Z38" s="1"/>
  <c r="AG177"/>
  <c r="AH177" s="1"/>
  <c r="Y25"/>
  <c r="Z25" s="1"/>
  <c r="AC20"/>
  <c r="AE20" s="1"/>
  <c r="AC87"/>
  <c r="AE87" s="1"/>
  <c r="AG117"/>
  <c r="AH117" s="1"/>
  <c r="AC133"/>
  <c r="AE133" s="1"/>
  <c r="Y99"/>
  <c r="Z99" s="1"/>
  <c r="AG223"/>
  <c r="AH223" s="1"/>
  <c r="AC152"/>
  <c r="AF152" s="1"/>
  <c r="AC22"/>
  <c r="AE22" s="1"/>
  <c r="Y107"/>
  <c r="Z107" s="1"/>
  <c r="AG196"/>
  <c r="AH196" s="1"/>
  <c r="Y26"/>
  <c r="Z26" s="1"/>
  <c r="AC161"/>
  <c r="AD161" s="1"/>
  <c r="AG163"/>
  <c r="AH163" s="1"/>
  <c r="AC213"/>
  <c r="AE213" s="1"/>
  <c r="AG54"/>
  <c r="AH54" s="1"/>
  <c r="AG19"/>
  <c r="AH19" s="1"/>
  <c r="AE96" i="11"/>
  <c r="AH96" s="1"/>
  <c r="AL241"/>
  <c r="AM241" s="1"/>
  <c r="AL225"/>
  <c r="AM225" s="1"/>
  <c r="AE92"/>
  <c r="AJ92" s="1"/>
  <c r="AG100"/>
  <c r="AE108"/>
  <c r="AH108" s="1"/>
  <c r="AG96"/>
  <c r="AE229"/>
  <c r="AJ229" s="1"/>
  <c r="AE238"/>
  <c r="AH238" s="1"/>
  <c r="AE90"/>
  <c r="AI90" s="1"/>
  <c r="AL102"/>
  <c r="AM102" s="1"/>
  <c r="AE110"/>
  <c r="AH110" s="1"/>
  <c r="AE97"/>
  <c r="AJ97" s="1"/>
  <c r="AG33"/>
  <c r="AE83"/>
  <c r="AI83" s="1"/>
  <c r="AL40"/>
  <c r="AM40" s="1"/>
  <c r="AE227"/>
  <c r="AH227" s="1"/>
  <c r="AE112"/>
  <c r="AH112" s="1"/>
  <c r="AL156"/>
  <c r="AM156" s="1"/>
  <c r="AL30"/>
  <c r="AM30" s="1"/>
  <c r="C3" i="33" s="1"/>
  <c r="AL114" i="11"/>
  <c r="AM114" s="1"/>
  <c r="AL14"/>
  <c r="AM14" s="1"/>
  <c r="AL121"/>
  <c r="AM121" s="1"/>
  <c r="AE140"/>
  <c r="AI140" s="1"/>
  <c r="AL73"/>
  <c r="AM73" s="1"/>
  <c r="AL232"/>
  <c r="AM232" s="1"/>
  <c r="AE159"/>
  <c r="AJ159" s="1"/>
  <c r="AE149"/>
  <c r="AJ149" s="1"/>
  <c r="AL155"/>
  <c r="AM155" s="1"/>
  <c r="AE113"/>
  <c r="AJ113" s="1"/>
  <c r="AE165"/>
  <c r="AH165" s="1"/>
  <c r="AL160"/>
  <c r="AM160" s="1"/>
  <c r="AE230"/>
  <c r="AJ230" s="1"/>
  <c r="AE127"/>
  <c r="AJ127" s="1"/>
  <c r="AE170"/>
  <c r="AI170" s="1"/>
  <c r="AE29"/>
  <c r="AI29" s="1"/>
  <c r="AL24"/>
  <c r="AM24" s="1"/>
  <c r="AL16"/>
  <c r="AM16" s="1"/>
  <c r="AE176"/>
  <c r="AH176" s="1"/>
  <c r="AG99"/>
  <c r="AG122"/>
  <c r="AE166"/>
  <c r="AJ166" s="1"/>
  <c r="AL179"/>
  <c r="AM179" s="1"/>
  <c r="AE73"/>
  <c r="AJ73" s="1"/>
  <c r="AE134"/>
  <c r="AI134" s="1"/>
  <c r="AL106"/>
  <c r="AM106" s="1"/>
  <c r="AL159"/>
  <c r="AM159" s="1"/>
  <c r="AL188"/>
  <c r="AM188" s="1"/>
  <c r="AE216"/>
  <c r="AH216" s="1"/>
  <c r="AE207"/>
  <c r="AJ207" s="1"/>
  <c r="AE248"/>
  <c r="AH248" s="1"/>
  <c r="AL231"/>
  <c r="AM231" s="1"/>
  <c r="AL213"/>
  <c r="AM213" s="1"/>
  <c r="AL41"/>
  <c r="AM41" s="1"/>
  <c r="AE121"/>
  <c r="AI121" s="1"/>
  <c r="AE228"/>
  <c r="AH228" s="1"/>
  <c r="AE234"/>
  <c r="AH234" s="1"/>
  <c r="AG103"/>
  <c r="AG61"/>
  <c r="AL46"/>
  <c r="AM46" s="1"/>
  <c r="AE210"/>
  <c r="AH210" s="1"/>
  <c r="AE211"/>
  <c r="AH211" s="1"/>
  <c r="AG123"/>
  <c r="AL120"/>
  <c r="AM120" s="1"/>
  <c r="AE232"/>
  <c r="AI232" s="1"/>
  <c r="AE13"/>
  <c r="AI13" s="1"/>
  <c r="AL23"/>
  <c r="AM23" s="1"/>
  <c r="AL61"/>
  <c r="AM61" s="1"/>
  <c r="AL59"/>
  <c r="AM59" s="1"/>
  <c r="AE34"/>
  <c r="AI34" s="1"/>
  <c r="AL247"/>
  <c r="AM247" s="1"/>
  <c r="AL170"/>
  <c r="AM170" s="1"/>
  <c r="AE131"/>
  <c r="AH131" s="1"/>
  <c r="AL243"/>
  <c r="AM243" s="1"/>
  <c r="AL164"/>
  <c r="AM164" s="1"/>
  <c r="AG60"/>
  <c r="AE84"/>
  <c r="AJ84" s="1"/>
  <c r="AL199"/>
  <c r="AM199" s="1"/>
  <c r="AG55"/>
  <c r="AG62"/>
  <c r="AL82"/>
  <c r="AM82" s="1"/>
  <c r="AE188"/>
  <c r="AJ188" s="1"/>
  <c r="AL105"/>
  <c r="AM105" s="1"/>
  <c r="AG121"/>
  <c r="AL65"/>
  <c r="AM65" s="1"/>
  <c r="AL48"/>
  <c r="AM48" s="1"/>
  <c r="AG72"/>
  <c r="AL32"/>
  <c r="AM32" s="1"/>
  <c r="AE186"/>
  <c r="AI186" s="1"/>
  <c r="AE105"/>
  <c r="AJ105" s="1"/>
  <c r="AL37"/>
  <c r="AM37" s="1"/>
  <c r="AL203"/>
  <c r="AM203" s="1"/>
  <c r="AE104"/>
  <c r="AI104" s="1"/>
  <c r="AE136"/>
  <c r="AH136" s="1"/>
  <c r="AL158"/>
  <c r="AM158" s="1"/>
  <c r="AL190"/>
  <c r="AM190" s="1"/>
  <c r="AL145"/>
  <c r="AM145" s="1"/>
  <c r="AL252"/>
  <c r="AM252" s="1"/>
  <c r="AL167"/>
  <c r="AM167" s="1"/>
  <c r="AE135"/>
  <c r="AH135" s="1"/>
  <c r="AE219"/>
  <c r="AJ219" s="1"/>
  <c r="AL152"/>
  <c r="AM152" s="1"/>
  <c r="AE87"/>
  <c r="AI87" s="1"/>
  <c r="AL60"/>
  <c r="AM60" s="1"/>
  <c r="AE130"/>
  <c r="AH130" s="1"/>
  <c r="AL100"/>
  <c r="AM100" s="1"/>
  <c r="AE48"/>
  <c r="AH48" s="1"/>
  <c r="P30" i="6"/>
  <c r="P69"/>
  <c r="P15"/>
  <c r="P5"/>
  <c r="P44"/>
  <c r="P79"/>
  <c r="P62"/>
  <c r="P12"/>
  <c r="P47"/>
  <c r="P34" i="32"/>
  <c r="P66"/>
  <c r="P98"/>
  <c r="P130"/>
  <c r="P162"/>
  <c r="P194"/>
  <c r="P13"/>
  <c r="P45"/>
  <c r="P77"/>
  <c r="P109"/>
  <c r="P141"/>
  <c r="P173"/>
  <c r="P205"/>
  <c r="P24"/>
  <c r="P56"/>
  <c r="P88"/>
  <c r="P120"/>
  <c r="P152"/>
  <c r="P184"/>
  <c r="P216"/>
  <c r="P31"/>
  <c r="P63"/>
  <c r="P95"/>
  <c r="P127"/>
  <c r="P159"/>
  <c r="P191"/>
  <c r="P26"/>
  <c r="P58"/>
  <c r="P90"/>
  <c r="P122"/>
  <c r="P154"/>
  <c r="P186"/>
  <c r="P5"/>
  <c r="P37"/>
  <c r="P69"/>
  <c r="P101"/>
  <c r="P133"/>
  <c r="P165"/>
  <c r="P197"/>
  <c r="P16"/>
  <c r="P48"/>
  <c r="P80"/>
  <c r="P112"/>
  <c r="P144"/>
  <c r="P176"/>
  <c r="P208"/>
  <c r="P23"/>
  <c r="P55"/>
  <c r="P87"/>
  <c r="P119"/>
  <c r="P151"/>
  <c r="P183"/>
  <c r="P215"/>
  <c r="P10"/>
  <c r="P42"/>
  <c r="P74"/>
  <c r="P106"/>
  <c r="P138"/>
  <c r="P170"/>
  <c r="P202"/>
  <c r="P21"/>
  <c r="P53"/>
  <c r="P85"/>
  <c r="P117"/>
  <c r="P149"/>
  <c r="P181"/>
  <c r="P213"/>
  <c r="P32"/>
  <c r="P64"/>
  <c r="P96"/>
  <c r="P128"/>
  <c r="P160"/>
  <c r="P192"/>
  <c r="P7"/>
  <c r="P39"/>
  <c r="P71"/>
  <c r="P103"/>
  <c r="P135"/>
  <c r="P167"/>
  <c r="P199"/>
  <c r="AL132" i="11"/>
  <c r="AM132" s="1"/>
  <c r="AL127"/>
  <c r="AM127" s="1"/>
  <c r="AL196"/>
  <c r="AM196" s="1"/>
  <c r="AL248"/>
  <c r="AM248" s="1"/>
  <c r="AL22"/>
  <c r="AM22" s="1"/>
  <c r="AL226"/>
  <c r="AM226" s="1"/>
  <c r="AE115"/>
  <c r="AJ115" s="1"/>
  <c r="AE181"/>
  <c r="AJ181" s="1"/>
  <c r="AE11"/>
  <c r="AJ11" s="1"/>
  <c r="AL113"/>
  <c r="AM113" s="1"/>
  <c r="AL67"/>
  <c r="AM67" s="1"/>
  <c r="AL28"/>
  <c r="AM28" s="1"/>
  <c r="AL94"/>
  <c r="AM94" s="1"/>
  <c r="AL112"/>
  <c r="AM112" s="1"/>
  <c r="AL126"/>
  <c r="AM126" s="1"/>
  <c r="AE195"/>
  <c r="AH195" s="1"/>
  <c r="AE152"/>
  <c r="AI152" s="1"/>
  <c r="AL49"/>
  <c r="AM49" s="1"/>
  <c r="AE88"/>
  <c r="AI88" s="1"/>
  <c r="AL63"/>
  <c r="AM63" s="1"/>
  <c r="AL220"/>
  <c r="AM220" s="1"/>
  <c r="AL228"/>
  <c r="AM228" s="1"/>
  <c r="AE236"/>
  <c r="AI236" s="1"/>
  <c r="AL88"/>
  <c r="AM88" s="1"/>
  <c r="AE75"/>
  <c r="AI75" s="1"/>
  <c r="AE25"/>
  <c r="AI25" s="1"/>
  <c r="AG134"/>
  <c r="AE102"/>
  <c r="AI102" s="1"/>
  <c r="AG18"/>
  <c r="AE99"/>
  <c r="AH99" s="1"/>
  <c r="AE191"/>
  <c r="AI191" s="1"/>
  <c r="AE220"/>
  <c r="AI220" s="1"/>
  <c r="AE37"/>
  <c r="AJ37" s="1"/>
  <c r="AE6"/>
  <c r="AI6" s="1"/>
  <c r="AG131"/>
  <c r="AL4"/>
  <c r="AM4" s="1"/>
  <c r="AE47"/>
  <c r="AJ47" s="1"/>
  <c r="AL87"/>
  <c r="AM87" s="1"/>
  <c r="AL149"/>
  <c r="AM149" s="1"/>
  <c r="AL29"/>
  <c r="AM29" s="1"/>
  <c r="AE184"/>
  <c r="AJ184" s="1"/>
  <c r="AG87"/>
  <c r="AE9"/>
  <c r="AI9" s="1"/>
  <c r="AG16"/>
  <c r="AG3"/>
  <c r="AG81"/>
  <c r="AE226"/>
  <c r="AH226" s="1"/>
  <c r="AE192"/>
  <c r="AJ192" s="1"/>
  <c r="AL85"/>
  <c r="AM85" s="1"/>
  <c r="AE128"/>
  <c r="AJ128" s="1"/>
  <c r="AG30"/>
  <c r="B3" i="33" s="1"/>
  <c r="AL34" i="11"/>
  <c r="AM34" s="1"/>
  <c r="AL74"/>
  <c r="AM74" s="1"/>
  <c r="AG41"/>
  <c r="AE72"/>
  <c r="AI72" s="1"/>
  <c r="AE214"/>
  <c r="AH214" s="1"/>
  <c r="AE160"/>
  <c r="AI160" s="1"/>
  <c r="AE52"/>
  <c r="AI52" s="1"/>
  <c r="AE157"/>
  <c r="AI157" s="1"/>
  <c r="AL39"/>
  <c r="AM39" s="1"/>
  <c r="AG97"/>
  <c r="AL131"/>
  <c r="AM131" s="1"/>
  <c r="AE8"/>
  <c r="AJ8" s="1"/>
  <c r="AL146"/>
  <c r="AM146" s="1"/>
  <c r="AE175"/>
  <c r="AI175" s="1"/>
  <c r="AE138"/>
  <c r="AJ138" s="1"/>
  <c r="AL122"/>
  <c r="AM122" s="1"/>
  <c r="AL118"/>
  <c r="AM118" s="1"/>
  <c r="AL148"/>
  <c r="AM148" s="1"/>
  <c r="AL51"/>
  <c r="AM51" s="1"/>
  <c r="AE53"/>
  <c r="AH53" s="1"/>
  <c r="AL166"/>
  <c r="AM166" s="1"/>
  <c r="AE65"/>
  <c r="AJ65" s="1"/>
  <c r="AE237"/>
  <c r="AI237" s="1"/>
  <c r="AL143"/>
  <c r="AM143" s="1"/>
  <c r="AG68"/>
  <c r="AL50"/>
  <c r="AM50" s="1"/>
  <c r="AL195"/>
  <c r="AM195" s="1"/>
  <c r="AG40"/>
  <c r="AL70"/>
  <c r="AM70" s="1"/>
  <c r="AL19"/>
  <c r="AM19" s="1"/>
  <c r="AL25"/>
  <c r="AM25" s="1"/>
  <c r="AG19"/>
  <c r="AL17"/>
  <c r="AM17" s="1"/>
  <c r="AE42"/>
  <c r="AJ42" s="1"/>
  <c r="AE206"/>
  <c r="AH206" s="1"/>
  <c r="AE156"/>
  <c r="AI156" s="1"/>
  <c r="AL174"/>
  <c r="AM174" s="1"/>
  <c r="AL15"/>
  <c r="AM15" s="1"/>
  <c r="AE43"/>
  <c r="AH43" s="1"/>
  <c r="AL234"/>
  <c r="AM234" s="1"/>
  <c r="AE244"/>
  <c r="AJ244" s="1"/>
  <c r="AL180"/>
  <c r="AM180" s="1"/>
  <c r="AE74"/>
  <c r="AH74" s="1"/>
  <c r="AE251"/>
  <c r="AJ251" s="1"/>
  <c r="AG93"/>
  <c r="AL210"/>
  <c r="AM210" s="1"/>
  <c r="AE200"/>
  <c r="AI200" s="1"/>
  <c r="AE109"/>
  <c r="AH109" s="1"/>
  <c r="AL9"/>
  <c r="AM9" s="1"/>
  <c r="AL204"/>
  <c r="AM204" s="1"/>
  <c r="AL193"/>
  <c r="AM193" s="1"/>
  <c r="AE132"/>
  <c r="AH132" s="1"/>
  <c r="AE122"/>
  <c r="AI122" s="1"/>
  <c r="AE67"/>
  <c r="AJ67" s="1"/>
  <c r="AL111"/>
  <c r="AM111" s="1"/>
  <c r="AE46"/>
  <c r="AJ46" s="1"/>
  <c r="AL54"/>
  <c r="AM54" s="1"/>
  <c r="AG34"/>
  <c r="AE51"/>
  <c r="AJ51" s="1"/>
  <c r="AL125"/>
  <c r="AM125" s="1"/>
  <c r="AE177"/>
  <c r="AI177" s="1"/>
  <c r="AE76"/>
  <c r="AI76" s="1"/>
  <c r="AE247"/>
  <c r="AH247" s="1"/>
  <c r="AL217"/>
  <c r="AM217" s="1"/>
  <c r="AE116"/>
  <c r="AH116" s="1"/>
  <c r="AE147"/>
  <c r="AJ147" s="1"/>
  <c r="AL77"/>
  <c r="AM77" s="1"/>
  <c r="AE231"/>
  <c r="AJ231" s="1"/>
  <c r="AL133"/>
  <c r="AM133" s="1"/>
  <c r="AL151"/>
  <c r="AM151" s="1"/>
  <c r="AE81"/>
  <c r="AJ81" s="1"/>
  <c r="AE193"/>
  <c r="AI193" s="1"/>
  <c r="AL198"/>
  <c r="AM198" s="1"/>
  <c r="AL80"/>
  <c r="AM80" s="1"/>
  <c r="AL165"/>
  <c r="AM165" s="1"/>
  <c r="AE163"/>
  <c r="AH163" s="1"/>
  <c r="AE158"/>
  <c r="AJ158" s="1"/>
  <c r="AE246"/>
  <c r="AI246" s="1"/>
  <c r="AL250"/>
  <c r="AM250" s="1"/>
  <c r="AE18"/>
  <c r="AI18" s="1"/>
  <c r="AE187"/>
  <c r="AJ187" s="1"/>
  <c r="AL53"/>
  <c r="AM53" s="1"/>
  <c r="AE54"/>
  <c r="AI54" s="1"/>
  <c r="AG124"/>
  <c r="AE119"/>
  <c r="AH119" s="1"/>
  <c r="AL182"/>
  <c r="AM182" s="1"/>
  <c r="AE173"/>
  <c r="AH173" s="1"/>
  <c r="AL251"/>
  <c r="AM251" s="1"/>
  <c r="AG38"/>
  <c r="AG59"/>
  <c r="AL96"/>
  <c r="AM96" s="1"/>
  <c r="AE82"/>
  <c r="AI82" s="1"/>
  <c r="AL161"/>
  <c r="AM161" s="1"/>
  <c r="AE250"/>
  <c r="AJ250" s="1"/>
  <c r="AL171"/>
  <c r="AM171" s="1"/>
  <c r="AL38"/>
  <c r="AM38" s="1"/>
  <c r="AE61"/>
  <c r="AI61" s="1"/>
  <c r="AL123"/>
  <c r="AM123" s="1"/>
  <c r="AL89"/>
  <c r="AM89" s="1"/>
  <c r="AE55"/>
  <c r="AH55" s="1"/>
  <c r="AE32"/>
  <c r="AI32" s="1"/>
  <c r="AL5"/>
  <c r="AM5" s="1"/>
  <c r="AE197"/>
  <c r="AI197" s="1"/>
  <c r="AL206"/>
  <c r="AM206" s="1"/>
  <c r="AE155"/>
  <c r="AJ155" s="1"/>
  <c r="AE21"/>
  <c r="AI21" s="1"/>
  <c r="AE174"/>
  <c r="AI174" s="1"/>
  <c r="AE123"/>
  <c r="AI123" s="1"/>
  <c r="AL177"/>
  <c r="AM177" s="1"/>
  <c r="AL233"/>
  <c r="AM233" s="1"/>
  <c r="AE225"/>
  <c r="AI225" s="1"/>
  <c r="AE215"/>
  <c r="AI215" s="1"/>
  <c r="AE199"/>
  <c r="AJ199" s="1"/>
  <c r="AG65"/>
  <c r="AL81"/>
  <c r="AM81" s="1"/>
  <c r="AE24"/>
  <c r="AI24" s="1"/>
  <c r="AG135"/>
  <c r="AL138"/>
  <c r="AM138" s="1"/>
  <c r="AE217"/>
  <c r="AI217" s="1"/>
  <c r="AL201"/>
  <c r="AM201" s="1"/>
  <c r="AL244"/>
  <c r="AM244" s="1"/>
  <c r="AE144"/>
  <c r="AH144" s="1"/>
  <c r="AE5"/>
  <c r="AH5" s="1"/>
  <c r="AE49"/>
  <c r="AJ49" s="1"/>
  <c r="AE69"/>
  <c r="AI69" s="1"/>
  <c r="AL10"/>
  <c r="AM10" s="1"/>
  <c r="AE50"/>
  <c r="AI50" s="1"/>
  <c r="AL72"/>
  <c r="AM72" s="1"/>
  <c r="AL230"/>
  <c r="AM230" s="1"/>
  <c r="AG6"/>
  <c r="AE71"/>
  <c r="AI71" s="1"/>
  <c r="AE212"/>
  <c r="AI212" s="1"/>
  <c r="AG67"/>
  <c r="AL12"/>
  <c r="AM12" s="1"/>
  <c r="AG90"/>
  <c r="AG7"/>
  <c r="AL183"/>
  <c r="AM183" s="1"/>
  <c r="AL6"/>
  <c r="AM6" s="1"/>
  <c r="AG54"/>
  <c r="AL173"/>
  <c r="AM173" s="1"/>
  <c r="AE31"/>
  <c r="AJ31" s="1"/>
  <c r="AG20"/>
  <c r="AL20"/>
  <c r="AM20" s="1"/>
  <c r="AG35"/>
  <c r="AL181"/>
  <c r="AM181" s="1"/>
  <c r="AL246"/>
  <c r="AM246" s="1"/>
  <c r="AE194"/>
  <c r="AI194" s="1"/>
  <c r="AE30"/>
  <c r="AI30" s="1"/>
  <c r="AG66"/>
  <c r="AG117"/>
  <c r="AE145"/>
  <c r="AI145" s="1"/>
  <c r="AL98"/>
  <c r="AM98" s="1"/>
  <c r="AE89"/>
  <c r="AI89" s="1"/>
  <c r="AE190"/>
  <c r="AH190" s="1"/>
  <c r="AL136"/>
  <c r="AM136" s="1"/>
  <c r="AL240"/>
  <c r="AM240" s="1"/>
  <c r="AL44"/>
  <c r="AM44" s="1"/>
  <c r="AE242"/>
  <c r="AI242" s="1"/>
  <c r="AG78"/>
  <c r="AL147"/>
  <c r="AM147" s="1"/>
  <c r="AE45"/>
  <c r="AH45" s="1"/>
  <c r="AL169"/>
  <c r="AM169" s="1"/>
  <c r="AE68"/>
  <c r="AH68" s="1"/>
  <c r="AL189"/>
  <c r="AM189" s="1"/>
  <c r="AL209"/>
  <c r="AM209" s="1"/>
  <c r="AL162"/>
  <c r="AM162" s="1"/>
  <c r="AE85"/>
  <c r="AJ85" s="1"/>
  <c r="AL26"/>
  <c r="AM26" s="1"/>
  <c r="AL90"/>
  <c r="AM90" s="1"/>
  <c r="AL56"/>
  <c r="AM56" s="1"/>
  <c r="AE205"/>
  <c r="AJ205" s="1"/>
  <c r="AE171"/>
  <c r="AI171" s="1"/>
  <c r="AL75"/>
  <c r="AM75" s="1"/>
  <c r="AL109"/>
  <c r="AM109" s="1"/>
  <c r="AG82"/>
  <c r="AL212"/>
  <c r="AM212" s="1"/>
  <c r="AL245"/>
  <c r="AM245" s="1"/>
  <c r="AL129"/>
  <c r="AM129" s="1"/>
  <c r="AL21"/>
  <c r="AM21" s="1"/>
  <c r="AL62"/>
  <c r="AM62" s="1"/>
  <c r="AL214"/>
  <c r="AM214" s="1"/>
  <c r="AE218"/>
  <c r="AH218" s="1"/>
  <c r="AL197"/>
  <c r="AM197" s="1"/>
  <c r="AL13"/>
  <c r="AM13" s="1"/>
  <c r="AG120"/>
  <c r="AG23"/>
  <c r="AL119"/>
  <c r="AM119" s="1"/>
  <c r="AE100"/>
  <c r="AI100" s="1"/>
  <c r="AL219"/>
  <c r="AM219" s="1"/>
  <c r="AE66"/>
  <c r="AH66" s="1"/>
  <c r="AL104"/>
  <c r="AM104" s="1"/>
  <c r="AE17"/>
  <c r="AI17" s="1"/>
  <c r="AL221"/>
  <c r="AM221" s="1"/>
  <c r="AE111"/>
  <c r="AH111" s="1"/>
  <c r="AE172"/>
  <c r="AJ172" s="1"/>
  <c r="AL222"/>
  <c r="AM222" s="1"/>
  <c r="AE189"/>
  <c r="AH189" s="1"/>
  <c r="AL229"/>
  <c r="AM229" s="1"/>
  <c r="AL150"/>
  <c r="AM150" s="1"/>
  <c r="AL86"/>
  <c r="AM86" s="1"/>
  <c r="AE79"/>
  <c r="AJ79" s="1"/>
  <c r="AL8"/>
  <c r="AM8" s="1"/>
  <c r="AE125"/>
  <c r="AJ125" s="1"/>
  <c r="AL31"/>
  <c r="AM31" s="1"/>
  <c r="AL205"/>
  <c r="AM205" s="1"/>
  <c r="AE204"/>
  <c r="AJ204" s="1"/>
  <c r="AL116"/>
  <c r="AM116" s="1"/>
  <c r="AL175"/>
  <c r="AM175" s="1"/>
  <c r="AE118"/>
  <c r="AI118" s="1"/>
  <c r="AE209"/>
  <c r="AH209" s="1"/>
  <c r="AL76"/>
  <c r="AM76" s="1"/>
  <c r="AE14"/>
  <c r="AI14" s="1"/>
  <c r="AG8"/>
  <c r="AL208"/>
  <c r="AM208" s="1"/>
  <c r="AL135"/>
  <c r="AM135" s="1"/>
  <c r="AE20"/>
  <c r="AH20" s="1"/>
  <c r="AL211"/>
  <c r="AM211" s="1"/>
  <c r="AL200"/>
  <c r="AM200" s="1"/>
  <c r="AE70"/>
  <c r="AH70" s="1"/>
  <c r="AL191"/>
  <c r="AM191" s="1"/>
  <c r="AE168"/>
  <c r="AH168" s="1"/>
  <c r="AL83"/>
  <c r="AM83" s="1"/>
  <c r="AL97"/>
  <c r="AM97" s="1"/>
  <c r="AL186"/>
  <c r="AM186" s="1"/>
  <c r="AE142"/>
  <c r="AJ142" s="1"/>
  <c r="AL172"/>
  <c r="AM172" s="1"/>
  <c r="AE154"/>
  <c r="AJ154" s="1"/>
  <c r="AL239"/>
  <c r="AM239" s="1"/>
  <c r="AG98"/>
  <c r="AG137"/>
  <c r="AE86"/>
  <c r="AJ86" s="1"/>
  <c r="AL84"/>
  <c r="AM84" s="1"/>
  <c r="AE58"/>
  <c r="AJ58" s="1"/>
  <c r="AE196"/>
  <c r="AI196" s="1"/>
  <c r="AE139"/>
  <c r="AI139" s="1"/>
  <c r="AL110"/>
  <c r="AM110" s="1"/>
  <c r="AE16"/>
  <c r="AI16" s="1"/>
  <c r="AL157"/>
  <c r="AM157" s="1"/>
  <c r="AG111"/>
  <c r="AL71"/>
  <c r="AM71" s="1"/>
  <c r="AL55"/>
  <c r="AM55" s="1"/>
  <c r="AE249"/>
  <c r="AJ249" s="1"/>
  <c r="AE162"/>
  <c r="AJ162" s="1"/>
  <c r="AE235"/>
  <c r="AI235" s="1"/>
  <c r="AL163"/>
  <c r="AM163" s="1"/>
  <c r="AE44"/>
  <c r="AI44" s="1"/>
  <c r="AL43"/>
  <c r="AM43" s="1"/>
  <c r="AG58"/>
  <c r="AE63"/>
  <c r="AH63" s="1"/>
  <c r="AE64"/>
  <c r="AI64" s="1"/>
  <c r="AE239"/>
  <c r="AJ239" s="1"/>
  <c r="AL176"/>
  <c r="AM176" s="1"/>
  <c r="AL202"/>
  <c r="AM202" s="1"/>
  <c r="AE178"/>
  <c r="AH178" s="1"/>
  <c r="AE150"/>
  <c r="AH150" s="1"/>
  <c r="AE101"/>
  <c r="AJ101" s="1"/>
  <c r="AE80"/>
  <c r="AH80" s="1"/>
  <c r="AL35"/>
  <c r="AM35" s="1"/>
  <c r="AL18"/>
  <c r="AM18" s="1"/>
  <c r="AE36"/>
  <c r="AI36" s="1"/>
  <c r="AL144"/>
  <c r="AM144" s="1"/>
  <c r="AL107"/>
  <c r="AM107" s="1"/>
  <c r="AE153"/>
  <c r="AH153" s="1"/>
  <c r="AE23"/>
  <c r="AH23" s="1"/>
  <c r="AE33"/>
  <c r="AI33" s="1"/>
  <c r="AG133"/>
  <c r="AE203"/>
  <c r="AH203" s="1"/>
  <c r="AE103"/>
  <c r="AI103" s="1"/>
  <c r="AL227"/>
  <c r="AM227" s="1"/>
  <c r="AE106"/>
  <c r="AI106" s="1"/>
  <c r="AE151"/>
  <c r="AI151" s="1"/>
  <c r="AE169"/>
  <c r="AI169" s="1"/>
  <c r="AE213"/>
  <c r="AH213" s="1"/>
  <c r="AE95"/>
  <c r="AI95" s="1"/>
  <c r="AE39"/>
  <c r="AI39" s="1"/>
  <c r="AE240"/>
  <c r="AI240" s="1"/>
  <c r="AE137"/>
  <c r="AH137" s="1"/>
  <c r="AE241"/>
  <c r="AH241" s="1"/>
  <c r="AE202"/>
  <c r="AH202" s="1"/>
  <c r="AE179"/>
  <c r="AH179" s="1"/>
  <c r="AL139"/>
  <c r="AM139" s="1"/>
  <c r="AL130"/>
  <c r="AM130" s="1"/>
  <c r="AE91"/>
  <c r="AJ91" s="1"/>
  <c r="AG64"/>
  <c r="AL124"/>
  <c r="AM124" s="1"/>
  <c r="AL224"/>
  <c r="AM224" s="1"/>
  <c r="AL27"/>
  <c r="AM27" s="1"/>
  <c r="AL216"/>
  <c r="AM216" s="1"/>
  <c r="AL168"/>
  <c r="AM168" s="1"/>
  <c r="AL7"/>
  <c r="AM7" s="1"/>
  <c r="AE41"/>
  <c r="AH41" s="1"/>
  <c r="AG63"/>
  <c r="AE126"/>
  <c r="AJ126" s="1"/>
  <c r="AE57"/>
  <c r="AH57" s="1"/>
  <c r="AE224"/>
  <c r="AH224" s="1"/>
  <c r="AL140"/>
  <c r="AM140" s="1"/>
  <c r="AL103"/>
  <c r="AM103" s="1"/>
  <c r="AL184"/>
  <c r="AM184" s="1"/>
  <c r="AG113"/>
  <c r="AL52"/>
  <c r="AM52" s="1"/>
  <c r="AL78"/>
  <c r="AM78" s="1"/>
  <c r="AE12"/>
  <c r="AJ12" s="1"/>
  <c r="AE124"/>
  <c r="AH124" s="1"/>
  <c r="AL142"/>
  <c r="AM142" s="1"/>
  <c r="AE62"/>
  <c r="AH62" s="1"/>
  <c r="AL101"/>
  <c r="AM101" s="1"/>
  <c r="AE40"/>
  <c r="AH40" s="1"/>
  <c r="AL64"/>
  <c r="AM64" s="1"/>
  <c r="AL57"/>
  <c r="AM57" s="1"/>
  <c r="AE183"/>
  <c r="AI183" s="1"/>
  <c r="AE4"/>
  <c r="AI4" s="1"/>
  <c r="AL11"/>
  <c r="AM11" s="1"/>
  <c r="AE19"/>
  <c r="AJ19" s="1"/>
  <c r="AE185"/>
  <c r="AH185" s="1"/>
  <c r="AE221"/>
  <c r="AJ221" s="1"/>
  <c r="AL218"/>
  <c r="AM218" s="1"/>
  <c r="AE198"/>
  <c r="AJ198" s="1"/>
  <c r="AE94"/>
  <c r="AH94" s="1"/>
  <c r="AE141"/>
  <c r="AH141" s="1"/>
  <c r="AE148"/>
  <c r="AJ148" s="1"/>
  <c r="AE243"/>
  <c r="AJ243" s="1"/>
  <c r="AL192"/>
  <c r="AM192" s="1"/>
  <c r="AL95"/>
  <c r="AM95" s="1"/>
  <c r="AE233"/>
  <c r="AH233" s="1"/>
  <c r="AL134"/>
  <c r="AM134" s="1"/>
  <c r="AE208"/>
  <c r="AJ208" s="1"/>
  <c r="AE98"/>
  <c r="AJ98" s="1"/>
  <c r="AL187"/>
  <c r="AM187" s="1"/>
  <c r="AE252"/>
  <c r="AH252" s="1"/>
  <c r="AE161"/>
  <c r="AH161" s="1"/>
  <c r="AL69"/>
  <c r="AM69" s="1"/>
  <c r="AE143"/>
  <c r="AJ143" s="1"/>
  <c r="AL249"/>
  <c r="AM249" s="1"/>
  <c r="AE60"/>
  <c r="AH60" s="1"/>
  <c r="AE114"/>
  <c r="AJ114" s="1"/>
  <c r="AL153"/>
  <c r="AM153" s="1"/>
  <c r="AE167"/>
  <c r="AJ167" s="1"/>
  <c r="AL99"/>
  <c r="AM99" s="1"/>
  <c r="AE146"/>
  <c r="AH146" s="1"/>
  <c r="AL115"/>
  <c r="AM115" s="1"/>
  <c r="AL108"/>
  <c r="AM108" s="1"/>
  <c r="AE15"/>
  <c r="AI15" s="1"/>
  <c r="AE26"/>
  <c r="AJ26" s="1"/>
  <c r="AL42"/>
  <c r="AM42" s="1"/>
  <c r="AL207"/>
  <c r="AM207" s="1"/>
  <c r="AL236"/>
  <c r="AM236" s="1"/>
  <c r="AL185"/>
  <c r="AM185" s="1"/>
  <c r="AE180"/>
  <c r="AJ180" s="1"/>
  <c r="AE201"/>
  <c r="AH201" s="1"/>
  <c r="AE245"/>
  <c r="AH245" s="1"/>
  <c r="AE56"/>
  <c r="AH56" s="1"/>
  <c r="AE22"/>
  <c r="AH22" s="1"/>
  <c r="AL68"/>
  <c r="AM68" s="1"/>
  <c r="AE59"/>
  <c r="AI59" s="1"/>
  <c r="AL47"/>
  <c r="AM47" s="1"/>
  <c r="AE133"/>
  <c r="AJ133" s="1"/>
  <c r="AL194"/>
  <c r="AM194" s="1"/>
  <c r="AL58"/>
  <c r="AM58" s="1"/>
  <c r="AL36"/>
  <c r="AM36" s="1"/>
  <c r="AE10"/>
  <c r="AI10" s="1"/>
  <c r="AE28"/>
  <c r="AI28" s="1"/>
  <c r="AE77"/>
  <c r="AJ77" s="1"/>
  <c r="AL242"/>
  <c r="AM242" s="1"/>
  <c r="AE120"/>
  <c r="AI120" s="1"/>
  <c r="AL117"/>
  <c r="AM117" s="1"/>
  <c r="AE129"/>
  <c r="AJ129" s="1"/>
  <c r="AL154"/>
  <c r="AM154" s="1"/>
  <c r="AE223"/>
  <c r="AI223" s="1"/>
  <c r="AC134" i="14"/>
  <c r="AD134" s="1"/>
  <c r="Y132"/>
  <c r="Z132" s="1"/>
  <c r="Y151"/>
  <c r="Z151" s="1"/>
  <c r="AG37"/>
  <c r="AH37" s="1"/>
  <c r="AG102"/>
  <c r="AH102" s="1"/>
  <c r="Y76"/>
  <c r="Z76" s="1"/>
  <c r="AC162"/>
  <c r="AD162" s="1"/>
  <c r="AG96"/>
  <c r="AH96" s="1"/>
  <c r="AC67"/>
  <c r="AE67" s="1"/>
  <c r="Y39"/>
  <c r="Z39" s="1"/>
  <c r="Y94"/>
  <c r="Z94" s="1"/>
  <c r="Y28"/>
  <c r="Z28" s="1"/>
  <c r="AC174"/>
  <c r="AF174" s="1"/>
  <c r="AG70"/>
  <c r="AH70" s="1"/>
  <c r="AC48"/>
  <c r="AF48" s="1"/>
  <c r="Y97"/>
  <c r="Z97" s="1"/>
  <c r="Y55"/>
  <c r="Z55" s="1"/>
  <c r="AC220"/>
  <c r="AF220" s="1"/>
  <c r="AG139"/>
  <c r="AH139" s="1"/>
  <c r="Y46"/>
  <c r="Z46" s="1"/>
  <c r="P14" i="32"/>
  <c r="P30"/>
  <c r="P46"/>
  <c r="P62"/>
  <c r="P78"/>
  <c r="P94"/>
  <c r="P110"/>
  <c r="P126"/>
  <c r="P142"/>
  <c r="P158"/>
  <c r="P174"/>
  <c r="P190"/>
  <c r="P206"/>
  <c r="P9"/>
  <c r="P25"/>
  <c r="P41"/>
  <c r="P57"/>
  <c r="P73"/>
  <c r="P89"/>
  <c r="P105"/>
  <c r="P121"/>
  <c r="P137"/>
  <c r="P153"/>
  <c r="P169"/>
  <c r="P185"/>
  <c r="P201"/>
  <c r="P4"/>
  <c r="P20"/>
  <c r="P36"/>
  <c r="P52"/>
  <c r="P68"/>
  <c r="P84"/>
  <c r="P100"/>
  <c r="P116"/>
  <c r="P132"/>
  <c r="P148"/>
  <c r="P164"/>
  <c r="P180"/>
  <c r="P196"/>
  <c r="P212"/>
  <c r="P11"/>
  <c r="P27"/>
  <c r="P43"/>
  <c r="P59"/>
  <c r="P75"/>
  <c r="P91"/>
  <c r="P107"/>
  <c r="P123"/>
  <c r="P139"/>
  <c r="P155"/>
  <c r="P171"/>
  <c r="P187"/>
  <c r="P203"/>
  <c r="P217"/>
  <c r="AC231" i="14"/>
  <c r="AE231" s="1"/>
  <c r="AC221"/>
  <c r="AE221" s="1"/>
  <c r="AC120"/>
  <c r="AD120" s="1"/>
  <c r="AG195"/>
  <c r="AH195" s="1"/>
  <c r="AC69"/>
  <c r="AD69" s="1"/>
  <c r="AG128"/>
  <c r="AH128" s="1"/>
  <c r="AG113"/>
  <c r="AH113" s="1"/>
  <c r="Y116"/>
  <c r="Z116" s="1"/>
  <c r="AC32"/>
  <c r="AF32" s="1"/>
  <c r="AG15"/>
  <c r="AH15" s="1"/>
  <c r="AG153"/>
  <c r="AH153" s="1"/>
  <c r="AG106"/>
  <c r="AH106" s="1"/>
  <c r="AC214"/>
  <c r="AD214" s="1"/>
  <c r="AC23"/>
  <c r="AD23" s="1"/>
  <c r="Y20"/>
  <c r="Z20" s="1"/>
  <c r="AG193"/>
  <c r="AH193" s="1"/>
  <c r="AG86"/>
  <c r="AH86" s="1"/>
  <c r="AC14"/>
  <c r="AE14" s="1"/>
  <c r="AC142"/>
  <c r="AF142" s="1"/>
  <c r="AG112"/>
  <c r="AH112" s="1"/>
  <c r="AC31"/>
  <c r="AD31" s="1"/>
  <c r="AG225"/>
  <c r="AH225" s="1"/>
  <c r="Y3"/>
  <c r="Z3" s="1"/>
  <c r="AG25"/>
  <c r="AH25" s="1"/>
  <c r="AC151"/>
  <c r="AF151" s="1"/>
  <c r="AG17"/>
  <c r="AH17" s="1"/>
  <c r="AG171"/>
  <c r="AH171" s="1"/>
  <c r="AG49"/>
  <c r="AH49" s="1"/>
  <c r="AC234"/>
  <c r="AD234" s="1"/>
  <c r="AG20"/>
  <c r="AH20" s="1"/>
  <c r="AG151"/>
  <c r="AH151" s="1"/>
  <c r="AG229"/>
  <c r="AH229" s="1"/>
  <c r="Y19"/>
  <c r="Z19" s="1"/>
  <c r="Y36"/>
  <c r="Z36" s="1"/>
  <c r="AC176"/>
  <c r="AE176" s="1"/>
  <c r="AC219"/>
  <c r="AF219" s="1"/>
  <c r="AG208"/>
  <c r="AH208" s="1"/>
  <c r="AG212"/>
  <c r="AH212" s="1"/>
  <c r="AC206"/>
  <c r="AD206" s="1"/>
  <c r="AG185"/>
  <c r="AH185" s="1"/>
  <c r="Y9"/>
  <c r="Z9" s="1"/>
  <c r="AG131"/>
  <c r="AH131" s="1"/>
  <c r="Y133"/>
  <c r="Z133" s="1"/>
  <c r="Y96"/>
  <c r="Z96" s="1"/>
  <c r="Y35"/>
  <c r="Z35" s="1"/>
  <c r="AC233"/>
  <c r="AE233" s="1"/>
  <c r="Y62"/>
  <c r="Z62" s="1"/>
  <c r="AG157"/>
  <c r="AH157" s="1"/>
  <c r="AG145"/>
  <c r="AH145" s="1"/>
  <c r="AC53"/>
  <c r="AF53" s="1"/>
  <c r="Y131"/>
  <c r="Z131" s="1"/>
  <c r="Y103"/>
  <c r="Z103" s="1"/>
  <c r="AG199"/>
  <c r="AH199" s="1"/>
  <c r="AC183"/>
  <c r="AD183" s="1"/>
  <c r="AC123"/>
  <c r="AD123" s="1"/>
  <c r="AG92"/>
  <c r="AH92" s="1"/>
  <c r="AG74"/>
  <c r="AH74" s="1"/>
  <c r="Y110"/>
  <c r="Z110" s="1"/>
  <c r="AC109"/>
  <c r="AD109" s="1"/>
  <c r="Y60"/>
  <c r="Z60" s="1"/>
  <c r="AG60"/>
  <c r="AH60" s="1"/>
  <c r="P6" i="32"/>
  <c r="P22"/>
  <c r="P38"/>
  <c r="P54"/>
  <c r="P70"/>
  <c r="P86"/>
  <c r="P102"/>
  <c r="P118"/>
  <c r="P134"/>
  <c r="P150"/>
  <c r="P166"/>
  <c r="P182"/>
  <c r="P198"/>
  <c r="P214"/>
  <c r="P17"/>
  <c r="P33"/>
  <c r="P49"/>
  <c r="P65"/>
  <c r="P81"/>
  <c r="P97"/>
  <c r="P113"/>
  <c r="P129"/>
  <c r="P145"/>
  <c r="P161"/>
  <c r="P177"/>
  <c r="P193"/>
  <c r="P209"/>
  <c r="P12"/>
  <c r="P28"/>
  <c r="P44"/>
  <c r="P60"/>
  <c r="P76"/>
  <c r="P92"/>
  <c r="P108"/>
  <c r="P124"/>
  <c r="P140"/>
  <c r="P156"/>
  <c r="P172"/>
  <c r="P188"/>
  <c r="P204"/>
  <c r="P3"/>
  <c r="P19"/>
  <c r="P35"/>
  <c r="P51"/>
  <c r="P67"/>
  <c r="P83"/>
  <c r="P99"/>
  <c r="P115"/>
  <c r="P131"/>
  <c r="P147"/>
  <c r="P163"/>
  <c r="P179"/>
  <c r="P195"/>
  <c r="P211"/>
  <c r="AC73" i="14"/>
  <c r="AE73" s="1"/>
  <c r="AG161"/>
  <c r="AH161" s="1"/>
  <c r="Y66"/>
  <c r="Z66" s="1"/>
  <c r="AG230"/>
  <c r="AH230" s="1"/>
  <c r="AC94"/>
  <c r="AF94" s="1"/>
  <c r="Y128"/>
  <c r="Z128" s="1"/>
  <c r="AC132"/>
  <c r="AF132" s="1"/>
  <c r="AG156"/>
  <c r="AH156" s="1"/>
  <c r="AG232"/>
  <c r="AH232" s="1"/>
  <c r="AC208"/>
  <c r="AD208" s="1"/>
  <c r="AG204"/>
  <c r="AH204" s="1"/>
  <c r="Y140"/>
  <c r="Z140" s="1"/>
  <c r="AC85"/>
  <c r="AF85" s="1"/>
  <c r="AG203"/>
  <c r="AH203" s="1"/>
  <c r="AC222"/>
  <c r="AD222" s="1"/>
  <c r="AG34"/>
  <c r="AH34" s="1"/>
  <c r="AC21"/>
  <c r="AE21" s="1"/>
  <c r="AG89"/>
  <c r="AH89" s="1"/>
  <c r="AC163"/>
  <c r="AE163" s="1"/>
  <c r="D3" i="33"/>
  <c r="D4"/>
  <c r="X78" i="31"/>
  <c r="D7" i="33"/>
  <c r="AD20" i="14"/>
  <c r="AG130"/>
  <c r="AH130" s="1"/>
  <c r="Y72"/>
  <c r="Z72" s="1"/>
  <c r="AC90"/>
  <c r="AF90" s="1"/>
  <c r="AC93"/>
  <c r="AE93" s="1"/>
  <c r="AC157"/>
  <c r="AF157" s="1"/>
  <c r="AC36"/>
  <c r="AD36" s="1"/>
  <c r="AG174"/>
  <c r="AH174" s="1"/>
  <c r="AG108"/>
  <c r="AH108" s="1"/>
  <c r="AG104"/>
  <c r="AH104" s="1"/>
  <c r="AC108"/>
  <c r="AF108" s="1"/>
  <c r="AG24"/>
  <c r="AH24" s="1"/>
  <c r="AC105"/>
  <c r="AD105" s="1"/>
  <c r="AC74"/>
  <c r="AD74" s="1"/>
  <c r="AC41"/>
  <c r="AD41" s="1"/>
  <c r="AC189"/>
  <c r="AF189" s="1"/>
  <c r="AC122"/>
  <c r="AF122" s="1"/>
  <c r="AC79"/>
  <c r="AD79" s="1"/>
  <c r="Y87"/>
  <c r="Z87" s="1"/>
  <c r="AC166"/>
  <c r="AE166" s="1"/>
  <c r="Y64"/>
  <c r="Z64" s="1"/>
  <c r="AC126"/>
  <c r="AD126" s="1"/>
  <c r="AC56"/>
  <c r="AD56" s="1"/>
  <c r="AG180"/>
  <c r="AH180" s="1"/>
  <c r="Y155"/>
  <c r="Z155" s="1"/>
  <c r="AC5"/>
  <c r="AD5" s="1"/>
  <c r="AG214"/>
  <c r="AH214" s="1"/>
  <c r="Y69"/>
  <c r="Z69" s="1"/>
  <c r="AC175"/>
  <c r="AE175" s="1"/>
  <c r="AG173"/>
  <c r="AH173" s="1"/>
  <c r="AC15"/>
  <c r="AE15" s="1"/>
  <c r="AG98"/>
  <c r="AH98" s="1"/>
  <c r="AC203"/>
  <c r="AE203" s="1"/>
  <c r="AC104"/>
  <c r="AF104" s="1"/>
  <c r="AC146"/>
  <c r="AF146" s="1"/>
  <c r="AC57"/>
  <c r="AF57" s="1"/>
  <c r="AG64"/>
  <c r="AH64" s="1"/>
  <c r="AC9"/>
  <c r="AE9" s="1"/>
  <c r="AC3"/>
  <c r="AD3" s="1"/>
  <c r="AC30"/>
  <c r="AF30" s="1"/>
  <c r="AG58"/>
  <c r="AH58" s="1"/>
  <c r="AC138"/>
  <c r="AE138" s="1"/>
  <c r="AC58"/>
  <c r="AE58" s="1"/>
  <c r="Y89"/>
  <c r="Z89" s="1"/>
  <c r="AC95"/>
  <c r="AD95" s="1"/>
  <c r="AC125"/>
  <c r="AD125" s="1"/>
  <c r="AG122"/>
  <c r="AH122" s="1"/>
  <c r="Y24"/>
  <c r="Z24" s="1"/>
  <c r="AG87"/>
  <c r="AH87" s="1"/>
  <c r="AG187"/>
  <c r="AH187" s="1"/>
  <c r="AC2"/>
  <c r="AE2" s="1"/>
  <c r="AC217"/>
  <c r="AF217" s="1"/>
  <c r="AC186"/>
  <c r="AD186" s="1"/>
  <c r="AC26"/>
  <c r="AE26" s="1"/>
  <c r="AC40"/>
  <c r="AF40" s="1"/>
  <c r="AG100"/>
  <c r="AH100" s="1"/>
  <c r="Y57"/>
  <c r="Z57" s="1"/>
  <c r="AG93"/>
  <c r="AH93" s="1"/>
  <c r="AG45"/>
  <c r="AH45" s="1"/>
  <c r="AG75"/>
  <c r="AH75" s="1"/>
  <c r="AG148"/>
  <c r="AH148" s="1"/>
  <c r="AG206"/>
  <c r="AH206" s="1"/>
  <c r="AG39"/>
  <c r="AH39" s="1"/>
  <c r="AG202"/>
  <c r="AH202" s="1"/>
  <c r="AC91"/>
  <c r="AD91" s="1"/>
  <c r="AG121"/>
  <c r="AH121" s="1"/>
  <c r="AC54"/>
  <c r="AD54" s="1"/>
  <c r="AC65"/>
  <c r="AE65" s="1"/>
  <c r="AC184"/>
  <c r="AE184" s="1"/>
  <c r="AC194"/>
  <c r="AE194" s="1"/>
  <c r="Y45"/>
  <c r="Z45" s="1"/>
  <c r="AC18"/>
  <c r="AE18" s="1"/>
  <c r="Y86"/>
  <c r="Z86" s="1"/>
  <c r="AG143"/>
  <c r="AH143" s="1"/>
  <c r="AG111"/>
  <c r="AH111" s="1"/>
  <c r="AC80"/>
  <c r="AF80" s="1"/>
  <c r="AC49"/>
  <c r="AF49" s="1"/>
  <c r="AG213"/>
  <c r="AH213" s="1"/>
  <c r="AG107"/>
  <c r="AH107" s="1"/>
  <c r="AC124"/>
  <c r="AF124" s="1"/>
  <c r="Y162"/>
  <c r="Z162" s="1"/>
  <c r="Y40"/>
  <c r="Z40" s="1"/>
  <c r="AG129"/>
  <c r="AH129" s="1"/>
  <c r="AG216"/>
  <c r="AH216" s="1"/>
  <c r="AG95"/>
  <c r="AH95" s="1"/>
  <c r="AG21"/>
  <c r="AH21" s="1"/>
  <c r="Y77"/>
  <c r="Z77" s="1"/>
  <c r="AC168"/>
  <c r="AE168" s="1"/>
  <c r="AG28"/>
  <c r="AH28" s="1"/>
  <c r="Y54"/>
  <c r="Z54" s="1"/>
  <c r="AC173"/>
  <c r="AD173" s="1"/>
  <c r="AC52"/>
  <c r="AF52" s="1"/>
  <c r="AC227"/>
  <c r="AF227" s="1"/>
  <c r="AG14"/>
  <c r="AH14" s="1"/>
  <c r="AG77"/>
  <c r="AH77" s="1"/>
  <c r="AG201"/>
  <c r="AH201" s="1"/>
  <c r="AG144"/>
  <c r="AH144" s="1"/>
  <c r="Y92"/>
  <c r="Z92" s="1"/>
  <c r="AC24"/>
  <c r="AF24" s="1"/>
  <c r="AC89"/>
  <c r="AE89" s="1"/>
  <c r="AG115"/>
  <c r="AH115" s="1"/>
  <c r="AG110"/>
  <c r="AH110" s="1"/>
  <c r="AC10"/>
  <c r="AF10" s="1"/>
  <c r="AG218"/>
  <c r="AH218" s="1"/>
  <c r="AC82"/>
  <c r="AE82" s="1"/>
  <c r="AG226"/>
  <c r="AH226" s="1"/>
  <c r="AC84"/>
  <c r="AF84" s="1"/>
  <c r="AG56"/>
  <c r="AH56" s="1"/>
  <c r="AC113"/>
  <c r="AF113" s="1"/>
  <c r="AG5"/>
  <c r="AH5" s="1"/>
  <c r="AC101"/>
  <c r="AE101" s="1"/>
  <c r="Y111"/>
  <c r="Z111" s="1"/>
  <c r="AG227"/>
  <c r="AH227" s="1"/>
  <c r="AG32"/>
  <c r="AH32" s="1"/>
  <c r="AG59"/>
  <c r="AH59" s="1"/>
  <c r="AG46"/>
  <c r="AH46" s="1"/>
  <c r="AC68"/>
  <c r="AD68" s="1"/>
  <c r="AC28"/>
  <c r="AD28" s="1"/>
  <c r="AC201"/>
  <c r="AD201" s="1"/>
  <c r="AG168"/>
  <c r="AH168" s="1"/>
  <c r="Y126"/>
  <c r="Z126" s="1"/>
  <c r="AG119"/>
  <c r="AH119" s="1"/>
  <c r="AC97"/>
  <c r="AF97" s="1"/>
  <c r="AC61"/>
  <c r="AF61" s="1"/>
  <c r="AC25"/>
  <c r="AF25" s="1"/>
  <c r="AG189"/>
  <c r="AH189" s="1"/>
  <c r="AG109"/>
  <c r="AH109" s="1"/>
  <c r="AC200"/>
  <c r="AF200" s="1"/>
  <c r="Y152"/>
  <c r="Z152" s="1"/>
  <c r="AG40"/>
  <c r="AH40" s="1"/>
  <c r="AC59"/>
  <c r="AF59" s="1"/>
  <c r="AC107"/>
  <c r="AD107" s="1"/>
  <c r="AG221"/>
  <c r="AH221" s="1"/>
  <c r="AG73"/>
  <c r="AH73" s="1"/>
  <c r="AG85"/>
  <c r="AH85" s="1"/>
  <c r="AG61"/>
  <c r="AH61" s="1"/>
  <c r="AC119"/>
  <c r="AD119" s="1"/>
  <c r="Y10"/>
  <c r="Z10" s="1"/>
  <c r="Y49"/>
  <c r="Z49" s="1"/>
  <c r="Y78"/>
  <c r="Z78" s="1"/>
  <c r="AG71"/>
  <c r="AH71" s="1"/>
  <c r="Y113"/>
  <c r="Z113" s="1"/>
  <c r="AG165"/>
  <c r="AH165" s="1"/>
  <c r="AG35"/>
  <c r="AH35" s="1"/>
  <c r="AC232"/>
  <c r="AD232" s="1"/>
  <c r="AC193"/>
  <c r="AE193" s="1"/>
  <c r="AG50"/>
  <c r="AH50" s="1"/>
  <c r="AG12"/>
  <c r="AH12" s="1"/>
  <c r="Y135"/>
  <c r="Z135" s="1"/>
  <c r="AC43"/>
  <c r="AE43" s="1"/>
  <c r="AG141"/>
  <c r="AH141" s="1"/>
  <c r="AC172"/>
  <c r="AF172" s="1"/>
  <c r="AG30"/>
  <c r="AH30" s="1"/>
  <c r="AC181"/>
  <c r="AF181" s="1"/>
  <c r="AG13"/>
  <c r="AH13" s="1"/>
  <c r="Y98"/>
  <c r="Z98" s="1"/>
  <c r="Y125"/>
  <c r="Z125" s="1"/>
  <c r="AC164"/>
  <c r="AF164" s="1"/>
  <c r="AC216"/>
  <c r="AF216" s="1"/>
  <c r="Y106"/>
  <c r="Z106" s="1"/>
  <c r="AG182"/>
  <c r="AH182" s="1"/>
  <c r="AC192"/>
  <c r="AE192" s="1"/>
  <c r="Y44"/>
  <c r="Z44" s="1"/>
  <c r="AC4"/>
  <c r="AD4" s="1"/>
  <c r="AC45"/>
  <c r="AF45" s="1"/>
  <c r="AC98"/>
  <c r="AD98" s="1"/>
  <c r="AC102"/>
  <c r="AF102" s="1"/>
  <c r="AG197"/>
  <c r="AH197" s="1"/>
  <c r="AG123"/>
  <c r="AH123" s="1"/>
  <c r="AC209"/>
  <c r="AE209" s="1"/>
  <c r="AG53"/>
  <c r="AH53" s="1"/>
  <c r="Y71"/>
  <c r="Z71" s="1"/>
  <c r="AC198"/>
  <c r="AD198" s="1"/>
  <c r="AC229"/>
  <c r="AF229" s="1"/>
  <c r="AG170"/>
  <c r="AH170" s="1"/>
  <c r="Y4"/>
  <c r="Z4" s="1"/>
  <c r="AG191"/>
  <c r="AH191" s="1"/>
  <c r="AG72"/>
  <c r="AH72" s="1"/>
  <c r="Y37"/>
  <c r="Z37" s="1"/>
  <c r="Y109"/>
  <c r="Z109" s="1"/>
  <c r="AC224"/>
  <c r="AF224" s="1"/>
  <c r="Y58"/>
  <c r="Z58" s="1"/>
  <c r="AC37"/>
  <c r="AD37" s="1"/>
  <c r="Y67"/>
  <c r="Z67" s="1"/>
  <c r="AC135"/>
  <c r="AD135" s="1"/>
  <c r="AC187"/>
  <c r="AD187" s="1"/>
  <c r="AG105"/>
  <c r="AH105" s="1"/>
  <c r="Y6"/>
  <c r="Z6" s="1"/>
  <c r="AG146"/>
  <c r="AH146" s="1"/>
  <c r="AC11"/>
  <c r="AE11" s="1"/>
  <c r="Y47"/>
  <c r="Z47" s="1"/>
  <c r="AG162"/>
  <c r="AH162" s="1"/>
  <c r="AC8"/>
  <c r="AF8" s="1"/>
  <c r="Y73"/>
  <c r="Z73" s="1"/>
  <c r="AC116"/>
  <c r="AD116" s="1"/>
  <c r="AG205"/>
  <c r="AH205" s="1"/>
  <c r="AC147"/>
  <c r="AD147" s="1"/>
  <c r="AC140"/>
  <c r="AD140" s="1"/>
  <c r="AC13"/>
  <c r="AE13" s="1"/>
  <c r="AG44"/>
  <c r="AH44" s="1"/>
  <c r="AC143"/>
  <c r="AD143" s="1"/>
  <c r="AG26"/>
  <c r="AH26" s="1"/>
  <c r="AC165"/>
  <c r="AF165" s="1"/>
  <c r="AC44"/>
  <c r="AD44" s="1"/>
  <c r="AC129"/>
  <c r="AF129" s="1"/>
  <c r="AC230"/>
  <c r="AD230" s="1"/>
  <c r="AG18"/>
  <c r="AH18" s="1"/>
  <c r="G3" i="33" s="1"/>
  <c r="AG88" i="14"/>
  <c r="AH88" s="1"/>
  <c r="AG103"/>
  <c r="AH103" s="1"/>
  <c r="AC202"/>
  <c r="AD202" s="1"/>
  <c r="Y18"/>
  <c r="Z18" s="1"/>
  <c r="AG52"/>
  <c r="AH52" s="1"/>
  <c r="AG120"/>
  <c r="AH120" s="1"/>
  <c r="Y83"/>
  <c r="Z83" s="1"/>
  <c r="AG142"/>
  <c r="AH142" s="1"/>
  <c r="AG9"/>
  <c r="AH9" s="1"/>
  <c r="AG67"/>
  <c r="AH67" s="1"/>
  <c r="AG8"/>
  <c r="AH8" s="1"/>
  <c r="AC81"/>
  <c r="AE81" s="1"/>
  <c r="AC160"/>
  <c r="AD160" s="1"/>
  <c r="AC211"/>
  <c r="AE211" s="1"/>
  <c r="AG41"/>
  <c r="AH41" s="1"/>
  <c r="AG65"/>
  <c r="AH65" s="1"/>
  <c r="AC72"/>
  <c r="AF72" s="1"/>
  <c r="AC12"/>
  <c r="AD12" s="1"/>
  <c r="AC144"/>
  <c r="AD144" s="1"/>
  <c r="AG101"/>
  <c r="AH101" s="1"/>
  <c r="AC149"/>
  <c r="AD149" s="1"/>
  <c r="AG207"/>
  <c r="AH207" s="1"/>
  <c r="AC100"/>
  <c r="AE100" s="1"/>
  <c r="AG228"/>
  <c r="AH228" s="1"/>
  <c r="AG42"/>
  <c r="AH42" s="1"/>
  <c r="AC169"/>
  <c r="AE169" s="1"/>
  <c r="AC212"/>
  <c r="AD212" s="1"/>
  <c r="Y81"/>
  <c r="Z81" s="1"/>
  <c r="AC62"/>
  <c r="AD62" s="1"/>
  <c r="Y156"/>
  <c r="Z156" s="1"/>
  <c r="Y63"/>
  <c r="Z63" s="1"/>
  <c r="AG138" i="11"/>
  <c r="P54" i="6"/>
  <c r="P29"/>
  <c r="P61"/>
  <c r="P36"/>
  <c r="P68"/>
  <c r="P7"/>
  <c r="P39"/>
  <c r="P71"/>
  <c r="P6"/>
  <c r="P38"/>
  <c r="P70"/>
  <c r="P13"/>
  <c r="P45"/>
  <c r="P77"/>
  <c r="P20"/>
  <c r="P52"/>
  <c r="P84"/>
  <c r="P23"/>
  <c r="P55"/>
  <c r="P87"/>
  <c r="P22"/>
  <c r="P86"/>
  <c r="P4"/>
  <c r="P14"/>
  <c r="P46"/>
  <c r="P78"/>
  <c r="P21"/>
  <c r="P53"/>
  <c r="P85"/>
  <c r="P28"/>
  <c r="P60"/>
  <c r="P92"/>
  <c r="P31"/>
  <c r="P63"/>
  <c r="AF20" i="14"/>
  <c r="L4" i="35"/>
  <c r="D2" i="33"/>
  <c r="X40" i="31"/>
  <c r="L7" i="35"/>
  <c r="X100" i="31"/>
  <c r="D5" i="33"/>
  <c r="X60" i="31"/>
  <c r="X62"/>
  <c r="X43"/>
  <c r="X22"/>
  <c r="D6" i="33"/>
  <c r="X97" i="31"/>
  <c r="AJ175" i="11"/>
  <c r="P18" i="6"/>
  <c r="P34"/>
  <c r="P50"/>
  <c r="P66"/>
  <c r="P82"/>
  <c r="P9"/>
  <c r="P25"/>
  <c r="P41"/>
  <c r="P57"/>
  <c r="P73"/>
  <c r="P89"/>
  <c r="P16"/>
  <c r="P32"/>
  <c r="P48"/>
  <c r="P64"/>
  <c r="P80"/>
  <c r="P3"/>
  <c r="P19"/>
  <c r="P35"/>
  <c r="P51"/>
  <c r="P67"/>
  <c r="P83"/>
  <c r="P10"/>
  <c r="P26"/>
  <c r="P42"/>
  <c r="P58"/>
  <c r="P74"/>
  <c r="P90"/>
  <c r="P17"/>
  <c r="P33"/>
  <c r="P49"/>
  <c r="P65"/>
  <c r="P81"/>
  <c r="P8"/>
  <c r="P24"/>
  <c r="P40"/>
  <c r="P56"/>
  <c r="P72"/>
  <c r="P88"/>
  <c r="P11"/>
  <c r="P27"/>
  <c r="P43"/>
  <c r="P59"/>
  <c r="P75"/>
  <c r="P91"/>
  <c r="X81" i="31"/>
  <c r="X3"/>
  <c r="X79"/>
  <c r="X98"/>
  <c r="X41"/>
  <c r="X21"/>
  <c r="X24"/>
  <c r="X5"/>
  <c r="X2"/>
  <c r="AJ227" i="11"/>
  <c r="AC130" i="14"/>
  <c r="Y129"/>
  <c r="Z129" s="1"/>
  <c r="AC99"/>
  <c r="Y82"/>
  <c r="Z82" s="1"/>
  <c r="AG150"/>
  <c r="AH150" s="1"/>
  <c r="AC110"/>
  <c r="AD110" s="1"/>
  <c r="AG209"/>
  <c r="AH209" s="1"/>
  <c r="AC139"/>
  <c r="AF139" s="1"/>
  <c r="AC27"/>
  <c r="AG55"/>
  <c r="AH55" s="1"/>
  <c r="AC199"/>
  <c r="AG158"/>
  <c r="AH158" s="1"/>
  <c r="AG10"/>
  <c r="AH10" s="1"/>
  <c r="AG36"/>
  <c r="AH36" s="1"/>
  <c r="AC153"/>
  <c r="AG234"/>
  <c r="AH234" s="1"/>
  <c r="AC60"/>
  <c r="AC66"/>
  <c r="AG167"/>
  <c r="AH167" s="1"/>
  <c r="AC228"/>
  <c r="AC207"/>
  <c r="AG194"/>
  <c r="AH194" s="1"/>
  <c r="AC179"/>
  <c r="AF179" s="1"/>
  <c r="AG147"/>
  <c r="AH147" s="1"/>
  <c r="AG29"/>
  <c r="AH29" s="1"/>
  <c r="Y27"/>
  <c r="Z27" s="1"/>
  <c r="AC158"/>
  <c r="Y11"/>
  <c r="Z11" s="1"/>
  <c r="AC103"/>
  <c r="AG178"/>
  <c r="AH178" s="1"/>
  <c r="AC154"/>
  <c r="AF154" s="1"/>
  <c r="AC190"/>
  <c r="Y141"/>
  <c r="Z141" s="1"/>
  <c r="AC210"/>
  <c r="AD210" s="1"/>
  <c r="AG186"/>
  <c r="AH186" s="1"/>
  <c r="AG215"/>
  <c r="AH215" s="1"/>
  <c r="AC115"/>
  <c r="Y32"/>
  <c r="Z32" s="1"/>
  <c r="Y91"/>
  <c r="Z91" s="1"/>
  <c r="AG51"/>
  <c r="AH51" s="1"/>
  <c r="AG220"/>
  <c r="AH220" s="1"/>
  <c r="AC86"/>
  <c r="AC225"/>
  <c r="AD225" s="1"/>
  <c r="Y84"/>
  <c r="Z84" s="1"/>
  <c r="AC34"/>
  <c r="AG152"/>
  <c r="AH152" s="1"/>
  <c r="AG3"/>
  <c r="AH3" s="1"/>
  <c r="AG78"/>
  <c r="AH78" s="1"/>
  <c r="AC42"/>
  <c r="AG155"/>
  <c r="AH155" s="1"/>
  <c r="AG154"/>
  <c r="AH154" s="1"/>
  <c r="AC141"/>
  <c r="AG137"/>
  <c r="AH137" s="1"/>
  <c r="AG124"/>
  <c r="AH124" s="1"/>
  <c r="AC117"/>
  <c r="AC180"/>
  <c r="AC96"/>
  <c r="AE96" s="1"/>
  <c r="AC64"/>
  <c r="AE64" s="1"/>
  <c r="AC78"/>
  <c r="AE78" s="1"/>
  <c r="AC88"/>
  <c r="AE88" s="1"/>
  <c r="AC191"/>
  <c r="Y7"/>
  <c r="Z7" s="1"/>
  <c r="Y41"/>
  <c r="Z41" s="1"/>
  <c r="AC51"/>
  <c r="Y70"/>
  <c r="Z70" s="1"/>
  <c r="AC159"/>
  <c r="AC75"/>
  <c r="AC77"/>
  <c r="AD77" s="1"/>
  <c r="Y61"/>
  <c r="Z61" s="1"/>
  <c r="AC106"/>
  <c r="AF106" s="1"/>
  <c r="AG63"/>
  <c r="AH63" s="1"/>
  <c r="AG176"/>
  <c r="AH176" s="1"/>
  <c r="AG175"/>
  <c r="AH175" s="1"/>
  <c r="AG33"/>
  <c r="AH33" s="1"/>
  <c r="AG2"/>
  <c r="AH2" s="1"/>
  <c r="AG192"/>
  <c r="AH192" s="1"/>
  <c r="Y34"/>
  <c r="Z34" s="1"/>
  <c r="AC19"/>
  <c r="Y143"/>
  <c r="Z143" s="1"/>
  <c r="AG47"/>
  <c r="AH47" s="1"/>
  <c r="AG231"/>
  <c r="AH231" s="1"/>
  <c r="AG224"/>
  <c r="AH224" s="1"/>
  <c r="AG200"/>
  <c r="AH200" s="1"/>
  <c r="AC70"/>
  <c r="Y43"/>
  <c r="Z43" s="1"/>
  <c r="AG159"/>
  <c r="AH159" s="1"/>
  <c r="AG99"/>
  <c r="AH99" s="1"/>
  <c r="AG82"/>
  <c r="AH82" s="1"/>
  <c r="AG38"/>
  <c r="AH38" s="1"/>
  <c r="AG57"/>
  <c r="AH57" s="1"/>
  <c r="AG164"/>
  <c r="AH164" s="1"/>
  <c r="Y145"/>
  <c r="AC71"/>
  <c r="AC196"/>
  <c r="Y130"/>
  <c r="Z130" s="1"/>
  <c r="AC39"/>
  <c r="AD39" s="1"/>
  <c r="AC16"/>
  <c r="AC63"/>
  <c r="AC150"/>
  <c r="AG135"/>
  <c r="AH135" s="1"/>
  <c r="AC215"/>
  <c r="AC111"/>
  <c r="AC155"/>
  <c r="AG126"/>
  <c r="AH126" s="1"/>
  <c r="AG149"/>
  <c r="AH149" s="1"/>
  <c r="AC50"/>
  <c r="AC178"/>
  <c r="AC17"/>
  <c r="AC6"/>
  <c r="AC205"/>
  <c r="AG66"/>
  <c r="AH66" s="1"/>
  <c r="AC197"/>
  <c r="AG125"/>
  <c r="AH125" s="1"/>
  <c r="AC35"/>
  <c r="AG94"/>
  <c r="AH94" s="1"/>
  <c r="AG160"/>
  <c r="AH160" s="1"/>
  <c r="AG233"/>
  <c r="AH233" s="1"/>
  <c r="AG48"/>
  <c r="AH48" s="1"/>
  <c r="AG211"/>
  <c r="AH211" s="1"/>
  <c r="AG68"/>
  <c r="AH68" s="1"/>
  <c r="Y2"/>
  <c r="Z2" s="1"/>
  <c r="AG11"/>
  <c r="AH11" s="1"/>
  <c r="Y144"/>
  <c r="Z144" s="1"/>
  <c r="Y158"/>
  <c r="Z158" s="1"/>
  <c r="Y104"/>
  <c r="Z104" s="1"/>
  <c r="Y148"/>
  <c r="Z148" s="1"/>
  <c r="Y118"/>
  <c r="Z118" s="1"/>
  <c r="AC47"/>
  <c r="AC55"/>
  <c r="Y23"/>
  <c r="Z23" s="1"/>
  <c r="AC167"/>
  <c r="AG132"/>
  <c r="AH132" s="1"/>
  <c r="AC121"/>
  <c r="AG69"/>
  <c r="AH69" s="1"/>
  <c r="AG116"/>
  <c r="AH116" s="1"/>
  <c r="AG97"/>
  <c r="AH97" s="1"/>
  <c r="AC38"/>
  <c r="Y112"/>
  <c r="Z112" s="1"/>
  <c r="AC148"/>
  <c r="AC137"/>
  <c r="AD137" s="1"/>
  <c r="AG31"/>
  <c r="AH31" s="1"/>
  <c r="AG179"/>
  <c r="AH179" s="1"/>
  <c r="AC83"/>
  <c r="AC195"/>
  <c r="AC226"/>
  <c r="AC33"/>
  <c r="AF33" s="1"/>
  <c r="AG23"/>
  <c r="AH23" s="1"/>
  <c r="AC170"/>
  <c r="AF170" s="1"/>
  <c r="AG198"/>
  <c r="AH198" s="1"/>
  <c r="AG16"/>
  <c r="AH16" s="1"/>
  <c r="AG184"/>
  <c r="AH184" s="1"/>
  <c r="Y79"/>
  <c r="Z79" s="1"/>
  <c r="AC185"/>
  <c r="AG76"/>
  <c r="AH76" s="1"/>
  <c r="AG84"/>
  <c r="AH84" s="1"/>
  <c r="AG169"/>
  <c r="AH169" s="1"/>
  <c r="AG22"/>
  <c r="AH22" s="1"/>
  <c r="AG91"/>
  <c r="AH91" s="1"/>
  <c r="Y108"/>
  <c r="Z108" s="1"/>
  <c r="Y15"/>
  <c r="Y85"/>
  <c r="Z85" s="1"/>
  <c r="Y105"/>
  <c r="Z105" s="1"/>
  <c r="AG210"/>
  <c r="AH210" s="1"/>
  <c r="AC76"/>
  <c r="AC128"/>
  <c r="AC156"/>
  <c r="AG138"/>
  <c r="AH138" s="1"/>
  <c r="Y13"/>
  <c r="Z13" s="1"/>
  <c r="Y12"/>
  <c r="Z12" s="1"/>
  <c r="AG172"/>
  <c r="AH172" s="1"/>
  <c r="AG83"/>
  <c r="AH83" s="1"/>
  <c r="AG188"/>
  <c r="AH188" s="1"/>
  <c r="AG219"/>
  <c r="AH219" s="1"/>
  <c r="AG166"/>
  <c r="AH166" s="1"/>
  <c r="AG217"/>
  <c r="AH217" s="1"/>
  <c r="AG222"/>
  <c r="AH222" s="1"/>
  <c r="AC171"/>
  <c r="Y8"/>
  <c r="Z8" s="1"/>
  <c r="Y90"/>
  <c r="Z90" s="1"/>
  <c r="Y101"/>
  <c r="Z101" s="1"/>
  <c r="AG80"/>
  <c r="AH80" s="1"/>
  <c r="AC145"/>
  <c r="AC188"/>
  <c r="AG6"/>
  <c r="AH6" s="1"/>
  <c r="AG79"/>
  <c r="AH79" s="1"/>
  <c r="Y48"/>
  <c r="Z48" s="1"/>
  <c r="Y114"/>
  <c r="Z114" s="1"/>
  <c r="Y21"/>
  <c r="Z21" s="1"/>
  <c r="Y59"/>
  <c r="Z59" s="1"/>
  <c r="Y65"/>
  <c r="Z65" s="1"/>
  <c r="AH83" i="11"/>
  <c r="AJ216"/>
  <c r="S23" i="31" l="1"/>
  <c r="S80"/>
  <c r="S99"/>
  <c r="S68"/>
  <c r="AD169" i="14"/>
  <c r="AJ57" i="11"/>
  <c r="AI204"/>
  <c r="S61" i="31"/>
  <c r="S49"/>
  <c r="S42"/>
  <c r="X26"/>
  <c r="S26"/>
  <c r="X33"/>
  <c r="S33"/>
  <c r="F3" i="33"/>
  <c r="S30" i="31"/>
  <c r="X6"/>
  <c r="S6"/>
  <c r="S4"/>
  <c r="AI144" i="11"/>
  <c r="AH76"/>
  <c r="AH11"/>
  <c r="AI96"/>
  <c r="AH230"/>
  <c r="AJ164"/>
  <c r="AJ96"/>
  <c r="AH219"/>
  <c r="AI245"/>
  <c r="AJ144"/>
  <c r="AE94" i="14"/>
  <c r="AI218" i="11"/>
  <c r="AE114" i="14"/>
  <c r="AF91"/>
  <c r="AI57" i="11"/>
  <c r="AH65"/>
  <c r="AJ21"/>
  <c r="AH246"/>
  <c r="AJ66"/>
  <c r="AJ234"/>
  <c r="AH186"/>
  <c r="AD131" i="14"/>
  <c r="AH93" i="11"/>
  <c r="AJ218"/>
  <c r="AD219" i="14"/>
  <c r="AJ94" i="11"/>
  <c r="AJ210"/>
  <c r="AI219"/>
  <c r="AI84"/>
  <c r="AH47"/>
  <c r="AJ183"/>
  <c r="AI227"/>
  <c r="AH164"/>
  <c r="AJ107"/>
  <c r="AI11"/>
  <c r="AI97"/>
  <c r="AI78"/>
  <c r="AE131" i="14"/>
  <c r="AJ64" i="11"/>
  <c r="C5" i="33"/>
  <c r="AJ56" i="11"/>
  <c r="AH59"/>
  <c r="AI94"/>
  <c r="AJ238"/>
  <c r="AJ111"/>
  <c r="AH152"/>
  <c r="AJ131"/>
  <c r="AJ75"/>
  <c r="AI161"/>
  <c r="AI93"/>
  <c r="AH21"/>
  <c r="AH104"/>
  <c r="AJ130"/>
  <c r="AI65"/>
  <c r="AI66"/>
  <c r="AI159"/>
  <c r="AJ190"/>
  <c r="AI178"/>
  <c r="AH183"/>
  <c r="AI209"/>
  <c r="AE186" i="14"/>
  <c r="AJ246" i="11"/>
  <c r="AD122" i="14"/>
  <c r="AE12"/>
  <c r="AJ76" i="11"/>
  <c r="AJ196"/>
  <c r="AI47"/>
  <c r="AI60"/>
  <c r="AI238"/>
  <c r="AH84"/>
  <c r="AI249"/>
  <c r="AJ78"/>
  <c r="AE7" i="14"/>
  <c r="AJ106" i="11"/>
  <c r="AI184"/>
  <c r="AD7" i="14"/>
  <c r="AI131" i="11"/>
  <c r="AD220" i="14"/>
  <c r="AH204" i="11"/>
  <c r="AJ104"/>
  <c r="AH175"/>
  <c r="AH160"/>
  <c r="AJ15"/>
  <c r="AJ44"/>
  <c r="AI42"/>
  <c r="AJ83"/>
  <c r="AH88"/>
  <c r="AF182" i="14"/>
  <c r="AF46"/>
  <c r="AI165" i="11"/>
  <c r="AJ59"/>
  <c r="AH106"/>
  <c r="AF232" i="14"/>
  <c r="AJ95" i="11"/>
  <c r="AE220" i="14"/>
  <c r="AD85"/>
  <c r="AF186"/>
  <c r="AF21"/>
  <c r="AE105"/>
  <c r="AJ178" i="11"/>
  <c r="AD224" i="14"/>
  <c r="AH27" i="11"/>
  <c r="AI150"/>
  <c r="AE224" i="14"/>
  <c r="AF147"/>
  <c r="AF82"/>
  <c r="AE68"/>
  <c r="AI92" i="11"/>
  <c r="AD22" i="14"/>
  <c r="AJ43" i="11"/>
  <c r="AJ217"/>
  <c r="AH154"/>
  <c r="AJ13"/>
  <c r="AH188"/>
  <c r="AI98"/>
  <c r="AH125"/>
  <c r="AJ141"/>
  <c r="AH71"/>
  <c r="AI56"/>
  <c r="AH114"/>
  <c r="AJ206"/>
  <c r="AJ146"/>
  <c r="AH162"/>
  <c r="AI43"/>
  <c r="AI5"/>
  <c r="AI127"/>
  <c r="AH200"/>
  <c r="AH50"/>
  <c r="AJ70"/>
  <c r="AH26"/>
  <c r="AJ194"/>
  <c r="AH128"/>
  <c r="AD87" i="14"/>
  <c r="B2" i="33"/>
  <c r="AH95" i="11"/>
  <c r="AJ186"/>
  <c r="AI185"/>
  <c r="AH67"/>
  <c r="AJ241"/>
  <c r="AH44"/>
  <c r="AH184"/>
  <c r="AJ185"/>
  <c r="AI208"/>
  <c r="AI216"/>
  <c r="AH249"/>
  <c r="AH37"/>
  <c r="AH250"/>
  <c r="AH75"/>
  <c r="AI241"/>
  <c r="AE198" i="14"/>
  <c r="AI37" i="11"/>
  <c r="AJ209"/>
  <c r="AH134"/>
  <c r="AH97"/>
  <c r="AJ134"/>
  <c r="AH107"/>
  <c r="AJ152"/>
  <c r="AJ232"/>
  <c r="AI210"/>
  <c r="AI234"/>
  <c r="AH232"/>
  <c r="AI230"/>
  <c r="AI130"/>
  <c r="AF114" i="14"/>
  <c r="AJ160" i="11"/>
  <c r="AH42"/>
  <c r="AD82" i="14"/>
  <c r="AI147" i="11"/>
  <c r="AI108"/>
  <c r="AH34"/>
  <c r="AH38"/>
  <c r="AF138" i="14"/>
  <c r="AH138" i="11"/>
  <c r="AE234" i="14"/>
  <c r="AF231"/>
  <c r="AH35" i="11"/>
  <c r="AJ226"/>
  <c r="AH236"/>
  <c r="AD182" i="14"/>
  <c r="AJ165" i="11"/>
  <c r="AH170"/>
  <c r="AH159"/>
  <c r="AJ35"/>
  <c r="AD152" i="14"/>
  <c r="AD11"/>
  <c r="AD9"/>
  <c r="AI211" i="11"/>
  <c r="AH207"/>
  <c r="AJ112"/>
  <c r="AI112"/>
  <c r="AI166"/>
  <c r="AF5" i="14"/>
  <c r="AD231"/>
  <c r="AI74" i="11"/>
  <c r="AI111"/>
  <c r="AD94" i="14"/>
  <c r="AH64" i="11"/>
  <c r="AJ161"/>
  <c r="AI250"/>
  <c r="AF93" i="14"/>
  <c r="AF95"/>
  <c r="AH242" i="11"/>
  <c r="AF105" i="14"/>
  <c r="AD73"/>
  <c r="AH147" i="11"/>
  <c r="AI190"/>
  <c r="AI67"/>
  <c r="AF143" i="14"/>
  <c r="AF119"/>
  <c r="AD45"/>
  <c r="AE8"/>
  <c r="AF12"/>
  <c r="AF68"/>
  <c r="AH139" i="11"/>
  <c r="AI221"/>
  <c r="AH205"/>
  <c r="AJ136"/>
  <c r="AI207"/>
  <c r="AH39"/>
  <c r="AJ211"/>
  <c r="AE177" i="14"/>
  <c r="AD26"/>
  <c r="AI172" i="11"/>
  <c r="AI41"/>
  <c r="AH25"/>
  <c r="AE48" i="14"/>
  <c r="AJ7" i="11"/>
  <c r="AI206"/>
  <c r="AJ202"/>
  <c r="AI202"/>
  <c r="AI229"/>
  <c r="AI188"/>
  <c r="AH105"/>
  <c r="AH151"/>
  <c r="AH194"/>
  <c r="AH85"/>
  <c r="AI162"/>
  <c r="AJ150"/>
  <c r="AF29" i="14"/>
  <c r="AI128" i="11"/>
  <c r="AF126" i="14"/>
  <c r="AJ174" i="11"/>
  <c r="X99" i="31"/>
  <c r="C2" i="33"/>
  <c r="AF43" i="14"/>
  <c r="AJ4" i="11"/>
  <c r="AJ145"/>
  <c r="AI146"/>
  <c r="AJ90"/>
  <c r="AJ224"/>
  <c r="AE162" i="14"/>
  <c r="AH197" i="11"/>
  <c r="AH52"/>
  <c r="AJ68"/>
  <c r="AI203"/>
  <c r="AI136"/>
  <c r="AD48" i="14"/>
  <c r="AH6" i="11"/>
  <c r="AF26" i="14"/>
  <c r="AF140"/>
  <c r="AI40" i="11"/>
  <c r="AJ99"/>
  <c r="AJ225"/>
  <c r="AI141"/>
  <c r="AJ54"/>
  <c r="AE104" i="14"/>
  <c r="AD151"/>
  <c r="AJ237" i="11"/>
  <c r="AH113"/>
  <c r="AH237"/>
  <c r="AD43" i="14"/>
  <c r="AI114" i="11"/>
  <c r="AH174"/>
  <c r="AJ34"/>
  <c r="AH4"/>
  <c r="AJ200"/>
  <c r="AH86"/>
  <c r="AI153"/>
  <c r="AI91"/>
  <c r="AF22" i="14"/>
  <c r="AI110" i="11"/>
  <c r="AH217"/>
  <c r="AI224"/>
  <c r="AJ139"/>
  <c r="AJ5"/>
  <c r="AI205"/>
  <c r="AJ108"/>
  <c r="AJ124"/>
  <c r="AD92" i="14"/>
  <c r="AE29"/>
  <c r="AI105" i="11"/>
  <c r="AH222"/>
  <c r="AJ50"/>
  <c r="AF79" i="14"/>
  <c r="AF9"/>
  <c r="AF11"/>
  <c r="AI68" i="11"/>
  <c r="AE31" i="14"/>
  <c r="AE164"/>
  <c r="AF98"/>
  <c r="AH145" i="11"/>
  <c r="AE74" i="14"/>
  <c r="AH225" i="11"/>
  <c r="AD138" i="14"/>
  <c r="AF87"/>
  <c r="AF213"/>
  <c r="AJ41" i="11"/>
  <c r="AI51"/>
  <c r="AE219" i="14"/>
  <c r="AE147"/>
  <c r="AF73"/>
  <c r="AI129" i="11"/>
  <c r="AJ60"/>
  <c r="AD175" i="14"/>
  <c r="AF211"/>
  <c r="AJ247" i="11"/>
  <c r="AH122"/>
  <c r="AE113" i="14"/>
  <c r="AE232"/>
  <c r="AE119"/>
  <c r="AD211"/>
  <c r="AE227"/>
  <c r="AD227"/>
  <c r="AE95"/>
  <c r="AF175"/>
  <c r="AF203"/>
  <c r="AD184"/>
  <c r="AF184"/>
  <c r="AE45"/>
  <c r="AE122"/>
  <c r="AD49"/>
  <c r="AF135"/>
  <c r="AJ29" i="11"/>
  <c r="C4" i="33"/>
  <c r="AH46" i="11"/>
  <c r="AJ53"/>
  <c r="AJ88"/>
  <c r="AJ121"/>
  <c r="AJ176"/>
  <c r="AH49"/>
  <c r="AI226"/>
  <c r="AJ117"/>
  <c r="AI176"/>
  <c r="AI48"/>
  <c r="X23" i="31"/>
  <c r="AI182" i="11"/>
  <c r="AH231"/>
  <c r="B5" i="33"/>
  <c r="X4" i="31"/>
  <c r="AJ236" i="11"/>
  <c r="AH115"/>
  <c r="AH30"/>
  <c r="AI109"/>
  <c r="AJ9"/>
  <c r="AJ82"/>
  <c r="AH9"/>
  <c r="AD118" i="14"/>
  <c r="AJ248" i="11"/>
  <c r="AI117"/>
  <c r="AJ182"/>
  <c r="C7" i="33"/>
  <c r="B7"/>
  <c r="AJ18" i="11"/>
  <c r="AI55"/>
  <c r="AH89"/>
  <c r="AJ110"/>
  <c r="AI27"/>
  <c r="AJ6"/>
  <c r="AD229" i="14"/>
  <c r="AE229"/>
  <c r="AI124" i="11"/>
  <c r="AJ203"/>
  <c r="AH172"/>
  <c r="AI125"/>
  <c r="AJ197"/>
  <c r="AD177" i="14"/>
  <c r="AF161"/>
  <c r="AH221" i="11"/>
  <c r="AF212" i="14"/>
  <c r="AI81" i="11"/>
  <c r="AI154"/>
  <c r="AI38"/>
  <c r="AD164" i="14"/>
  <c r="AE5"/>
  <c r="AH127" i="11"/>
  <c r="AE151" i="14"/>
  <c r="AI138" i="11"/>
  <c r="AI8"/>
  <c r="AI163"/>
  <c r="AJ153"/>
  <c r="AH81"/>
  <c r="AJ40"/>
  <c r="AH54"/>
  <c r="AJ74"/>
  <c r="AJ163"/>
  <c r="AF214" i="14"/>
  <c r="AJ140" i="11"/>
  <c r="AJ17"/>
  <c r="AH171"/>
  <c r="AJ89"/>
  <c r="AH100"/>
  <c r="AI199"/>
  <c r="AI99"/>
  <c r="AI86"/>
  <c r="AF162" i="14"/>
  <c r="AI239" i="11"/>
  <c r="AE140" i="14"/>
  <c r="AI247" i="11"/>
  <c r="AF218" i="14"/>
  <c r="AH24" i="11"/>
  <c r="AJ71"/>
  <c r="AE161" i="14"/>
  <c r="AH90" i="11"/>
  <c r="AH166"/>
  <c r="AH98"/>
  <c r="AJ222"/>
  <c r="AE125" i="14"/>
  <c r="AF223"/>
  <c r="AH13" i="11"/>
  <c r="AI70"/>
  <c r="AI113"/>
  <c r="AE126" i="14"/>
  <c r="AD213"/>
  <c r="AJ30" i="11"/>
  <c r="AF74" i="14"/>
  <c r="AI7" i="11"/>
  <c r="AE144" i="14"/>
  <c r="AH157" i="11"/>
  <c r="AI85"/>
  <c r="AI132"/>
  <c r="AH239"/>
  <c r="AJ72"/>
  <c r="AJ151"/>
  <c r="AJ193"/>
  <c r="AE28" i="14"/>
  <c r="AH18" i="11"/>
  <c r="AD32" i="14"/>
  <c r="AE32"/>
  <c r="B6" i="33"/>
  <c r="AE118" i="14"/>
  <c r="AH193" i="11"/>
  <c r="AH215"/>
  <c r="AJ123"/>
  <c r="AH212"/>
  <c r="AE152" i="14"/>
  <c r="AJ212" i="11"/>
  <c r="AJ215"/>
  <c r="AI115"/>
  <c r="AH87"/>
  <c r="AI53"/>
  <c r="AJ24"/>
  <c r="AJ157"/>
  <c r="AJ156"/>
  <c r="AJ132"/>
  <c r="AH82"/>
  <c r="AH191"/>
  <c r="AI231"/>
  <c r="AH123"/>
  <c r="AI49"/>
  <c r="AI248"/>
  <c r="AJ55"/>
  <c r="AJ170"/>
  <c r="AH121"/>
  <c r="AD46" i="14"/>
  <c r="AH72" i="11"/>
  <c r="AI46"/>
  <c r="AI251"/>
  <c r="X42" i="31"/>
  <c r="AH79" i="11"/>
  <c r="AH181"/>
  <c r="AH17"/>
  <c r="AI73"/>
  <c r="AH31"/>
  <c r="AI31"/>
  <c r="AH69"/>
  <c r="AI244"/>
  <c r="AH199"/>
  <c r="AJ32"/>
  <c r="AH73"/>
  <c r="AI119"/>
  <c r="AJ122"/>
  <c r="AH223"/>
  <c r="AH32"/>
  <c r="AH149"/>
  <c r="AI45"/>
  <c r="AI19"/>
  <c r="AJ62"/>
  <c r="AI168"/>
  <c r="AE57" i="14"/>
  <c r="C6" i="33"/>
  <c r="AI155" i="11"/>
  <c r="AF18" i="14"/>
  <c r="AD65"/>
  <c r="AJ16" i="11"/>
  <c r="AJ137"/>
  <c r="AI192"/>
  <c r="AI187"/>
  <c r="AH235"/>
  <c r="AH19"/>
  <c r="AF176" i="14"/>
  <c r="AI142" i="11"/>
  <c r="X61" i="31"/>
  <c r="AD192" i="14"/>
  <c r="X80" i="31"/>
  <c r="AJ102" i="11"/>
  <c r="AH155"/>
  <c r="AH102"/>
  <c r="AI135"/>
  <c r="AJ214"/>
  <c r="AI189"/>
  <c r="AJ252"/>
  <c r="AH33"/>
  <c r="AH118"/>
  <c r="AD30" i="14"/>
  <c r="AH244" i="11"/>
  <c r="AH167"/>
  <c r="AI198"/>
  <c r="AI195"/>
  <c r="AH61"/>
  <c r="AH192"/>
  <c r="AF109" i="14"/>
  <c r="AJ69" i="11"/>
  <c r="AF133" i="14"/>
  <c r="AI252" i="11"/>
  <c r="AI167"/>
  <c r="AD133" i="14"/>
  <c r="AJ220" i="11"/>
  <c r="AI149"/>
  <c r="AI116"/>
  <c r="AH126"/>
  <c r="AI79"/>
  <c r="AJ201"/>
  <c r="AF65" i="14"/>
  <c r="AD18"/>
  <c r="AH58" i="11"/>
  <c r="S44" i="31" s="1"/>
  <c r="AI58" i="11"/>
  <c r="AH16"/>
  <c r="AH198"/>
  <c r="AI137"/>
  <c r="AF123" i="14"/>
  <c r="AD57"/>
  <c r="AF166"/>
  <c r="AD174"/>
  <c r="AI228" i="11"/>
  <c r="AI181"/>
  <c r="AH158"/>
  <c r="AI213"/>
  <c r="AD217" i="14"/>
  <c r="AH243" i="11"/>
  <c r="AF67" i="14"/>
  <c r="AE30"/>
  <c r="AI80" i="11"/>
  <c r="AD176" i="14"/>
  <c r="AI243" i="11"/>
  <c r="AH142"/>
  <c r="AD67" i="14"/>
  <c r="AF134"/>
  <c r="AE189"/>
  <c r="AD90"/>
  <c r="AF120"/>
  <c r="AE134"/>
  <c r="AJ118" i="11"/>
  <c r="AE142" i="14"/>
  <c r="AE123"/>
  <c r="AH92" i="11"/>
  <c r="AJ213"/>
  <c r="AI62"/>
  <c r="AH140"/>
  <c r="AJ63"/>
  <c r="X46" i="31" s="1"/>
  <c r="AE109" i="14"/>
  <c r="AE174"/>
  <c r="AI126" i="11"/>
  <c r="AH220"/>
  <c r="AJ33"/>
  <c r="AE92" i="14"/>
  <c r="AH29" i="11"/>
  <c r="AJ61"/>
  <c r="AH229"/>
  <c r="AF204" i="14"/>
  <c r="AE204"/>
  <c r="AD112"/>
  <c r="AJ168" i="11"/>
  <c r="AE206" i="14"/>
  <c r="AD166"/>
  <c r="AJ135" i="11"/>
  <c r="AJ195"/>
  <c r="AE112" i="14"/>
  <c r="AH28" i="11"/>
  <c r="AJ189"/>
  <c r="AI214"/>
  <c r="AJ228"/>
  <c r="AJ119"/>
  <c r="AI63"/>
  <c r="AJ177"/>
  <c r="AE218" i="14"/>
  <c r="AH187" i="11"/>
  <c r="AJ116"/>
  <c r="AI201"/>
  <c r="AD189" i="14"/>
  <c r="AF206"/>
  <c r="AJ45" i="11"/>
  <c r="AJ80"/>
  <c r="AI158"/>
  <c r="AH177"/>
  <c r="AJ28"/>
  <c r="AF187" i="14"/>
  <c r="AE230"/>
  <c r="AE187"/>
  <c r="AJ22" i="11"/>
  <c r="AE91" i="14"/>
  <c r="AD129"/>
  <c r="AH15" i="11"/>
  <c r="AH208"/>
  <c r="AD203" i="14"/>
  <c r="AJ242" i="11"/>
  <c r="AE135" i="14"/>
  <c r="AH12" i="11"/>
  <c r="AI12"/>
  <c r="AF198" i="14"/>
  <c r="AH196" i="11"/>
  <c r="AH129"/>
  <c r="AH14"/>
  <c r="AH8"/>
  <c r="AJ191"/>
  <c r="AJ87"/>
  <c r="AH251"/>
  <c r="AH156"/>
  <c r="AJ48"/>
  <c r="AJ109"/>
  <c r="AE4" i="14"/>
  <c r="AE79"/>
  <c r="AJ52" i="11"/>
  <c r="AJ25"/>
  <c r="AD181" i="14"/>
  <c r="AD157"/>
  <c r="AF194"/>
  <c r="AJ39" i="11"/>
  <c r="AH91"/>
  <c r="AE181" i="14"/>
  <c r="AH51" i="11"/>
  <c r="AF209" i="14"/>
  <c r="AE69"/>
  <c r="AE223"/>
  <c r="AF192"/>
  <c r="AJ100" i="11"/>
  <c r="AJ14"/>
  <c r="AH240"/>
  <c r="AE72" i="14"/>
  <c r="AE49"/>
  <c r="AI26" i="11"/>
  <c r="AF125" i="14"/>
  <c r="AD104"/>
  <c r="AD194"/>
  <c r="AF230"/>
  <c r="AD209"/>
  <c r="AF193"/>
  <c r="AE157"/>
  <c r="AE202"/>
  <c r="AF144"/>
  <c r="AE208"/>
  <c r="AE214"/>
  <c r="AJ20" i="11"/>
  <c r="AE90" i="14"/>
  <c r="AE52"/>
  <c r="AD172"/>
  <c r="AF44"/>
  <c r="AE217"/>
  <c r="AE183"/>
  <c r="AF233"/>
  <c r="AD233"/>
  <c r="AF168"/>
  <c r="G5" i="33"/>
  <c r="AA4" i="27"/>
  <c r="AD78" i="14"/>
  <c r="AF28"/>
  <c r="AD193"/>
  <c r="AF202"/>
  <c r="AE212"/>
  <c r="AI179" i="11"/>
  <c r="AI22"/>
  <c r="AD88" i="14"/>
  <c r="X49" i="31"/>
  <c r="AF222" i="14"/>
  <c r="AE216"/>
  <c r="AF23"/>
  <c r="AD216"/>
  <c r="AF183"/>
  <c r="AI23" i="11"/>
  <c r="AH36"/>
  <c r="AH103"/>
  <c r="AI101"/>
  <c r="AJ23"/>
  <c r="AH148"/>
  <c r="AJ103"/>
  <c r="AJ233"/>
  <c r="AD25" i="14"/>
  <c r="AE143"/>
  <c r="AF169"/>
  <c r="AD113"/>
  <c r="B4" i="33"/>
  <c r="G2"/>
  <c r="AH101" i="11"/>
  <c r="AE53" i="14"/>
  <c r="AD13"/>
  <c r="AJ169" i="11"/>
  <c r="AD53" i="14"/>
  <c r="G6" i="33"/>
  <c r="AI143" i="11"/>
  <c r="X64" i="31" s="1"/>
  <c r="AD40" i="14"/>
  <c r="AI20" i="11"/>
  <c r="AD163" i="14"/>
  <c r="AH143" i="11"/>
  <c r="AD59" i="14"/>
  <c r="AD97"/>
  <c r="AE3"/>
  <c r="AF54"/>
  <c r="AF201"/>
  <c r="AE54"/>
  <c r="AD14"/>
  <c r="AE102"/>
  <c r="AJ223" i="11"/>
  <c r="AE36" i="14"/>
  <c r="AE124"/>
  <c r="AJ120" i="11"/>
  <c r="X65" i="31" s="1"/>
  <c r="AA13" i="27"/>
  <c r="AF14" i="14"/>
  <c r="AF2"/>
  <c r="AD10"/>
  <c r="AE37"/>
  <c r="AE24"/>
  <c r="AE222"/>
  <c r="AE165"/>
  <c r="AD102"/>
  <c r="AJ171" i="11"/>
  <c r="AH180"/>
  <c r="F5" i="33"/>
  <c r="AF116" i="14"/>
  <c r="AF13"/>
  <c r="AH169" i="11"/>
  <c r="AI180"/>
  <c r="AD146" i="14"/>
  <c r="AD58"/>
  <c r="AF173"/>
  <c r="AJ240" i="11"/>
  <c r="AE173" i="14"/>
  <c r="X30" i="31"/>
  <c r="AF56" i="14"/>
  <c r="AF3"/>
  <c r="AE40"/>
  <c r="AH10" i="11"/>
  <c r="AE23" i="14"/>
  <c r="AE116"/>
  <c r="AF101"/>
  <c r="AJ36" i="11"/>
  <c r="AI233"/>
  <c r="AF15" i="14"/>
  <c r="AF41"/>
  <c r="AD108"/>
  <c r="AE146"/>
  <c r="AD24"/>
  <c r="AE10"/>
  <c r="AJ235" i="11"/>
  <c r="AE84" i="14"/>
  <c r="AJ179" i="11"/>
  <c r="AF36" i="14"/>
  <c r="AE201"/>
  <c r="AD132"/>
  <c r="AH133" i="11"/>
  <c r="AJ10"/>
  <c r="AE41" i="14"/>
  <c r="AD221"/>
  <c r="AE56"/>
  <c r="AF58"/>
  <c r="AD2"/>
  <c r="AH120" i="11"/>
  <c r="AI148"/>
  <c r="AD15" i="14"/>
  <c r="AF221"/>
  <c r="AF37"/>
  <c r="AE108"/>
  <c r="AE132"/>
  <c r="AI133" i="11"/>
  <c r="AD21" i="14"/>
  <c r="AI77" i="11"/>
  <c r="AJ245"/>
  <c r="AE85" i="14"/>
  <c r="AE137"/>
  <c r="AF137"/>
  <c r="AE120"/>
  <c r="AD142"/>
  <c r="AD8"/>
  <c r="AE59"/>
  <c r="AD84"/>
  <c r="AE25"/>
  <c r="AD101"/>
  <c r="AD165"/>
  <c r="AE129"/>
  <c r="AE97"/>
  <c r="AD124"/>
  <c r="AI173" i="11"/>
  <c r="AJ173"/>
  <c r="AH77"/>
  <c r="AD80" i="14"/>
  <c r="AD89"/>
  <c r="AF69"/>
  <c r="AF234"/>
  <c r="AE98"/>
  <c r="AF208"/>
  <c r="AF31"/>
  <c r="X68" i="31"/>
  <c r="AA12" i="27"/>
  <c r="AD61" i="14"/>
  <c r="AF163"/>
  <c r="AE61"/>
  <c r="AD168"/>
  <c r="AD93"/>
  <c r="AF149"/>
  <c r="AD200"/>
  <c r="AE80"/>
  <c r="AE200"/>
  <c r="AF107"/>
  <c r="F4" i="33"/>
  <c r="AF81" i="14"/>
  <c r="AE172"/>
  <c r="AE160"/>
  <c r="AD81"/>
  <c r="AD100"/>
  <c r="AF100"/>
  <c r="AF210"/>
  <c r="AF88"/>
  <c r="AF78"/>
  <c r="AF62"/>
  <c r="AE107"/>
  <c r="AD52"/>
  <c r="AE62"/>
  <c r="AE44"/>
  <c r="AF89"/>
  <c r="AD72"/>
  <c r="AE149"/>
  <c r="AF160"/>
  <c r="AF4"/>
  <c r="AE210"/>
  <c r="G4" i="33"/>
  <c r="AD171" i="14"/>
  <c r="AF171"/>
  <c r="AE171"/>
  <c r="AF128"/>
  <c r="AD128"/>
  <c r="AE128"/>
  <c r="Z15"/>
  <c r="S11" i="31" s="1"/>
  <c r="AE170" i="14"/>
  <c r="AD170"/>
  <c r="AE195"/>
  <c r="AF195"/>
  <c r="AD195"/>
  <c r="AE47"/>
  <c r="AD47"/>
  <c r="AF47"/>
  <c r="AF6"/>
  <c r="AE6"/>
  <c r="AD6"/>
  <c r="S13" i="31" s="1"/>
  <c r="AF215" i="14"/>
  <c r="AE215"/>
  <c r="AD215"/>
  <c r="AD16"/>
  <c r="AF16"/>
  <c r="AE16"/>
  <c r="AF71"/>
  <c r="AE71"/>
  <c r="AD71"/>
  <c r="AD191"/>
  <c r="AF191"/>
  <c r="AE191"/>
  <c r="AD96"/>
  <c r="AF96"/>
  <c r="AF42"/>
  <c r="AE42"/>
  <c r="AD42"/>
  <c r="AF34"/>
  <c r="AD34"/>
  <c r="AE34"/>
  <c r="AF115"/>
  <c r="AD115"/>
  <c r="AE115"/>
  <c r="AF103"/>
  <c r="AD103"/>
  <c r="AE103"/>
  <c r="AD207"/>
  <c r="AE207"/>
  <c r="AF207"/>
  <c r="AD60"/>
  <c r="AE60"/>
  <c r="AF60"/>
  <c r="AF27"/>
  <c r="AD27"/>
  <c r="AE27"/>
  <c r="AF130"/>
  <c r="AD130"/>
  <c r="AE130"/>
  <c r="AF145"/>
  <c r="AD145"/>
  <c r="AE145"/>
  <c r="AE156"/>
  <c r="AD156"/>
  <c r="AF156"/>
  <c r="AF185"/>
  <c r="AE185"/>
  <c r="AD185"/>
  <c r="AD226"/>
  <c r="AF226"/>
  <c r="AE226"/>
  <c r="AE38"/>
  <c r="AF38"/>
  <c r="AD38"/>
  <c r="AE121"/>
  <c r="AD121"/>
  <c r="AF121"/>
  <c r="AE55"/>
  <c r="AD55"/>
  <c r="AF55"/>
  <c r="AD35"/>
  <c r="AE35"/>
  <c r="AF35"/>
  <c r="AF205"/>
  <c r="AD205"/>
  <c r="AE205"/>
  <c r="AF50"/>
  <c r="AD50"/>
  <c r="AE50"/>
  <c r="AD111"/>
  <c r="AE111"/>
  <c r="AF111"/>
  <c r="AE63"/>
  <c r="AF63"/>
  <c r="AD63"/>
  <c r="AD196"/>
  <c r="AF196"/>
  <c r="AE196"/>
  <c r="AE19"/>
  <c r="AD19"/>
  <c r="AF19"/>
  <c r="AD106"/>
  <c r="AE106"/>
  <c r="AE159"/>
  <c r="AD159"/>
  <c r="AF159"/>
  <c r="AD64"/>
  <c r="AF64"/>
  <c r="AE86"/>
  <c r="AF86"/>
  <c r="AD86"/>
  <c r="AF66"/>
  <c r="AD66"/>
  <c r="AE66"/>
  <c r="AE110"/>
  <c r="AF110"/>
  <c r="AE188"/>
  <c r="AD188"/>
  <c r="AF188"/>
  <c r="AE33"/>
  <c r="AD33"/>
  <c r="AF178"/>
  <c r="AD178"/>
  <c r="AE178"/>
  <c r="AD155"/>
  <c r="AE155"/>
  <c r="AF155"/>
  <c r="AF150"/>
  <c r="AE150"/>
  <c r="AD150"/>
  <c r="AD75"/>
  <c r="AE75"/>
  <c r="AF75"/>
  <c r="AD117"/>
  <c r="AF117"/>
  <c r="AE117"/>
  <c r="AE225"/>
  <c r="AF225"/>
  <c r="AE154"/>
  <c r="AD154"/>
  <c r="AD158"/>
  <c r="AE158"/>
  <c r="AF158"/>
  <c r="AE179"/>
  <c r="AD179"/>
  <c r="AF153"/>
  <c r="AD153"/>
  <c r="AE153"/>
  <c r="AD199"/>
  <c r="AE199"/>
  <c r="AF199"/>
  <c r="AE99"/>
  <c r="AD99"/>
  <c r="AF99"/>
  <c r="AD76"/>
  <c r="AF76"/>
  <c r="AE76"/>
  <c r="AF83"/>
  <c r="AE83"/>
  <c r="AD83"/>
  <c r="AE148"/>
  <c r="AF148"/>
  <c r="AD148"/>
  <c r="AD167"/>
  <c r="AF167"/>
  <c r="AE167"/>
  <c r="AE197"/>
  <c r="AD197"/>
  <c r="AF197"/>
  <c r="AD17"/>
  <c r="AF17"/>
  <c r="AE17"/>
  <c r="AE39"/>
  <c r="AF39"/>
  <c r="Z145"/>
  <c r="S87" i="31" s="1"/>
  <c r="AE70" i="14"/>
  <c r="AF70"/>
  <c r="AD70"/>
  <c r="AE77"/>
  <c r="AF77"/>
  <c r="AD51"/>
  <c r="AF51"/>
  <c r="AE51"/>
  <c r="AE180"/>
  <c r="AF180"/>
  <c r="AD180"/>
  <c r="AF141"/>
  <c r="AE141"/>
  <c r="AD141"/>
  <c r="AD190"/>
  <c r="AE190"/>
  <c r="AF190"/>
  <c r="AF228"/>
  <c r="AE228"/>
  <c r="AD228"/>
  <c r="AD139"/>
  <c r="AE139"/>
  <c r="S101" i="31" l="1"/>
  <c r="S102"/>
  <c r="S103"/>
  <c r="S83"/>
  <c r="S45"/>
  <c r="S89"/>
  <c r="S63"/>
  <c r="S90"/>
  <c r="S71"/>
  <c r="S84"/>
  <c r="S82"/>
  <c r="S91"/>
  <c r="S65"/>
  <c r="S64"/>
  <c r="S72"/>
  <c r="S70"/>
  <c r="S46"/>
  <c r="S51"/>
  <c r="S52"/>
  <c r="S53"/>
  <c r="X34"/>
  <c r="S34"/>
  <c r="X27"/>
  <c r="S27"/>
  <c r="X25"/>
  <c r="S25"/>
  <c r="X32"/>
  <c r="S32"/>
  <c r="S15"/>
  <c r="X7"/>
  <c r="S7"/>
  <c r="X8"/>
  <c r="S8"/>
  <c r="S14"/>
  <c r="X45"/>
  <c r="X84"/>
  <c r="X44"/>
  <c r="X103"/>
  <c r="X14"/>
  <c r="X102"/>
  <c r="X63"/>
  <c r="X13"/>
  <c r="X101"/>
  <c r="X83"/>
  <c r="X82"/>
  <c r="X15"/>
  <c r="X91"/>
  <c r="X71"/>
  <c r="X70"/>
  <c r="X72"/>
  <c r="F6" i="33"/>
  <c r="X87" i="31"/>
  <c r="X53"/>
  <c r="X51"/>
  <c r="X11"/>
  <c r="F2" i="33"/>
  <c r="AA7" i="27"/>
  <c r="X52" i="31"/>
  <c r="X90"/>
  <c r="X89"/>
</calcChain>
</file>

<file path=xl/comments1.xml><?xml version="1.0" encoding="utf-8"?>
<comments xmlns="http://schemas.openxmlformats.org/spreadsheetml/2006/main">
  <authors>
    <author>Binu Alex</author>
  </authors>
  <commentList>
    <comment ref="K134" authorId="0">
      <text>
        <r>
          <rPr>
            <b/>
            <sz val="8"/>
            <color indexed="81"/>
            <rFont val="Tahoma"/>
            <family val="2"/>
          </rPr>
          <t>Binu Alex:</t>
        </r>
        <r>
          <rPr>
            <sz val="8"/>
            <color indexed="81"/>
            <rFont val="Tahoma"/>
            <family val="2"/>
          </rPr>
          <t xml:space="preserve">
Some apps may have a lower indexing latency and this should be identified in the Roadmap</t>
        </r>
      </text>
    </comment>
    <comment ref="K174" authorId="0">
      <text>
        <r>
          <rPr>
            <b/>
            <sz val="8"/>
            <color indexed="81"/>
            <rFont val="Tahoma"/>
            <family val="2"/>
          </rPr>
          <t>Binu Alex:</t>
        </r>
        <r>
          <rPr>
            <sz val="8"/>
            <color indexed="81"/>
            <rFont val="Tahoma"/>
            <family val="2"/>
          </rPr>
          <t xml:space="preserve">
Effort underway as part of Fusion and IAM program - Afzaal Syed, Ant Harper and Amit Tak are the contacts.</t>
        </r>
      </text>
    </comment>
  </commentList>
</comments>
</file>

<file path=xl/comments2.xml><?xml version="1.0" encoding="utf-8"?>
<comments xmlns="http://schemas.openxmlformats.org/spreadsheetml/2006/main">
  <authors>
    <author>Laura Murphy</author>
  </authors>
  <commentList>
    <comment ref="C16"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17"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18"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19"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0"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1"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2"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3"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4"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5"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6"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7"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8"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29"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30"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31"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 ref="C32" authorId="0">
      <text>
        <r>
          <rPr>
            <b/>
            <sz val="8"/>
            <color indexed="81"/>
            <rFont val="Tahoma"/>
            <family val="2"/>
          </rPr>
          <t>Laura Murphy:</t>
        </r>
        <r>
          <rPr>
            <sz val="8"/>
            <color indexed="81"/>
            <rFont val="Tahoma"/>
            <family val="2"/>
          </rPr>
          <t xml:space="preserve">
*Actions added 26-Jan are from the Key Decisions and Actions Jan 12 2012.pptx deck.</t>
        </r>
      </text>
    </comment>
  </commentList>
</comments>
</file>

<file path=xl/sharedStrings.xml><?xml version="1.0" encoding="utf-8"?>
<sst xmlns="http://schemas.openxmlformats.org/spreadsheetml/2006/main" count="7294" uniqueCount="3111">
  <si>
    <t>#</t>
  </si>
  <si>
    <t>Decision date</t>
  </si>
  <si>
    <t>Decision makers</t>
  </si>
  <si>
    <t>Potential impact if assumption proves to be false</t>
  </si>
  <si>
    <t>Status</t>
  </si>
  <si>
    <t>Assumption (brief description)</t>
  </si>
  <si>
    <t xml:space="preserve"> #</t>
  </si>
  <si>
    <t>Priority</t>
  </si>
  <si>
    <t>Risk Owner</t>
  </si>
  <si>
    <t>Impact: Schedule</t>
  </si>
  <si>
    <t>Issue Resolution</t>
  </si>
  <si>
    <t>Issue Definition</t>
  </si>
  <si>
    <t>Issue Assignment</t>
  </si>
  <si>
    <t>Issue Description</t>
  </si>
  <si>
    <t>Impact: Cost</t>
  </si>
  <si>
    <t>Active</t>
  </si>
  <si>
    <t>Validated by</t>
  </si>
  <si>
    <t>Assigned to</t>
  </si>
  <si>
    <t>Risk probability</t>
  </si>
  <si>
    <t>Risk response</t>
  </si>
  <si>
    <t>Mitigation plan</t>
  </si>
  <si>
    <t>Escalation level</t>
  </si>
  <si>
    <t>Risk resolution</t>
  </si>
  <si>
    <t>Last review date</t>
  </si>
  <si>
    <t>Next review date</t>
  </si>
  <si>
    <t>Date captured</t>
  </si>
  <si>
    <t>Identified by</t>
  </si>
  <si>
    <r>
      <t xml:space="preserve">Cause
</t>
    </r>
    <r>
      <rPr>
        <sz val="9"/>
        <color theme="1"/>
        <rFont val="EYInterstate Light"/>
      </rPr>
      <t xml:space="preserve"> As a result of (cause)</t>
    </r>
  </si>
  <si>
    <r>
      <t xml:space="preserve">Risk
</t>
    </r>
    <r>
      <rPr>
        <sz val="9"/>
        <color theme="1"/>
        <rFont val="EYInterstate Light"/>
      </rPr>
      <t>(uncertain event) may occur</t>
    </r>
  </si>
  <si>
    <t>Mitigation</t>
  </si>
  <si>
    <t>Update Log</t>
  </si>
  <si>
    <t>I1</t>
  </si>
  <si>
    <t>I2</t>
  </si>
  <si>
    <t>I3</t>
  </si>
  <si>
    <t>R1</t>
  </si>
  <si>
    <t>R3</t>
  </si>
  <si>
    <t>A1</t>
  </si>
  <si>
    <t>A2</t>
  </si>
  <si>
    <t>A3</t>
  </si>
  <si>
    <t>D1</t>
  </si>
  <si>
    <t>D2</t>
  </si>
  <si>
    <t>D3</t>
  </si>
  <si>
    <t>Required Risk Resolution Date</t>
  </si>
  <si>
    <t>Actual Risk Resolution Date</t>
  </si>
  <si>
    <t>Total Open Issues</t>
  </si>
  <si>
    <t>Total Open Risks</t>
  </si>
  <si>
    <t>Actual Resolution date</t>
  </si>
  <si>
    <t>Proximity</t>
  </si>
  <si>
    <t xml:space="preserve">Item </t>
  </si>
  <si>
    <t xml:space="preserve">Description </t>
  </si>
  <si>
    <t xml:space="preserve">Proposed Action </t>
  </si>
  <si>
    <t xml:space="preserve">Action </t>
  </si>
  <si>
    <r>
      <t>Top  Critical  Issues</t>
    </r>
    <r>
      <rPr>
        <sz val="7"/>
        <color rgb="FF646464"/>
        <rFont val="EYInterstate"/>
      </rPr>
      <t xml:space="preserve"> </t>
    </r>
  </si>
  <si>
    <r>
      <t>Top Critical Risks</t>
    </r>
    <r>
      <rPr>
        <sz val="7"/>
        <color rgb="FF646464"/>
        <rFont val="EYInterstate"/>
      </rPr>
      <t xml:space="preserve"> </t>
    </r>
  </si>
  <si>
    <t>Date Captured</t>
  </si>
  <si>
    <t>Update Log (Progress)</t>
  </si>
  <si>
    <t>Target Date</t>
  </si>
  <si>
    <t>Worksheet name</t>
  </si>
  <si>
    <t>How to use</t>
  </si>
  <si>
    <t>General</t>
  </si>
  <si>
    <t>Risk Log</t>
  </si>
  <si>
    <t>Assumptions Log</t>
  </si>
  <si>
    <t>Decisions Log</t>
  </si>
  <si>
    <r>
      <t xml:space="preserve">Effect 
</t>
    </r>
    <r>
      <rPr>
        <sz val="9"/>
        <color theme="1"/>
        <rFont val="EYInterstate Light"/>
      </rPr>
      <t>which could/would/may lead to (effect / impact)</t>
    </r>
  </si>
  <si>
    <t>Contingency Plan</t>
  </si>
  <si>
    <t>Next Review Date</t>
  </si>
  <si>
    <t>Assumptions</t>
  </si>
  <si>
    <t>Decisions</t>
  </si>
  <si>
    <t>Risks</t>
  </si>
  <si>
    <t>Planned Resolution</t>
  </si>
  <si>
    <t>App &amp; Data Migration</t>
  </si>
  <si>
    <t>Due Date</t>
  </si>
  <si>
    <t>Comments</t>
  </si>
  <si>
    <t>Pending</t>
  </si>
  <si>
    <t>Decision Description and Impact</t>
  </si>
  <si>
    <t>Impact: Scope</t>
  </si>
  <si>
    <t>Impact:  Quality</t>
  </si>
  <si>
    <t>Forum/Individual</t>
  </si>
  <si>
    <t>Probability</t>
  </si>
  <si>
    <t>05. Certain</t>
  </si>
  <si>
    <t>91-100%: very likely the risk will occur</t>
  </si>
  <si>
    <t>04. Probable</t>
  </si>
  <si>
    <t>61-90%: likely the risk will occur</t>
  </si>
  <si>
    <t>03. Possible</t>
  </si>
  <si>
    <t>41-60%: even likelihood the risk will occur</t>
  </si>
  <si>
    <t>02. Doubtful</t>
  </si>
  <si>
    <t>11-40%: unlikely the risk will occur</t>
  </si>
  <si>
    <t>01. Slight</t>
  </si>
  <si>
    <t>0-10%: very unlikely the risk will occur</t>
  </si>
  <si>
    <t>00. Unsure</t>
  </si>
  <si>
    <t>Investigation required</t>
  </si>
  <si>
    <t>01. Low</t>
  </si>
  <si>
    <t xml:space="preserve">02. Medium </t>
  </si>
  <si>
    <t>03. High</t>
  </si>
  <si>
    <t>04. Critical</t>
  </si>
  <si>
    <t>Priority to be determine</t>
  </si>
  <si>
    <t>Quality</t>
  </si>
  <si>
    <t>Scope change which impacts Time or Cost between more than 50%</t>
  </si>
  <si>
    <t>Scope change which impacts Time or Cost between 25% and 50%</t>
  </si>
  <si>
    <t>Scope change which impacts Time or Cost between 5% and 25%</t>
  </si>
  <si>
    <t>Scope change which impacts Time or Cost greater than 5%</t>
  </si>
  <si>
    <t>Scope</t>
  </si>
  <si>
    <t>Impact on cost baseline is greater than 50%</t>
  </si>
  <si>
    <t>Impact on cost baseline is between 25% and 50%</t>
  </si>
  <si>
    <t>Impact on cost baseline is less than 5%</t>
  </si>
  <si>
    <t>Cost</t>
  </si>
  <si>
    <t>Impact on Critical Path is between 5% and 25%</t>
  </si>
  <si>
    <t>Impact on Critical Path is less than 5%</t>
  </si>
  <si>
    <t>Time</t>
  </si>
  <si>
    <t>00. Undecided</t>
  </si>
  <si>
    <t>Area</t>
  </si>
  <si>
    <t>Impact: Risks and Issues</t>
  </si>
  <si>
    <t>01. Impact less than 4 weeks</t>
  </si>
  <si>
    <t>02. Impact greater than 4 weeks</t>
  </si>
  <si>
    <t>03. Impact greater than 3 months</t>
  </si>
  <si>
    <t>Impact: Quality</t>
  </si>
  <si>
    <t>Required Resolution Date</t>
  </si>
  <si>
    <t>Actual Resolution</t>
  </si>
  <si>
    <r>
      <t>1.   For each worksheet, enter the project name and last updated date in the header
2.</t>
    </r>
    <r>
      <rPr>
        <b/>
        <sz val="10"/>
        <color rgb="FFFF0000"/>
        <rFont val="EYInterstate"/>
      </rPr>
      <t xml:space="preserve"> </t>
    </r>
    <r>
      <rPr>
        <sz val="10"/>
        <rFont val="EYInterstate"/>
      </rPr>
      <t xml:space="preserve"> Project leads and managers will raise items from their individual project RAIDs to the program level RAID if it cannot be resolved within the project and/or if it has an impact at the overall program level (scope, quality, cost and schedule). </t>
    </r>
    <r>
      <rPr>
        <b/>
        <sz val="10"/>
        <color rgb="FFFF0000"/>
        <rFont val="EYInterstate"/>
      </rPr>
      <t xml:space="preserve">
</t>
    </r>
    <r>
      <rPr>
        <sz val="10"/>
        <rFont val="EYInterstate"/>
      </rPr>
      <t>3.  The person identifying and raising the item to the log must follow the instructions outlined below to properly define the item. It is critical for this person to:
            a. Clearly describe the item, including its potential effect or impact on the program
            b. Assess each impact category (quality, scope, cost and schedule) with your workstream lead
            c, Talk to potential item owner or assigned party and agree ownership. If nobody is identified, assign to item identifier. 
4.    The person assigned to the item is responsible to:
             a. Manage until action plan completed.
             b. Create an action plan. 
             c. Manage changes and tasks
             d. Keep workstream lead informed
              e. Update working notes, review notes and other fields as described below.</t>
    </r>
  </si>
  <si>
    <t>Issues</t>
  </si>
  <si>
    <t>Impact on Critical path is between 25% and 50%</t>
  </si>
  <si>
    <t>Impact on Critical Path is greater than 50%</t>
  </si>
  <si>
    <t>Impact on cost baseline is between 5% and 25%</t>
  </si>
  <si>
    <t>Minimal quality deliverable issues</t>
  </si>
  <si>
    <t>Small amount of quality deliverable issues which require remediation</t>
  </si>
  <si>
    <t>Large amount of quality deliverable issues which require remediation at program level</t>
  </si>
  <si>
    <t>Large amount of quality deliverable issues which impact Time and Cost and which require remediation at senior level</t>
  </si>
  <si>
    <t>Critical</t>
  </si>
  <si>
    <t>High</t>
  </si>
  <si>
    <t>Moderate</t>
  </si>
  <si>
    <t>Minor</t>
  </si>
  <si>
    <t>Negligible</t>
  </si>
  <si>
    <t>If the risk event occurs, the program/project will fail. Minimum acceptable requirements will not be met.</t>
  </si>
  <si>
    <t>If the risk event occurs, the program/project will encounter major cost/schedule increases. Minimum acceptable requirements will be met. Secondary requirements may not be met.</t>
  </si>
  <si>
    <t>If the risk event occurs, the program/project will encounter small cost/schedule increases. Minimum acceptable requirements will be met. Most secondary requirements will be met.</t>
  </si>
  <si>
    <t xml:space="preserve">If the risk event occurs, it will have no effect on the program/project. All requirements will be met. </t>
  </si>
  <si>
    <t>If the risk event occurs, the program/project will encounter moderate cost/schedule increases. Minimum acceptable requirements will be met; some secondary requirements may not be met.</t>
  </si>
  <si>
    <t>Risk Priority Definitions:</t>
  </si>
  <si>
    <t>Action</t>
  </si>
  <si>
    <t>Owner</t>
  </si>
  <si>
    <t>Date Closed</t>
  </si>
  <si>
    <t>Total Open High or Critical Risks</t>
  </si>
  <si>
    <t>Total Open High or Critical Issues</t>
  </si>
  <si>
    <t>Total Assumptions not yet validated</t>
  </si>
  <si>
    <t>Total Pending Decisions</t>
  </si>
  <si>
    <t>Risks: Missed Required Resolution Date</t>
  </si>
  <si>
    <t>Issues: Missed Required Resolution Date</t>
  </si>
  <si>
    <t>01. Open</t>
  </si>
  <si>
    <t>Change Management</t>
  </si>
  <si>
    <t>M&amp;C Program</t>
  </si>
  <si>
    <t>SharePoint</t>
  </si>
  <si>
    <t>04. High</t>
  </si>
  <si>
    <t>05. Critical</t>
  </si>
  <si>
    <t>Tech Foundation</t>
  </si>
  <si>
    <t>Unified Communications</t>
  </si>
  <si>
    <t>Risks open 1-3 months</t>
  </si>
  <si>
    <t>Risks open 3-6 months</t>
  </si>
  <si>
    <t>Risks open longer than 6 months</t>
  </si>
  <si>
    <t>Issues open 1-3 months</t>
  </si>
  <si>
    <t>Issues open 3-6 months</t>
  </si>
  <si>
    <t>Issues open longer than 6 months</t>
  </si>
  <si>
    <r>
      <t xml:space="preserve">1.    Enter a unique </t>
    </r>
    <r>
      <rPr>
        <b/>
        <sz val="10"/>
        <rFont val="EYInterstate"/>
      </rPr>
      <t>#</t>
    </r>
    <r>
      <rPr>
        <sz val="10"/>
        <rFont val="EYInterstate"/>
      </rPr>
      <t xml:space="preserve"> for the decision; this number serves as the item reference number. Proceed in numerical order such that first decision added to the log has </t>
    </r>
    <r>
      <rPr>
        <b/>
        <sz val="10"/>
        <rFont val="EYInterstate"/>
      </rPr>
      <t>#</t>
    </r>
    <r>
      <rPr>
        <sz val="10"/>
        <rFont val="EYInterstate"/>
      </rPr>
      <t xml:space="preserve"> D1, the second D2, etc.   
2.   Enter the name of the person who raised the Assumption to the log in the </t>
    </r>
    <r>
      <rPr>
        <b/>
        <sz val="10"/>
        <rFont val="EYInterstate"/>
      </rPr>
      <t>Identified by</t>
    </r>
    <r>
      <rPr>
        <sz val="10"/>
        <rFont val="EYInterstate"/>
      </rPr>
      <t xml:space="preserve"> column.
3.   Select the </t>
    </r>
    <r>
      <rPr>
        <b/>
        <sz val="10"/>
        <rFont val="EYInterstate"/>
      </rPr>
      <t>Workstream/Project/Program</t>
    </r>
    <r>
      <rPr>
        <sz val="10"/>
        <rFont val="EYInterstate"/>
      </rPr>
      <t xml:space="preserve"> which owns the assumption. It can be </t>
    </r>
    <r>
      <rPr>
        <i/>
        <sz val="10"/>
        <rFont val="EYInterstate"/>
      </rPr>
      <t>App &amp; Data Migration, Change Management,  M&amp;C Program, SharePoint, Technology Foundation</t>
    </r>
    <r>
      <rPr>
        <sz val="10"/>
        <rFont val="EYInterstate"/>
      </rPr>
      <t xml:space="preserve"> or </t>
    </r>
    <r>
      <rPr>
        <i/>
        <sz val="10"/>
        <rFont val="EYInterstate"/>
      </rPr>
      <t>Unified Communications</t>
    </r>
    <r>
      <rPr>
        <sz val="10"/>
        <rFont val="EYInterstate"/>
      </rPr>
      <t xml:space="preserve">. 
4.   Select the </t>
    </r>
    <r>
      <rPr>
        <b/>
        <sz val="10"/>
        <rFont val="EYInterstate"/>
      </rPr>
      <t xml:space="preserve">Status </t>
    </r>
    <r>
      <rPr>
        <sz val="10"/>
        <rFont val="EYInterstate"/>
      </rPr>
      <t xml:space="preserve">of the Decision. It can be </t>
    </r>
    <r>
      <rPr>
        <i/>
        <sz val="10"/>
        <rFont val="EYInterstate"/>
      </rPr>
      <t>Pending, Closed, Obsolete</t>
    </r>
    <r>
      <rPr>
        <sz val="10"/>
        <rFont val="EYInterstate"/>
      </rPr>
      <t>.
5.   Enter the</t>
    </r>
    <r>
      <rPr>
        <b/>
        <sz val="10"/>
        <rFont val="EYInterstate"/>
      </rPr>
      <t xml:space="preserve"> Target Date</t>
    </r>
    <r>
      <rPr>
        <sz val="10"/>
        <rFont val="EYInterstate"/>
      </rPr>
      <t xml:space="preserve"> for the decision; that is, the date by which the decision must be made.
6.   Enter the </t>
    </r>
    <r>
      <rPr>
        <b/>
        <sz val="10"/>
        <rFont val="EYInterstate"/>
      </rPr>
      <t xml:space="preserve">Decision date </t>
    </r>
    <r>
      <rPr>
        <sz val="10"/>
        <rFont val="EYInterstate"/>
      </rPr>
      <t xml:space="preserve">when this decision was made. When this date is entered, the Status of the item should be changed from Pending to Closed.
7.   Enter the details of all </t>
    </r>
    <r>
      <rPr>
        <b/>
        <sz val="10"/>
        <rFont val="EYInterstate"/>
      </rPr>
      <t>Decision makers</t>
    </r>
    <r>
      <rPr>
        <sz val="10"/>
        <rFont val="EYInterstate"/>
      </rPr>
      <t xml:space="preserve"> involved in making the decision.
8.   Enter </t>
    </r>
    <r>
      <rPr>
        <b/>
        <sz val="10"/>
        <rFont val="EYInterstate"/>
      </rPr>
      <t>Decision Description and Impact</t>
    </r>
    <r>
      <rPr>
        <sz val="10"/>
        <rFont val="EYInterstate"/>
      </rPr>
      <t xml:space="preserve"> of the decision.
9.   Enter any </t>
    </r>
    <r>
      <rPr>
        <b/>
        <sz val="10"/>
        <rFont val="EYInterstate"/>
      </rPr>
      <t xml:space="preserve">Comments </t>
    </r>
    <r>
      <rPr>
        <sz val="10"/>
        <rFont val="EYInterstate"/>
      </rPr>
      <t xml:space="preserve">you may have about the Decision. </t>
    </r>
  </si>
  <si>
    <t>Risk Trigger</t>
  </si>
  <si>
    <t>Total Decisions</t>
  </si>
  <si>
    <t>Total Assumptions</t>
  </si>
  <si>
    <t>Availability of necessary resources within EY across all projects - long lead times in securing the required resources, PMs, BA's and other resources for the various projects</t>
  </si>
  <si>
    <t>Al Grljevic</t>
  </si>
  <si>
    <t>02. Medium</t>
  </si>
  <si>
    <t>Investigate 3rd party systems integrators (IBM) for resourcing needs</t>
  </si>
  <si>
    <t>Work with resource planning team to Secure resources externally</t>
  </si>
  <si>
    <t>R10</t>
  </si>
  <si>
    <t>05. Risk Closed</t>
  </si>
  <si>
    <t>The German firm have a mail archive solution where we keep full copies of a users Notes mail file (up to 10 years of data) on a small set of Domino servers attached to lots of storage (45TB and growing). This in essence is a home grown mail archiving solution for Germany. There is a looming end of support date for the storage system that will hit us end of March 2012 ish.</t>
  </si>
  <si>
    <t>Nick Wood</t>
  </si>
  <si>
    <t>Investigate alternative archving solution for Germany</t>
  </si>
  <si>
    <t xml:space="preserve">Determine what the archiving solutions should be by the end of the envisioning phase of Exchange.
</t>
  </si>
  <si>
    <t>27/04 - Combine with R3; close.</t>
  </si>
  <si>
    <t>Determine: 1)What is the true legal / QRM requirement to keep mail for Germany ?
2)What the long term archiving solution will be and do we plan to suck in the Notes mail ?
3)When the solution is likely to be available so that if necessary alternative plans can be made.</t>
  </si>
  <si>
    <t>R11</t>
  </si>
  <si>
    <t>Need to make sure that the focus continues to be about the future and not just today. Risk is that the team could re-create some of the issues that exist today.</t>
  </si>
  <si>
    <t>NA</t>
  </si>
  <si>
    <t>Make sure the team documents requirements (What we need not how we do it) Challenge what is needed to verify that it is not a patch put in place to deal with an existing deficiency</t>
  </si>
  <si>
    <t>Add to workplan.</t>
  </si>
  <si>
    <t>27/04 - Not a risk. Close.</t>
  </si>
  <si>
    <t>R12</t>
  </si>
  <si>
    <t>The requirement to save content on a regular basis for GAAIT content (Q&amp;RM) could require significant storage. Need to determine most efficient means to provide this functionality.</t>
  </si>
  <si>
    <t>Adrian Mickleson</t>
  </si>
  <si>
    <t>Once platform is chosen, need to options to enable this functionality</t>
  </si>
  <si>
    <t>R13</t>
  </si>
  <si>
    <t>Need to determine where in country servers are required</t>
  </si>
  <si>
    <t>Define scope &amp; number of in country servers.</t>
  </si>
  <si>
    <t>27/04 - Not a risk, but a task. Close.</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</si>
  <si>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</si>
  <si>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</si>
  <si>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</si>
  <si>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</si>
  <si>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</si>
  <si>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</si>
  <si>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</si>
  <si>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</si>
  <si>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</si>
  <si>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</si>
  <si>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</si>
  <si>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</si>
  <si>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</si>
  <si>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</si>
  <si>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</si>
  <si>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</si>
  <si>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</si>
  <si>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</si>
  <si>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</si>
  <si>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</si>
  <si>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</si>
  <si>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</si>
  <si>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</si>
  <si>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</si>
  <si>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</si>
  <si>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</si>
  <si>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</si>
  <si>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</si>
  <si>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</si>
  <si>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</si>
  <si>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</si>
  <si>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</si>
  <si>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</si>
  <si>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</si>
  <si>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</si>
  <si>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R53</t>
  </si>
  <si>
    <t>R54</t>
  </si>
  <si>
    <t>R55</t>
  </si>
  <si>
    <t>R56</t>
  </si>
  <si>
    <t>R57</t>
  </si>
  <si>
    <t>R58</t>
  </si>
  <si>
    <t>R59</t>
  </si>
  <si>
    <t>R60</t>
  </si>
  <si>
    <t>R61</t>
  </si>
  <si>
    <t>R62</t>
  </si>
  <si>
    <t>R66</t>
  </si>
  <si>
    <t>R67</t>
  </si>
  <si>
    <t>R68</t>
  </si>
  <si>
    <t>R69</t>
  </si>
  <si>
    <t>R70</t>
  </si>
  <si>
    <t>R71</t>
  </si>
  <si>
    <t>R72</t>
  </si>
  <si>
    <t>R73</t>
  </si>
  <si>
    <t>R74</t>
  </si>
  <si>
    <t>R75</t>
  </si>
  <si>
    <t>R76</t>
  </si>
  <si>
    <t>R77</t>
  </si>
  <si>
    <t>R80</t>
  </si>
  <si>
    <t>R81</t>
  </si>
  <si>
    <t>R82</t>
  </si>
  <si>
    <t>R83</t>
  </si>
  <si>
    <t>R84</t>
  </si>
  <si>
    <t>R85</t>
  </si>
  <si>
    <t>R86</t>
  </si>
  <si>
    <t>R87</t>
  </si>
  <si>
    <t>R88</t>
  </si>
  <si>
    <t>R89</t>
  </si>
  <si>
    <t>R90</t>
  </si>
  <si>
    <t>New process of "pair programming" impacts productivity and/or timeline</t>
  </si>
  <si>
    <t>Michelle Edmonds</t>
  </si>
  <si>
    <t>New process of automated testing impacts productivity and/or timeline</t>
  </si>
  <si>
    <t>Monitor closely, especially early on to limit any adverse impacts</t>
  </si>
  <si>
    <t>06/07 - Michelle will look into this.
27/04 - Nicole noted this is in-progress and she will have an update next week.</t>
  </si>
  <si>
    <t>Nicole to define 04-May.</t>
  </si>
  <si>
    <t>New process of "continuous build" impacts productivity and/or timeline</t>
  </si>
  <si>
    <t>Data schemas vary dramatically among tools on different platforms and even within tools on common platforms (e.g., Lotus Notes). Further, there may be outdated content, duplicate content, and "bad" content or tagging.  Quantity of content is vast.</t>
  </si>
  <si>
    <t>Phil Stubbington</t>
  </si>
  <si>
    <t>Application and Content Migration workstream is identifying today’s knowledge applications. These will be reviewed and a migration strategy for each will be developed</t>
  </si>
  <si>
    <t>27/04 - Risk to plan for at this time. Close.</t>
  </si>
  <si>
    <t>27/04 - Not a risk, but a task. Verification to occur prior to SOW. Close.</t>
  </si>
  <si>
    <t xml:space="preserve">Lack of a voice from every end user may lead to missed requirements; It may be difficult to identify the correct resources from whom to elicit requirements. </t>
  </si>
  <si>
    <t>Additional cost of point solutions will may with SP</t>
  </si>
  <si>
    <t>Strong cross-service line/stakeholder governance model
Involving stakeholders in early strategy and feasibility sessions to encourage thinking ahead.
Working with vendors and researching best practices to understand the art of the possible
Starting with defined business requirements to understand WHAT functionality must be included before discussing how</t>
  </si>
  <si>
    <t xml:space="preserve">Representation from all service lines, EY Knowledge, and some CBS groups in workshops. Used feedback and reporting on external sites to understand some of external user requirements
User group validation planned for future phases - design and implementation.
Plan to conduct usability testing with “real” practitioners throughout design and implementation phases. An iterative approach will be used for further requirement gathering and build  to increase flexibility in response to discovering “missed” or “changing” requirements.
The effort will be divided into workstreams and phases to try to manage tackling too much at once.
The business will identify primary SMR’s who will be able to reach out to additional contacts as needed.
</t>
  </si>
  <si>
    <t xml:space="preserve">10/05 - discuss in the Thursday PM call.
27/04 - Need names of appropriate representatives by 21 May.
</t>
  </si>
  <si>
    <t>See Mitigation Plan.</t>
  </si>
  <si>
    <t>R2</t>
  </si>
  <si>
    <t>Provisioning standard user object has a direct impact on end users, are we in the position to provide the support needed for every user globally within the timeline</t>
  </si>
  <si>
    <t>It may be difficult to identify the correct resources from whom to elicit requirements.</t>
  </si>
  <si>
    <t>Anthony Harper</t>
  </si>
  <si>
    <t>Consider work performed by the AD group provisioning project and how that can be expedited for the needs of the M&amp;C program</t>
  </si>
  <si>
    <t>Interim SOW approved to engage Microsoft to determine appropriate approach for AD requirements</t>
  </si>
  <si>
    <t xml:space="preserve">An iterative approach will be used for further requirement gathering and build  to increase flexibility in response to discovering “missed” or “changing” requirements.
The effort will be divided into workstreams and phases to try to manage tackling too much at once.
The business will identify primary SMR’s who will be able to reach out to additional contacts as needed.
</t>
  </si>
  <si>
    <t>27/04 - Related to Interim SOW, has been mitigated. Close.</t>
  </si>
  <si>
    <t>27/04 - Combine with R19. Close.</t>
  </si>
  <si>
    <t>Kick off interim SOW work
19/04 - superceeded by the wider Active Directory risk</t>
  </si>
  <si>
    <t>5/10/2011; Closed 27/04/2011</t>
  </si>
  <si>
    <t>In June there are planned to be a number of elaboration sessions for Lync, Exchange, SP Foundation and a Desing 0 Session.  Currently the exact dates and locations of these sesssions cannot be confirmed.   The cost of travel will continue to increase as the date come closer and key resources may not be available.  Need to schedule sessions ASAP</t>
  </si>
  <si>
    <t>The MS hourly rates received from procurement are higher than the original plan.  Working to determine the impact to the overall cost.</t>
  </si>
  <si>
    <t>Acceptance</t>
  </si>
  <si>
    <t xml:space="preserve">11/04 - Close here and make it a Critical Issue. </t>
  </si>
  <si>
    <r>
      <rPr>
        <b/>
        <sz val="9"/>
        <color theme="1"/>
        <rFont val="Arial"/>
        <family val="2"/>
      </rPr>
      <t xml:space="preserve">29/06 </t>
    </r>
    <r>
      <rPr>
        <sz val="9"/>
        <color theme="1"/>
        <rFont val="Arial"/>
        <family val="2"/>
      </rPr>
      <t>- SOW's signed - close.</t>
    </r>
    <r>
      <rPr>
        <b/>
        <sz val="9"/>
        <color theme="1"/>
        <rFont val="Arial"/>
        <family val="2"/>
      </rPr>
      <t xml:space="preserve">
</t>
    </r>
    <r>
      <rPr>
        <sz val="9"/>
        <color theme="1"/>
        <rFont val="Arial"/>
        <family val="2"/>
      </rPr>
      <t xml:space="preserve">08/06 - SOW have not been confirmed so it is still a risk. $'s are material and will have a cost impact.  Support and guidance roles are affected - continue to work through details / SOWs.
25/05 - Michelle: No detail received yet; will talk with Rita.
18/05 - Haven't yet received final hourly rates.
11/05 - Unsure of impact as of now; wait for procurement to see where rates are.
</t>
    </r>
  </si>
  <si>
    <t>Relative scope of Application Migration (AM) and Solution Portfolio Asset Rationalisation (SPAR) unclear</t>
  </si>
  <si>
    <t>Process of identifying "as is" applications, business and technical classification, and decision making not well defined.</t>
  </si>
  <si>
    <t>Neil Sahdev</t>
  </si>
  <si>
    <t>30/08- SPAR program now disbanded. Close.</t>
  </si>
  <si>
    <t>12/10 - Manually reaching out to the business on these applications.</t>
  </si>
  <si>
    <t xml:space="preserve">Discussing emerging scope with SPAR program team. Updating AM charter accordingly. Will seek approval of same from SPAR. </t>
  </si>
  <si>
    <t>Define processes as part of AM program. Seek approval from SPAR, DCC, and other programs with common interest.</t>
  </si>
  <si>
    <t>?</t>
  </si>
  <si>
    <t xml:space="preserve">Timeline for conversion of 15 applications by Microsoft shows 20+ week schedule which if extrapolated for remainder of the applications would indicate Program would not complete by mid-2013. </t>
  </si>
  <si>
    <t>App and Data Migration</t>
  </si>
  <si>
    <t xml:space="preserve">Microsoft development effort estimating method unclear, and estimates appear to be nominal. </t>
  </si>
  <si>
    <t xml:space="preserve">Delay in agreeing and signing off the Microsoft MOU, EA and Master Work Order. </t>
  </si>
  <si>
    <t>11/05 - Opened as risk and closed as Issue 3; waiting on legal sign-off. 
18/05 - Still seem to be on track. Conversation with MS legal to push them harder. 
25/05 - Still planning sign-off by 1-June; call scheduled this afternoon to determine how realistic this is and how to mitigate if it's not. Planning for all to be signed-off same day.
08/06 - Accept and Close.  June 28th is the date for signing the MOU, EA, and Mater work order.</t>
  </si>
  <si>
    <t xml:space="preserve">SP Foundation - Infrastructure needs SP Enablement business requirements. </t>
  </si>
  <si>
    <t>CR raised on MS to provide additional resource</t>
  </si>
  <si>
    <t>Use current non-functional requirements to help drive to sessions regarding SP Architecture.</t>
  </si>
  <si>
    <t>Accept that BRs will be confirmed by Fusion for Phase 1 as of end Nov '11</t>
  </si>
  <si>
    <t>Technology Foundation</t>
  </si>
  <si>
    <t>5 Managing Sponsors still need to be identified (Finance and 4 Area Sponsors)</t>
  </si>
  <si>
    <t>08/06 - accept the risk and close.
25/05 - Michelle and Al have communicated this to John; remains open.
01/06 - Discuss at Friday's IT Steering Committee meeting (and at Ken's meeting).
08/06 - John is aware of the need for the managing sponsors.  Accept this as a risk and close.</t>
  </si>
  <si>
    <t>Michelle and Al have communicated this to John and he is aware of the need for the managing sponsors.  Accept this as a risk and close.</t>
  </si>
  <si>
    <t>Identify MS Resources for the Envisioning Workshops in July.</t>
  </si>
  <si>
    <t>Absense of BPOS POC prevents validation of migration and coexistence tools</t>
  </si>
  <si>
    <t>Mark Reade</t>
  </si>
  <si>
    <t>Work with Rita to assign roles / receive CV's for EY review.  Provide Rita the July envisioning schedule so she can start assigning MS Resources.</t>
  </si>
  <si>
    <r>
      <t>06/07 - 14 resources identified by Rita for Secaucus.  Scott is working with Sourcing to on-board - close</t>
    </r>
    <r>
      <rPr>
        <b/>
        <sz val="9"/>
        <color theme="1"/>
        <rFont val="Arial"/>
        <family val="2"/>
      </rPr>
      <t xml:space="preserve">
</t>
    </r>
    <r>
      <rPr>
        <sz val="9"/>
        <color theme="1"/>
        <rFont val="Arial"/>
        <family val="2"/>
      </rPr>
      <t xml:space="preserve">29/06 - Need to touch base with Rita for MS Resources.
15/06 - CV's are due back shortly from MS.
08/06 - Adrian said since delay, MS has disbanded their team / clean sheet going forward.  Need to review CV's / roles so we get MS resources assigned for July workshops.
</t>
    </r>
  </si>
  <si>
    <t>10/8 - BPOS is not in scope - close risk.
15/06 - Mark added this as a potential risk.  BPOS POC was not validated up front.  Revisit in 2 weeks.</t>
  </si>
  <si>
    <t>TBD</t>
  </si>
  <si>
    <t xml:space="preserve">Group Management solution is required to manage the Active Directory groups prior to commencement of UAT, Lync and Outlook. 
</t>
  </si>
  <si>
    <t>Daren Wicks</t>
  </si>
  <si>
    <t>27/07 Work on GLMS(plane a) being planned, and RFP underway for Third Party (Plan b) 
(Plan a) Looking at modifying GLMS to add the required extra content and formatting (plan b) looking at alternative 3rd party tools such as Imanami
22/6 - Work on both plan A and B progressing, Plan A (modification of GLMS) appears to split into two phases, co-existance and exchange, 3rd party tool still looks to be potentially viable option.</t>
  </si>
  <si>
    <t>14/09 - Close as a risk and open as a critical issue, Issue 35.
07/09 - RFP responses received and are currently being evaluated. Program interdependency stated in enterprise plan. 
31/08 - RFP responses due back close of business today. Only expecting 2 responses as there were legal implications with the third.
24/08 - Responses due back from vendors by 31-Aug; will forward change request when know what cost is; no further updates.
17/08 - In process; RFP out for solution.
10/08 - next steps are to complete the RFP and figure out how / who is going to pay for it.
27/07 Work on GLMS(plane a) being planned, and RFP underway for Third Party (Plan b) 
(Plan a) Looking at modifying GLMS to add the required extra content and formatting (plan b) looking at alternative 3rd party tools such as Imanami.
22/06 - Work on both plan A and B progressing, Plan A (modification of GLMS) appears to split into two phases, co-existance and exchange, 3rd party tool still looks to be potentially viable option. 
15/06 - Risk added by Steve - continue to work with MS on ITAP analysis.</t>
  </si>
  <si>
    <t>Encrypted E-mail solution needed (Identified by ITAP)</t>
  </si>
  <si>
    <t>MS have not confirmed the limitations of functionality i.e. coexistance that migrating to a hybrid estate will present</t>
  </si>
  <si>
    <t>Paul Neave / Dean White</t>
  </si>
  <si>
    <t>Rights management Server is MS solution for Exchange encrypted e-mail, working to see if this should be part of IAM project (its very focused on Identity and Access) or M&amp;C</t>
  </si>
  <si>
    <t>Envisioning workshops are scheduled to discuss - however these will be after the event of contract</t>
  </si>
  <si>
    <t>05/10 - Mark closed.
04/10 - R Bouji: Discussions with Binary Tree on 21/09 discussed some of the co-existence risks/challenges/ and functionality that can be offered by Binary Tree to address these. Additional discussions on co-existence to be held in Design &amp; Planning workshops with Microsoft and Binary Tree w/c 10/10. High level plan for addressing co-existence issues to be in place by end Oct
15/06 - Risk added by Mark, to be discussed during the envision sessions.</t>
  </si>
  <si>
    <t>SharePoint Developer Environments -- Performance / Sizing</t>
  </si>
  <si>
    <t>Greg Van Valkenburgh</t>
  </si>
  <si>
    <t xml:space="preserve">Development Workstation Buildout - receiving MS requirements / direction so the 35 VM's (workstations) can be built for Fusion development team.  </t>
  </si>
  <si>
    <t>Scott Machovina</t>
  </si>
  <si>
    <t>N/A</t>
  </si>
  <si>
    <t>Waiting for Confirmation from Microsoft on the sizing -- e.g., especially RAM.  Will not provide confirmation until signing and MS resources assigned</t>
  </si>
  <si>
    <r>
      <t>15/06</t>
    </r>
    <r>
      <rPr>
        <b/>
        <sz val="9"/>
        <color theme="1"/>
        <rFont val="Arial"/>
        <family val="2"/>
      </rPr>
      <t xml:space="preserve"> </t>
    </r>
    <r>
      <rPr>
        <sz val="9"/>
        <color theme="1"/>
        <rFont val="Arial"/>
        <family val="2"/>
      </rPr>
      <t>- Microsoft SOW lacking detail.</t>
    </r>
  </si>
  <si>
    <t>Work with MS to receive requirements prior to the start of development.</t>
  </si>
  <si>
    <r>
      <t>27/07 - Nick Wood said to reach out and work with MS on load / config requirements - close risk.
06/07 - MS engaged - meeting to be scheduled to finalize dev workstation build.</t>
    </r>
    <r>
      <rPr>
        <b/>
        <sz val="9"/>
        <color theme="1"/>
        <rFont val="Arial"/>
        <family val="2"/>
      </rPr>
      <t xml:space="preserve">
</t>
    </r>
    <r>
      <rPr>
        <sz val="9"/>
        <color theme="1"/>
        <rFont val="Arial"/>
        <family val="2"/>
      </rPr>
      <t>29/06 -Microsoft needs to tell us what exactly they need. Brian and Greg to discuss off-line.</t>
    </r>
  </si>
  <si>
    <t>MS provided confirmation that 8GB is sufficient for baseline workstation.</t>
  </si>
  <si>
    <t xml:space="preserve">A managed services RFP is being run to select vendor for services for Lync, Exchange and SharePoint. There is a risk that we may impact hardware order dates.
Decision had been taken to do prerequisite vendor workshops with 8 vendors to finalize RFP future state requirements. Workshops completing 28-October. 
</t>
  </si>
  <si>
    <t>Inter-program dependencies around sharing resources (i.e. IAM resources)</t>
  </si>
  <si>
    <t>Begin analysis / research of competing solutions.</t>
  </si>
  <si>
    <t>Invite Steve and Ken to RAID call.</t>
  </si>
  <si>
    <t>10/08 - Bob and Ken have joined the M&amp;C weekly RAID call.  Daren Wicks identified to represent M&amp;C Program for Inter-program dependencies. Close risk.
27/07 - Steve Betts will send list to Lauren so they can be included in the call.</t>
  </si>
  <si>
    <t>R4</t>
  </si>
  <si>
    <t>Timely availability of system logs (SMTP logs, SharePoint Logs) hosted in the cloud for Forensics &amp; Investigation to support EY legal obligations.</t>
  </si>
  <si>
    <t>Ken Iloka</t>
  </si>
  <si>
    <t>Risk opened by MS - SameTime and Group discussion around migration (buddy list).</t>
  </si>
  <si>
    <t>Rita Seibel / Adrian Mickleson</t>
  </si>
  <si>
    <t>Implementing an archiving solution or confirmation that we can use email back ups should resolve this risk.</t>
  </si>
  <si>
    <t>Investigate an on premise archiving solution</t>
  </si>
  <si>
    <t>27/04 - Close.</t>
  </si>
  <si>
    <t>Kick off review of potential vendors
19/04 - linked to archiving risk above</t>
  </si>
  <si>
    <t>4/18/2011; Closed 27/04/2011</t>
  </si>
  <si>
    <t>EY to raise risk up to Mgr Sponsors to get resolution.</t>
  </si>
  <si>
    <t>10/08 - Decision made and moving forward.  Close risk.
27/07 - Raise risk to Mgr Sponsors for resolution.</t>
  </si>
  <si>
    <t>Risk opened by MS - Lack of Business Stakeholder presense in envisioning sessions (Messaging and Lync).</t>
  </si>
  <si>
    <t>Environment buildouts are based on assumptions for Phase 1; however, they could change as new requirements are identified which may cause infrastructure changes.</t>
  </si>
  <si>
    <t>Adrian Mickleson / Michelle Edmonds</t>
  </si>
  <si>
    <t>10/08 - Acknowledge risk and working to address lack of business presence.
27/07 - new risk opened by MS.</t>
  </si>
  <si>
    <t>Made assumptions based on the existing Vision and Scope documents from the business.   
Review monthly</t>
  </si>
  <si>
    <t>The "People Strategy Refresh" is in process.  Decisions/directions could be set that would change or alter approaches and strategy that could affect Fusion.  Strategy is to be presented in September, then going through an approval/vetting process, and a "working plan" targeted for November.</t>
  </si>
  <si>
    <t>Prioritization of all work for Phase 1 will not be possible due to the need to have 3rd party components for items such as Taxonomy Management</t>
  </si>
  <si>
    <t>The end date of the effort will not be able to be projected</t>
  </si>
  <si>
    <t>Need to wait until strategy is defined</t>
  </si>
  <si>
    <t>Evaluate impact when strategy is accepted/announced</t>
  </si>
  <si>
    <t>5/10 - still need to assess impact when strategy is announced.
21/09 - still need to assess impact when strategy is announced.
08/05 - new risk opened</t>
  </si>
  <si>
    <t>Priorizite all work with the information known to date</t>
  </si>
  <si>
    <t>5/10 - assessment will continue throughout the program
28/09 - in process</t>
  </si>
  <si>
    <t>If the placeholders used to gauge the work for Phase 1 are significantly less than the detailed estimates, the team size could be off.</t>
  </si>
  <si>
    <t>Wrong size of the development team, excess capacity or not enough capacity or not enough of the right type</t>
  </si>
  <si>
    <t xml:space="preserve">Need decision on Service Pack versions for Exchange and Lync during Planning after Envisioning. This affects the date that the AD has to be ready for the pre-production environment and it is noted that current SLA for delivery of AD changes is 4-6 weeks. </t>
  </si>
  <si>
    <t>Review work load as new information becomes available. Use best practices from similar efforts to verify estimates. 
Review weekly with the any new information available</t>
  </si>
  <si>
    <t>17/08 - Assumption of Service Pack 1 unless told otherwise. 
10/08 - Anthony to finalise with MSFT - John Bruce. Also work to reduce the 4-6 week delivery SLA where possible</t>
  </si>
  <si>
    <t>31/08 - Got response from John Bruce. Service Pack 2 not due out until later in the year for Exchange so may need to stay with Service Pack 1 for now and go to 2 later. (For Lync there really isn't a Service Pack, just updates.)
24/08 - No update; Anthony going to touch base with John Bruce for confirmation. Follow-up next week. 
10/08 - New risk opened.  Request out to Microsoft for most recent service packs / versions.  If not received, then build with current version.</t>
  </si>
  <si>
    <t>A number of prerequisites activities will need to be completed in time for the commencement of the SOWs
Decided 11-May that this issue will be specific to "Active Directory" work. 
Moved from Issue to Risk on 24-Aug.</t>
  </si>
  <si>
    <t>Adrian Mickleson / Daren Wicks</t>
  </si>
  <si>
    <t xml:space="preserve">31/08 - Closed. 
24/08 - Closed as Issue 4 and opened as a new risk. Daren has done first pass review with GCL5 team; will be ongoing. Still gathering requirements specific to AD. 
For prior log entries, see Issue 4 (closed). </t>
  </si>
  <si>
    <t>31/08/11</t>
  </si>
  <si>
    <t>R49A</t>
  </si>
  <si>
    <t>R49B</t>
  </si>
  <si>
    <t xml:space="preserve">Availability / time-line of the development VM boxes (config &amp; software) and the deployment environments (development, QA, Production) for iteration 2.
1. Ver 2 - Developer Workstations - Nov 22 '11
2. Ver 2 - Component Integrated Development Environment - Dec 1 '11
3. Ver 2 - Deployment Integrated Development Environment -  Dec 1 '11
4. QA Environments (Intranet, Extranet, Security) - Dec 1 '11
5. Staging Environments (Intranet, Extranet) - Jan 3 '12
6. UAT Environments (Intranet, Extranet) - Jan 15  '12
</t>
  </si>
  <si>
    <t xml:space="preserve">TFS infrastructure: can it handle the expected load in future? What is the process if proxy goes down? </t>
  </si>
  <si>
    <t>Mark Reade/Rita Seibel</t>
  </si>
  <si>
    <t>CR bring raised on MS to specify design, build to be fast tracked once approved</t>
  </si>
  <si>
    <t>Repurpose 2xVMs for an interim Iteration #1 QA build
use the build expedite group where possible to reduce the time required to builid the servers</t>
  </si>
  <si>
    <t>07/09 - Brian Blinco confirmed we accept this. We have a process for this; it is not an issue. Close.
31/08 - Mark not on call; Nicky doesn't think they suspect issues, but need to check with Mark. 
24/08 - Rita opened; Mark and Rita to discuss off-line.</t>
  </si>
  <si>
    <t>R5</t>
  </si>
  <si>
    <t>Level 4 Support Team for Post Phase 1 Go-Live has not been confirmed (IT Solutions Teams are structured by Portfolio)</t>
  </si>
  <si>
    <t>Resources not available causng existing resources to be used and less functionality in Phase 2</t>
  </si>
  <si>
    <t>Guy Morgan 
Alan Guthrie</t>
  </si>
  <si>
    <t>We need to define the Level 4 Support Team</t>
  </si>
  <si>
    <t>07/12 - Per Alan, Skip. Review next week.
12/10 - Application Engineer support needed. Guy will follow up with Alan.</t>
  </si>
  <si>
    <t>The timing for the implementation of the required WAN optimisation solution for BPOS / Cloud Computing.
This may require engagement with 3rd party suppliers and likely to add to the overall schedule. Not a constraint to Lync implementation.</t>
  </si>
  <si>
    <t>Align the program to the GWAN program and decouple non dependent work streams such as Lync.</t>
  </si>
  <si>
    <t>Kick off the GWAN program as soon as possible and adject the plans to reflec lead times for GWAN delivery.</t>
  </si>
  <si>
    <t>R50A</t>
  </si>
  <si>
    <t>R50B</t>
  </si>
  <si>
    <t>Impact of 'Discovery &amp; Assessment' program unknown. If treated as a prerequisite, will impact schedule significantly.</t>
  </si>
  <si>
    <t>Need to validate we have the appropriate oversight for contractors / third parties with regards to work products, timesheets, invoices, expenses</t>
  </si>
  <si>
    <t>Alan Guthrie</t>
  </si>
  <si>
    <t>05/10 - Close.
07/09 - Neil: have Discovery and Assessment team identifying apps among Lotus and Lotus Notes. Working to make sure we don't duplicate effort. Neil has long list of actions taking in next couple weeks to mitigate. Follow-up in 2 weeks.</t>
  </si>
  <si>
    <t>Align approaches between A&amp;DM and D&amp;A Programs.</t>
  </si>
  <si>
    <t>Assessment under way and analyzing risk to effort</t>
  </si>
  <si>
    <t>19/10 - Al said to close.</t>
  </si>
  <si>
    <t>R51B</t>
  </si>
  <si>
    <t>R51A</t>
  </si>
  <si>
    <t>Impact of Data Centre Consolidation Program and associated "Application Remediation" activity is unknown.</t>
  </si>
  <si>
    <t>EY needs to make sure we do not accidentally take Microsoft responsibilies for Architecture, Design and Development</t>
  </si>
  <si>
    <t>EY would have paid too much to mitigate a risk that they had taken</t>
  </si>
  <si>
    <t>05/10 - Close.</t>
  </si>
  <si>
    <t>Align approaches between A&amp;DM and DCC Programs.</t>
  </si>
  <si>
    <t>Make sure we fully communicate Roles and Responsibilities across the MS / EY Teams.</t>
  </si>
  <si>
    <t>R52A</t>
  </si>
  <si>
    <t>R52B</t>
  </si>
  <si>
    <t>Program is continuing without stakeholder engagement and consequently no agreed charter.</t>
  </si>
  <si>
    <t>We may not have time to complete Phase I delivery for Assurance depending upon the decision at the end of Nov. (Assurance Knowledge Tool).</t>
  </si>
  <si>
    <t>GAAIT replacement would be delayed</t>
  </si>
  <si>
    <t>We will continue to work with the Core Team to confirm plan.  We will work with them to look at the deliveries to confirm what is possible for Phase I.</t>
  </si>
  <si>
    <t>1/11 - Decision will now be in December working with the Assurance on the Ovitas and the other 3 solutions</t>
  </si>
  <si>
    <t>Program is being treated as a technical migration program, with no reference back to business process and/or EY's strategic objectives.</t>
  </si>
  <si>
    <t>Most applications do not have existing documentation (technical, business, testing, etc.) so A&amp;DM program will need to factor into future plans.</t>
  </si>
  <si>
    <t xml:space="preserve">05/10 - Neil confirmed this has been resolved. Close. </t>
  </si>
  <si>
    <t>Build approach to include business interlock, the BCFs and Solution Roadmaps.</t>
  </si>
  <si>
    <t>12/10 - Risk closed, documentation is know to be poor or non-existent.  Planning assumption.</t>
  </si>
  <si>
    <t>Make allowances in the detailed plans progressing through Sept '11.</t>
  </si>
  <si>
    <t>Most applications have not undergone a security review so this will need to be factored in future plans (est. 10-&gt;20 days / application)</t>
  </si>
  <si>
    <t>Open resource needs for SharePoint workstream (QA Lead, QA, Lead Developers, Release Manager, Solution Arch's, PM's, BA's)</t>
  </si>
  <si>
    <t>12/10 - Risk closed, captured as an activity.</t>
  </si>
  <si>
    <t>Continue to assess and work with Resource Planning to fill open positions.</t>
  </si>
  <si>
    <t>12/10 - placed as a Critical issue
5/10 - Receiving / reviewing resumes for QA Lead, Release Mgr, PM, and BA open positions.
28/09 - continue to work with Cross Portfolio resource planning team to fill open requests.
21/09 - Submitted all open resource requests with Resource Planning Team.  Weekly meetings scheduled to review with resource planning and sourcing.</t>
  </si>
  <si>
    <t>Issue ?</t>
  </si>
  <si>
    <t xml:space="preserve">Final locations for in-country build-outs for Exchange, Lync and SharePoint cannot be finalized until a detailed evaulation of the Q&amp;RM DCC due dilligence findings against the type of data for each of these solutions has been undertaken with Q&amp;RM.  This means that design &amp; planning cannot be completed without significant assumptions being made. </t>
  </si>
  <si>
    <t xml:space="preserve">Michelle / Adrian </t>
  </si>
  <si>
    <r>
      <t xml:space="preserve">The engagement of </t>
    </r>
    <r>
      <rPr>
        <b/>
        <sz val="9"/>
        <color theme="1"/>
        <rFont val="Arial"/>
        <family val="2"/>
      </rPr>
      <t>all</t>
    </r>
    <r>
      <rPr>
        <sz val="9"/>
        <color theme="1"/>
        <rFont val="Arial"/>
        <family val="2"/>
      </rPr>
      <t xml:space="preserve"> key stakeholders across the business will prevent progress being made but there is an expectation that this must be done.</t>
    </r>
  </si>
  <si>
    <t>Sophie Boiron</t>
  </si>
  <si>
    <t>Use the locations specified by Q&amp;RM</t>
  </si>
  <si>
    <t>14/12 - M&amp;C Q&amp;RM report was sent out by Susan. Adrian to sink up with Binu on his slide deck.
07/12 - Michelle said they are working through this; Brett has discussed with Siggi and John. It is a matter of pursuing the Q&amp;RM angle or the in-country infrastructure (very expensive); not enough resources to go at it both ways. Will be ok for SP Phase 1, but will affect Exchange and SP Phase 2. Review next week.
23/11 - Adrian requested we move the review date out 2 wks.
02/11 - Q&amp;RM steering comm reviewed the list and provided guidance.  Reviewing note and confirming undertanding.  Create business case for countries and confirm understanding.
02/11 - Al said Q&amp;RM steering comm meeting tomorrow; update next week.
19/10 - Michelle - update new Impact column to reflect impact on budget and time.
12/10 - Susan Chakerian scheduling workshops for Q&amp;RM. Focus of the workshops is to determine if we have the right support in the right locations. 
04/10 - opened by Michelle. Examples: North America non US client data should be housed in Toronto as a main data center not Secaucus.   As a team we need to confirm that operations, network, capacity, etc. are all ready in the Toronto DC to accept the work.    
Certain types of people data cannot be transferred out of country so how will this impact the People Profiles and the ability to find people globally and the servers needed to support that.</t>
  </si>
  <si>
    <t>Identify key stakeholders with managing Sponsors 
Agree plan of engagement through Managing Sponsors
Suugest we close that issue now Claire is on board and developing a plan moving forward</t>
  </si>
  <si>
    <t>R6</t>
  </si>
  <si>
    <t>There will be insufficient leadership focus from senior executives to drive this major transformation in EY</t>
  </si>
  <si>
    <t>Integration of Good using Exchange Web Services protocol for mobile messaging for BPOS is currently not available. Good have indicated that this is on their road map, however cannot commit to a time scale. May have impact on migration groupings/release management.</t>
  </si>
  <si>
    <t>Bob Reiner</t>
  </si>
  <si>
    <t>Juan Torres</t>
  </si>
  <si>
    <t>Roll-out as a technology replacement</t>
  </si>
  <si>
    <t>Alternative options for the integration of mobile messaging will need to be investigated</t>
  </si>
  <si>
    <t>Monitor time scale for the implementation of Good integration for BPOS</t>
  </si>
  <si>
    <t>27/07 - close since issue 18 was opened.
06/07 - opened new issue since BPOS is off the table.
29/06 - Now transfered to Issue #18
22/06 - Good to send committment by the 23rd.  Plan B was shared with Peter.
08/06 - Email was sent to Good requesting written committment - no response. Adrian will follow-up with Good.  50/50 level of confidence.  Adrian will share plan B draft with Peter. 
01/06 - Meeting held with Good and received a verbal committment to support integration.  Identified right people at Good to provide committment in writing.  Plan B is to go with another product.  Adrain to create mitigation plan.
25/05 - Meeting scheduled for tomorrow.
18/05 - Good meeting pushed to next week. Juan and Peter to look into a Plan B if Good does not work out. 
11/05 - Not spending time here until decide on BPOS. Meeting on Good next week; Juan will provide update then. 
27/04 - Determined may have impact on migration groupings/release  managemnent.</t>
  </si>
  <si>
    <t>Monitor Good timelines.
Commence investigation of alternative approaches.</t>
  </si>
  <si>
    <t>There will be insufficient Business Change Management resource (at central team and 'local' level ie Change network) for a change of this magnitude in EY to meet current expectations of key stakeholder</t>
  </si>
  <si>
    <t>We will replace tools without making a step change in collaboration and realising one of the envisaged benefits of M&amp;C</t>
  </si>
  <si>
    <t>Jeremy Brown / Sophie Boiron</t>
  </si>
  <si>
    <r>
      <rPr>
        <sz val="9"/>
        <rFont val="Arial"/>
        <family val="2"/>
      </rPr>
      <t>Identify the Change approach and socialise
25/10 Resource plan agreed. Now required to resource to that plan</t>
    </r>
    <r>
      <rPr>
        <sz val="9"/>
        <color theme="1"/>
        <rFont val="Arial"/>
        <family val="2"/>
      </rPr>
      <t xml:space="preserve">
Identify costs and resource requirements including Change network
Identify potential sources of resource or where responsibilities will lie - working with Transition
Identify where budget will come from
work with relationship managers (areas) to evaluate change support and engage on next steps
</t>
    </r>
  </si>
  <si>
    <t xml:space="preserve">Roll out as technology replacemnet and do not reap the full benefits.
</t>
  </si>
  <si>
    <t xml:space="preserve">Confirm a step change is required
Development of the story on what we want to achieve - and benefits behind. To establish the degree og step change required.
Assess of behavioural change required
Ensure Training and Communications strategy and plans reflect step change requirement.
Business Impact assessment must address step change
Review behavioural changes that need to occur to address step change.
</t>
  </si>
  <si>
    <t>R63A</t>
  </si>
  <si>
    <t>R63B</t>
  </si>
  <si>
    <t>There is misalignment across the program, both at senior level and lower down, of the potential benefits and key messages for M&amp;C causing confusion amongst the business/users, mixed managed expectation causing reputational issues, delaying communications.</t>
  </si>
  <si>
    <t>Jeremy Brown</t>
  </si>
  <si>
    <t>We will offer training to non-EY employees which will compromise the legal position with respect to our contract with them</t>
  </si>
  <si>
    <t>Catherine Graham</t>
  </si>
  <si>
    <t>Agreement of high level key messages of managing Sponsor group and Exec.
M&amp;C story being developed to clarifyvision and objectives of the program
Clear communicated business case - the case for change</t>
  </si>
  <si>
    <t>02/11 - Working to get SAS story corrent and to John Murphy for approval. Benefits person; sits with Jeremy. Review beginning December.
24/10 SAS brought on to develop a story for M&amp;C. This will be used to engage with senior executives</t>
  </si>
  <si>
    <t>Combined with R61</t>
  </si>
  <si>
    <t>Global Legal Counsel (Gillian Haselden) has confirmed that non-EY employees may be trained to support EY's transition to M&amp;C</t>
  </si>
  <si>
    <t>R64A</t>
  </si>
  <si>
    <t>R64B</t>
  </si>
  <si>
    <t>The Lync &amp; Outlook Change network will not be in place soon enough to accommodate the roll-out schedule.</t>
  </si>
  <si>
    <t>Jackie Knight</t>
  </si>
  <si>
    <t>The changing staffing model may lead to wide variances with respect to Training requirements and we sign a contract that is too big for our needs</t>
  </si>
  <si>
    <t>Scott Greengold</t>
  </si>
  <si>
    <t>Raise with Business sponsors the necessity for Area representation
Work with Lync &amp; Outlook PM re. Seeking alternative area reps</t>
  </si>
  <si>
    <t>Not resolved. Now an issue</t>
  </si>
  <si>
    <t>RFP designed to reflect changing scale</t>
  </si>
  <si>
    <t>R65A</t>
  </si>
  <si>
    <t>R65B</t>
  </si>
  <si>
    <t>All the other IT changes happening outside M&amp;C will impact end users &amp; IT and Knowledge professionals as well and may limit their capacity to take on the changes M&amp;C wish to deliver. New IT Service Management tool (ServiceNow) planned implementation for December 2011.</t>
  </si>
  <si>
    <t>Alan G / Sophie Boiron</t>
  </si>
  <si>
    <t>Understand of change picture and revise change plan accordingly
Use Change networks to asessess change volumes in their area and highlight where too much change is occuring and respond as and when</t>
  </si>
  <si>
    <t>Work through EPO to establish timing and impact of M&amp;C changes against overall Change plans.
Service Delivery Leaders to understand change in their area of the organisation and reflect back to the M&amp;C program.</t>
  </si>
  <si>
    <t>19/10 - Opened in Program RAID, but this is being managed at Project Level. Close here.</t>
  </si>
  <si>
    <t xml:space="preserve">Lync Dormant Deployment - Currently the SMS deployment Gateway has "Operational Challenges" which is delaying the deployment of out package
Currently we have a 1 week delay to the project, which is taking us very close to the moratorium date. Impact could be on Business Change 
</t>
  </si>
  <si>
    <t>Lack of space in the Becket House, London office is preventing team from working in a co-located environment.</t>
  </si>
  <si>
    <t>TBC</t>
  </si>
  <si>
    <t xml:space="preserve">09/11 - Adrian: this is on-going; review 2 wks.
02-11 Lync dormant deployment  - Transition 2b - was distributed as per revised plan of 1st Nov. Confirmation being sought as to the current deployment status, as we have another Transition (2c) planned for Tuesday 8th Nov. No impact on Business Change, as they have confirmed there delivery is now based on the 31st Jan, and not as previously stated, the 9th Jan.
26/10 - Daren said can't get this escalated unless is is business or revenue-impacting. Daren to set meeting with Guy, Al, Mario and Martin to discuss.
Raise with the package Deployment team for rollout using Level 3 Tier distribution servers </t>
  </si>
  <si>
    <t>23/11 - Adrian said this has been resolved and they got the green light to deploy last night. Close.</t>
  </si>
  <si>
    <t>Seek necessary approvals to procure space for the team</t>
  </si>
  <si>
    <t>22/11/11 - Escalated to an Issue (# I64)</t>
  </si>
  <si>
    <t>I64</t>
  </si>
  <si>
    <t>07. Risk has become an Issue</t>
  </si>
  <si>
    <t>Approval is required to onboard required resources (as per the resource forecast) to prevent delays to delivery.  In addition agreement is needed on the resourcing strategy (i.e. blend of ITS, contractors and CBS / Markets resources)</t>
  </si>
  <si>
    <t>Neil Sahdev / Martin Stutchbury</t>
  </si>
  <si>
    <t xml:space="preserve">The risk is that the current Silverlight distribution time frame will not result in Silverlight being installed on all IT Services machines in time for use on Outlook, Exchange, Lync and SharePoint e-Learning.  </t>
  </si>
  <si>
    <t xml:space="preserve">IPM was the forum to have cross workstream communication and awareness. Executive Sponsors concerned about effectveness and expense of meeting. </t>
  </si>
  <si>
    <r>
      <t xml:space="preserve">the Training requirement will be
1. For IT training - potentially this can be managed by the IT person going through Service desk to install Silverlight(?) if it gets highlighted in Training material that they need to do this? (your call if appropriate)  </t>
    </r>
    <r>
      <rPr>
        <b/>
        <sz val="9"/>
        <color theme="1"/>
        <rFont val="Arial"/>
        <family val="2"/>
      </rPr>
      <t>SCOTT G response:</t>
    </r>
    <r>
      <rPr>
        <sz val="9"/>
        <color theme="1"/>
        <rFont val="Arial"/>
        <family val="2"/>
      </rPr>
      <t xml:space="preserve"> I agree that adding text stating Silverlight may need to be installed is acceptable. Silverlight will ask a user to download and install itself automatically through Microsoft if the need is encountered (i.e. a WBL requiring Silverlight is launched and Silverlight is not present).  No one will require Helpdesk / Service Desk assistance to install Silverlight - it's a standard plug-in type of install.  However, a machine accepting the install from Microsoft will result in a non-Firm standard version of Silverlight being present on that machine.  That is where the risk potential exists.
2.Training development and test - can this be done by requested download or automated? </t>
    </r>
    <r>
      <rPr>
        <b/>
        <sz val="9"/>
        <color theme="1"/>
        <rFont val="Arial"/>
        <family val="2"/>
      </rPr>
      <t>SCOTT G response</t>
    </r>
    <r>
      <rPr>
        <sz val="9"/>
        <color theme="1"/>
        <rFont val="Arial"/>
        <family val="2"/>
      </rPr>
      <t xml:space="preserve">:We are probably fine to use the automated download as needed on a case-by-case basis if necessary.  
3.For End User. That would be for training for any pilot and then for roll-out. </t>
    </r>
    <r>
      <rPr>
        <b/>
        <sz val="9"/>
        <color theme="1"/>
        <rFont val="Arial"/>
        <family val="2"/>
      </rPr>
      <t>SCOTT G response</t>
    </r>
    <r>
      <rPr>
        <sz val="9"/>
        <color theme="1"/>
        <rFont val="Arial"/>
        <family val="2"/>
      </rPr>
      <t xml:space="preserve">:It seems Lync is scheduled to be the first rollout of all the M&amp;C topics.  As long as Silverlight is deployed to the user population targeted by each Lync deployment two to four weeks prior to each rollout date we should be fine.  (i.e. Silverlight should go out 2-Jan-2012 to meet the Lync pilot time frame (Feb 2012) learning need.  Silverlight should be distributed mid-February to everyone on the Full Rollout list scheduled for March 2012 etc..)
Daren Wilks provided dates for Silverlight 'silent roll-out' which will be in time for bluk of learning. Individuals in IT can download silverlight as required before silent roll-out.
</t>
    </r>
  </si>
  <si>
    <t>Changed IPM and implemented a cross group meeting to address this risk</t>
  </si>
  <si>
    <t>1/11 - Met with team today to define options. Will continue to monitor.</t>
  </si>
  <si>
    <t>R7</t>
  </si>
  <si>
    <t>Document conversion service for SharePoint Online is not on the current Microsoft offering, but on the roadmap. The timing of the implementation of DCS may not fit in with our time scales.</t>
  </si>
  <si>
    <t>Prioritization of work across workstreams. Original plan will not work.</t>
  </si>
  <si>
    <t>Implement SharePoint Modules that require DCS on premises</t>
  </si>
  <si>
    <t xml:space="preserve">This is on the basis that all SharePoint workloads will be implemented in the cloud. </t>
  </si>
  <si>
    <t>06/07 - Not going BPOS, don’t know what other managing service position would be on this.
27/04 - The team provided a recommendation to John C. He is reviewing the recommendation. Hold open until hear back from John.</t>
  </si>
  <si>
    <r>
      <t xml:space="preserve">Monitor MS progress for DCS
19/04 - Current recommendation from the IT team is to implement </t>
    </r>
    <r>
      <rPr>
        <u/>
        <sz val="9"/>
        <color theme="1"/>
        <rFont val="Arial"/>
        <family val="2"/>
      </rPr>
      <t>all</t>
    </r>
    <r>
      <rPr>
        <sz val="9"/>
        <color theme="1"/>
        <rFont val="Arial"/>
        <family val="2"/>
      </rPr>
      <t xml:space="preserve"> SharePoint services on premises.</t>
    </r>
  </si>
  <si>
    <t>Duplicate of another risk</t>
  </si>
  <si>
    <t>Limited/reduced EY participation in SharePoint Foundation Planning workshops may affect quality of SharePoint Foundation Planning activities &amp; deliverables</t>
  </si>
  <si>
    <t>wrong infrastructure would cause delays</t>
  </si>
  <si>
    <t>Absence of dedicated EY SharePoint Architect may affect quality of SharePoint Foundation Planning activities &amp; deliverables 
Note: This item refers to a matching EY resource for the Msft Architect.</t>
  </si>
  <si>
    <t>Lack of Enterprise Standards for Disaster Recovery (DR) may affect quality of design deliverables</t>
  </si>
  <si>
    <t>To maintain the Program schedule it is important that the Business and IT Service Delivery teams nominate empowered decision makers for each Service Line / CBS function who can readily review / approve Program deliverables and work products.  This includes having one decision maker in cases where there are multiple stakeholders (i.e. where an application is owned by one organisation yet consumed by multiple organisations).</t>
  </si>
  <si>
    <t>Provide resource and let other items not be completed</t>
  </si>
  <si>
    <t>1/11 - MCS - Limited/reduced EY participation in Planning Workshops may affect quality of Design/Planning workshops; Dan Mulligan does not appear to be the correct resource to represent Infrastructure; Michelle Edmonds not available for Week 2; Kerri Keller not available to represent her area.</t>
  </si>
  <si>
    <t>Need Full-Time EY Architect assigned to the SPF project</t>
  </si>
  <si>
    <t>30/11 - There is an EY architect in place. The team agreed on the call this can be closed.
23/11 - specified that this refers to a matching EY architect, review next week.
1/11 - MCS - Need Full-Time EY Architect assigned to the SPF Project; A Full-Time EY Architect will be required to ensure the success of SPF planning activities; This role is critical to the Planning workshops to lead EY position.</t>
  </si>
  <si>
    <t>7/21/11 - Meetings held with Assurance, People, Knowledge, Markets, Comms &amp; Marketing.  Scheduled time with Margaret Walsh for 7/12/11 to outline resource requirement and sourcing strategy.
Provide the business (Assurance initially for Phase 1) with a clear calendar of events outlining what support is needed (i.e. workshop participation, document reviews, decisions required....) from them over the coming months.</t>
  </si>
  <si>
    <t>R78A</t>
  </si>
  <si>
    <t>R78B</t>
  </si>
  <si>
    <t xml:space="preserve">Learning resource is not realistic as we do not know the numbers of 'plug-ins' for Outlook/Lync and the current resource is based on predominant use of Microsoft learning material and limited EY specific learning material. </t>
  </si>
  <si>
    <t>We cannot size accurately the effort required for learning content development , together with the timescales for delivery. Any late changes to the Learning resource model could significantly affect overall roll-out schedule or quality of Learning material/delivery.</t>
  </si>
  <si>
    <t>It is not yet known whether the business wishes UAT to be conducted by the business itself, and whether it is prepared to commit business resources to the execution of UAT, or whether the business will "in-source" UAT to the QA team and allow the program to execute UAT on behalf of users. If the business wishes to execute UAT itself, we must begin the process of identifying the resource effort required by the business and presenting this to them for approval so that business resource for UAT can begin to be identified and preparations can be made</t>
  </si>
  <si>
    <t>Rewa Bouji</t>
  </si>
  <si>
    <t>The SharePoint Foundation team used knowledge of current service delivery efforts and has specified an environment for external collaboration. If during requirements ECMA significantly varies from this the infrastructure will have to be redesigned</t>
  </si>
  <si>
    <t>The infrastructure would have to be rebuilt for those items incorrect and the environments would be delayed or not meet the needs</t>
  </si>
  <si>
    <t>To-date the Phase 1 BA team have had to analyse nearly 40 applications to identify 5 which can be progressed.  Based on this the team would need to analyse another 80 applications to identify the remaining 10 applications required for Phase 1.</t>
  </si>
  <si>
    <t>Analysing such large quantities of applications was never planned for and as a result the Phase 1 project plan has been updated to reflect this for the remaining applications that need to be identified.  If this ratio of 8 canditates : 1 identied application increases then the project plans will need to be further updated.</t>
  </si>
  <si>
    <t>Additional Learning content developers</t>
  </si>
  <si>
    <r>
      <rPr>
        <sz val="9"/>
        <rFont val="Arial"/>
        <family val="2"/>
      </rPr>
      <t>Ensure full business representation on requirements from all areas before end of December</t>
    </r>
    <r>
      <rPr>
        <sz val="9"/>
        <color rgb="FFFF0000"/>
        <rFont val="Arial"/>
        <family val="2"/>
      </rPr>
      <t xml:space="preserve">
</t>
    </r>
  </si>
  <si>
    <t>Decision on UAT approach will be sought from the FSG</t>
  </si>
  <si>
    <t>07/12 - Michelle said to push next review to February.</t>
  </si>
  <si>
    <t>R79A</t>
  </si>
  <si>
    <t>R79B</t>
  </si>
  <si>
    <t>R8</t>
  </si>
  <si>
    <t>Without a planned schedule for when each GDC and each in-country DC will be ready, the UC stream cannot begin to plan its deployment schedule. This is impeding our ability to confirm to the Transition and Operations intake teams the timeline for deployment that they will need to support</t>
  </si>
  <si>
    <t>The current UC approach to collecting User Requirments is on a different timeline to the TF Architecture &amp; Design phase for Lync &amp; Outlook which is currently preceeding it.</t>
  </si>
  <si>
    <t>If additional requirements are driven out by the UC requirements work then they will not have influenced the TF design for Lync &amp; Outlook and could require Change to the designs incurring additional costs and delaying implementation</t>
  </si>
  <si>
    <t>Develop a list of countries that will need in-country server deployments based on what is currently known (latest list provided by Brett van Gelder) and use as draft for deployment schedule</t>
  </si>
  <si>
    <t>05/12 - Risk opened.</t>
  </si>
  <si>
    <t>There is a risk that the Active Directory requirements for M&amp;C program will not be delivered on time. This is currently a program that is yet to be kicked off.
Users
Groups
Infrastructure</t>
  </si>
  <si>
    <t>Peter Browne</t>
  </si>
  <si>
    <t>Reuirements Gaps between mock up screens and use cases may compromise QA test coverage</t>
  </si>
  <si>
    <t>Testing delayed or incomplete</t>
  </si>
  <si>
    <t>Kerri Keller</t>
  </si>
  <si>
    <t>Iteration overrun</t>
  </si>
  <si>
    <t xml:space="preserve">Testing containment per iteration would be compromised, resources and overall plans impacted and complexity added to Config Management. </t>
  </si>
  <si>
    <t>Consider tactical implementation of the AD needs for M&amp;C program</t>
  </si>
  <si>
    <t>Work with AD program sponsor to manage the dependencies between the programs
20/04 - Interim SOW working identify AD specific requirements.</t>
  </si>
  <si>
    <t>27/04 - 3-day workshop scheduled for next week; will allow for a better idea of the plan for 6 months. Adrian will follow-up with Peter to verify. Pertains to Interim SOW. Close.</t>
  </si>
  <si>
    <t>Obtain and monitor time scales for other programs
15/04 - initial indication shows 6 months for completing the AD needs in order to migrate to Exchange. Detailed planning to be obtained once AD program is kicked off</t>
  </si>
  <si>
    <t>5/26/2011; Closed 27/04/2011</t>
  </si>
  <si>
    <t>Engage PM to escalate to Requirements Owner</t>
  </si>
  <si>
    <t xml:space="preserve">Gaps in design and hence test coverage to be closed by aligning the documentation and reflecting this in TFS Requirements. </t>
  </si>
  <si>
    <t>Engage PM to escalate to Program Manager</t>
  </si>
  <si>
    <t xml:space="preserve">Constant engagement with Project throughout every iteration to monitor possible and mitigate for possible overruns e.g. re-scheduling, re-prioritizing, additional resources, extended hours. </t>
  </si>
  <si>
    <t>AD RMS work, which we need to enable encryption in Outlook, is not likely to deliver till after we plan to start testing. Also introduces a risk of AD RMS not being in place for UAT, pilot etc.</t>
  </si>
  <si>
    <t>The SharePoint team is using intermediaries to capture requirements, not end users this means that requirements might change as the items are shown to end users</t>
  </si>
  <si>
    <t>Additional cost and time needed to deploy the solutions</t>
  </si>
  <si>
    <t>External vendors (frog) wants to interview client serving personel and E&amp;Y customers. This could be a data privacy risk</t>
  </si>
  <si>
    <t>Effectiveness of User Experience designs.</t>
  </si>
  <si>
    <t>Binoy Raj</t>
  </si>
  <si>
    <t>need to have sessions with the end user to show the functionality and gather feedback</t>
  </si>
  <si>
    <t xml:space="preserve">06/12 - Being reported to Q&amp;RM team. </t>
  </si>
  <si>
    <t>R9</t>
  </si>
  <si>
    <t>R91</t>
  </si>
  <si>
    <t>The Olympics &amp; Paralympic Games are less than a year away (27 July - 12 August and 19 August - 9 September respectively). The majority of London based employees will be asked to work in differnet location or from home which means that the load on the VPN network may prevent items such as upgrades taking place.Need to evaluate what work will be taking place during this period and the possible impact.</t>
  </si>
  <si>
    <t>Ian Bourne</t>
  </si>
  <si>
    <t>Adrian Mickleson, Peter Browne</t>
  </si>
  <si>
    <t>Whilst corporate direction is not solid at present, need to understand possible impact from an M&amp;C perspective.</t>
  </si>
  <si>
    <t>Consider tactical implementation of the network needs for M&amp;C program</t>
  </si>
  <si>
    <t>Work with GWAN program sponsor to manage the dependencies between the programs</t>
  </si>
  <si>
    <t>Obtain and monitor time scales for other programs</t>
  </si>
  <si>
    <t>R92</t>
  </si>
  <si>
    <t>R93</t>
  </si>
  <si>
    <t>R94</t>
  </si>
  <si>
    <t>R96</t>
  </si>
  <si>
    <t>R97</t>
  </si>
  <si>
    <t>R98</t>
  </si>
  <si>
    <t>R99</t>
  </si>
  <si>
    <t>R100</t>
  </si>
  <si>
    <t>R101</t>
  </si>
  <si>
    <t>R103</t>
  </si>
  <si>
    <t>R104</t>
  </si>
  <si>
    <t>R105</t>
  </si>
  <si>
    <t>I4</t>
  </si>
  <si>
    <t>I5</t>
  </si>
  <si>
    <t>I6</t>
  </si>
  <si>
    <t>I7</t>
  </si>
  <si>
    <t>I8</t>
  </si>
  <si>
    <t>I9</t>
  </si>
  <si>
    <t>I10</t>
  </si>
  <si>
    <t>I11</t>
  </si>
  <si>
    <t>I12</t>
  </si>
  <si>
    <t>I13</t>
  </si>
  <si>
    <t>I14</t>
  </si>
  <si>
    <t>I15</t>
  </si>
  <si>
    <t>I16</t>
  </si>
  <si>
    <t>I17</t>
  </si>
  <si>
    <t>I18</t>
  </si>
  <si>
    <t>I19</t>
  </si>
  <si>
    <t>I20</t>
  </si>
  <si>
    <t>I21</t>
  </si>
  <si>
    <t>I22</t>
  </si>
  <si>
    <t>I23</t>
  </si>
  <si>
    <t>I24</t>
  </si>
  <si>
    <t>I25</t>
  </si>
  <si>
    <t>I26</t>
  </si>
  <si>
    <t>I27</t>
  </si>
  <si>
    <t>I28</t>
  </si>
  <si>
    <t>I29</t>
  </si>
  <si>
    <t>I30</t>
  </si>
  <si>
    <t>I31</t>
  </si>
  <si>
    <t>I32</t>
  </si>
  <si>
    <t>I33</t>
  </si>
  <si>
    <t>I34</t>
  </si>
  <si>
    <t>I35</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</si>
  <si>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</si>
  <si>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</si>
  <si>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</si>
  <si>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</si>
  <si>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</si>
  <si>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</si>
  <si>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</si>
  <si>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</si>
  <si>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</si>
  <si>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</si>
  <si>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</si>
  <si>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</si>
  <si>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</si>
  <si>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</si>
  <si>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</si>
  <si>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</si>
  <si>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</si>
  <si>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</si>
  <si>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</si>
  <si>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</si>
  <si>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</si>
  <si>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</si>
  <si>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</si>
  <si>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</si>
  <si>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</si>
  <si>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I62</t>
  </si>
  <si>
    <t>I63</t>
  </si>
  <si>
    <t>I65</t>
  </si>
  <si>
    <t>I66</t>
  </si>
  <si>
    <t>I67</t>
  </si>
  <si>
    <t>I68</t>
  </si>
  <si>
    <t>I69</t>
  </si>
  <si>
    <t>I70</t>
  </si>
  <si>
    <t>I72</t>
  </si>
  <si>
    <t>I73</t>
  </si>
  <si>
    <t>I74</t>
  </si>
  <si>
    <t>I75</t>
  </si>
  <si>
    <t>I76</t>
  </si>
  <si>
    <t>I77</t>
  </si>
  <si>
    <t>I78</t>
  </si>
  <si>
    <t>I79</t>
  </si>
  <si>
    <t>I80</t>
  </si>
  <si>
    <t>I81</t>
  </si>
  <si>
    <t>I82</t>
  </si>
  <si>
    <t>I83</t>
  </si>
  <si>
    <t>I84</t>
  </si>
  <si>
    <t>I85</t>
  </si>
  <si>
    <t>I86</t>
  </si>
  <si>
    <t>I87</t>
  </si>
  <si>
    <t>I88</t>
  </si>
  <si>
    <t>I89</t>
  </si>
  <si>
    <t>I90</t>
  </si>
  <si>
    <t>I91</t>
  </si>
  <si>
    <t>I92</t>
  </si>
  <si>
    <t>I93</t>
  </si>
  <si>
    <t>I94</t>
  </si>
  <si>
    <t>I95</t>
  </si>
  <si>
    <t>I96</t>
  </si>
  <si>
    <t>I97</t>
  </si>
  <si>
    <t>Closed</t>
  </si>
  <si>
    <t>We need to decide the approach for archving for SharePoint.</t>
  </si>
  <si>
    <t>The decision for the implementation of the required Archiving solution to integrate with Exchange.
Currently the assumption is no archiving platform will be delivered by TF, however there are believed to be some countries that may have regulatory/legislative limitations which require archiving facilities to be deployed. The impact will be in terms of scheduling migrations.</t>
  </si>
  <si>
    <t>02. Low</t>
  </si>
  <si>
    <t>27/04 - Part of requirements. Close.</t>
  </si>
  <si>
    <t>Included in requirements.</t>
  </si>
  <si>
    <t>Program name needs to be determined.</t>
  </si>
  <si>
    <t>In June there are planned to be a number of elaboration sessions for Lync, Exchange, SP Foundation and a Design 0 Session.  Currently the exact dates and locations of these sesssions cannot be confirmed.   The cost of travel will continue to increase as the date come closer and key resources may not be available.  Need to schedule sessions ASAP</t>
  </si>
  <si>
    <t>Al Grljevic/John Costello</t>
  </si>
  <si>
    <t>Al Grljevic/Adrian Mickleson</t>
  </si>
  <si>
    <t>27/04 - identified the ongoing issue of determining program name.
04/05 - Team members to send 2 name options to Laura; Laura will consolidate list and send out for a vote.
11/05 - Voting occurred; Share top 5 names with John so he may decide.
18/05 - Shared with business last wk, not much feedback. No decision as of yet. Leave for next week.
25/05 - Had given the names to John and requested decision. Will follow-up.
01/06 - close issue.  John was provided the information.</t>
  </si>
  <si>
    <t>11/05 - Was R21; moved here as critical issue.
18/05 - June 13: Lync, Exchange, SP- will run 2 weeks, in-person. June 9-10: Design Level 0. Time constraint: All managing sponsors can't be in either London or Frankfurt (or other) due to scheduling surrounding the 9-10. Very important because a delay here delays Fusion. Tomorrow will discuss with business the impacts of not having all managing sponsors there on 9-10 June.
25/05 - Adrian still planning on 2 wks with possible overflow in 3rd wk being conducted virtually. Need to send out a placeholder; Adrian to confirm with Laura to send out. More detailed schedule/invitations to be sent once receive further info from MS.
01/06 - close issue.  Rooms scheduled and resources identified.  Invitations to be sent.</t>
  </si>
  <si>
    <t>A number of prerequisite activities will need to be completed in time for the commencement of the SOWs once approved. This issue specific to Group Management. 
Split out the group mgmt from GLMS.  GLMS was addressed and can be closed.</t>
  </si>
  <si>
    <t>TFS / Defect Management Process - HP Quality Centre (QC) has been proposed as a possible defect reporting tool.  The team can not confirm timing of tool availability and this direction conflicts with current MS SOW.</t>
  </si>
  <si>
    <t>03. Medium</t>
  </si>
  <si>
    <t>Adrian Mickleson/Nick Wood/Daren Wicks</t>
  </si>
  <si>
    <t>Nicole Watson</t>
  </si>
  <si>
    <t>10/8  - Steve - AD Group Management business case approved and RFP underway.  Close issue and keep the Group Mgmt Risk (R33) open.
3/8/2011 Steve has completed preliminary work on Tminus plan and Ant has reviewed it.  Will use the plan as basis for running an RFP for the Tactical Group Management purchase. Anthony is waiting for a business case sign-off before he can start the process. Daren Wicks will track for M&amp;C 
27/07 - Steve and Anthony working on the T-Plan.  Review in 2 weeks.
06/07 - Nick havs taken GLMS plans for the co-existance phase to the Design Authority.  Steve and Anthony will devise a t-plan.  Meeting was held to move forward.
29/06 - Steve and Nick will take a presentation to Design Authority to move forward.
15/06 -  continue to research 3rd party tools.  GLMS - 2 options: modify GLMS to populate existing directory or use 3rd party tool.  Suggest looking at tactical tool for integrated AD solution, call arranged for Friday 6/17.
01/06 - internal meetings scheduled to address and come up with possible tactical solutions.  Raise issue at IT Steering Committee so John is aware of project impact.
25/05 - Nick Wood leading; technical workshops early next week; have identified the participants.
18/05 - Meeting between Nick and Adrian scheduled to look at technical solution.
11/05 - Adrian, Martin, Brett and Peter to review tactical solution for Group Management in an off-line meeting</t>
  </si>
  <si>
    <t>25/05 - Michelle and Al have communicated this to John; remains open.
01/06 - Discuss at Friday's IT Steering Committee meeting (and at Ken's meeting).
08/06 - John is aware of the need for the managing sponsors.  Accept this as a risk and close.</t>
  </si>
  <si>
    <r>
      <rPr>
        <b/>
        <sz val="9"/>
        <color theme="1"/>
        <rFont val="Arial"/>
        <family val="2"/>
      </rPr>
      <t>29/06</t>
    </r>
    <r>
      <rPr>
        <sz val="9"/>
        <color theme="1"/>
        <rFont val="Arial"/>
        <family val="2"/>
      </rPr>
      <t xml:space="preserve"> - Decision was made to move forward with HP QC as the defect tracking tool with an availability date of July 18th.  SOW was updated to reflect the change.
5/06 - Making good progress on the interface between TFS and QC. TFS removed from SOW.
01/06 - Working with MS to change the SOW by this Friday.  QC will be used across the M&amp;C Program.
25/05 - Team recognizes this will involve a Change Control for SOW due to conflict.  Michelle will confirm with Rita that we cannot change it now before it is signed. Final confirmation of QC usage should come soon; Nicky is pushing for it.</t>
    </r>
  </si>
  <si>
    <t>12/10 - close, names have been received and process has been confirmed.  
5/10 - Functional Stakeholders to provide names to SharePoint team - this came out of last week's meeting in DC.
28/09 - Program Meeting in DC this week - topic on the agenda.
21/09 - continue to be assessed by Managing Sponsors and Core Team.
31/08 - Issue being monitored and addressed by managing sponsors.  Reduce priority to Low.
24/08 - Have been working with Managing Sponsors; continue to monitor. 
17/08 - In process; continue to monitor.
10/08 - no update, continue to monitor.
03/08 - Jackie working on engaging with Managing Sponsors about overview/SP training; still open.  (Michelle)
27/07 - Jackie owns training going forward.  SP Training being planned.
06/07 - Next week is training week for business across the board (Fusion, Managing Sponsors and Chief of Staffs).  Training on iterative SDA, SP training, and M&amp;C program overview.
29/06 - Meeting held with Managing Sponsors - next step is to provide training on the iterative development process so they can assign the proper team members.  Training to be held on July 7th and 8th. 
22/06 - Resources are being assigned but have not received all the names.  This is keeping the team from gathering requirements.  This risk was accepted and will continue to move forward.
15/06 - continue to work with managing sponsors to assign business leads.
08/06 - Draft of the Org Structure will be discussed next week after design level zero.
01/06 - Managing Sponsors organization structure - need Participants week of 6/13.  Currently working with existing business folks.</t>
  </si>
  <si>
    <t>Jackie Knight / Michelle Edmonds</t>
  </si>
  <si>
    <t>Timing of Business Resources.
Delay to signoff on project documentation (Charter, V&amp;S, and Requirement Specification) and delivery.</t>
  </si>
  <si>
    <t>Delay in the signing of the SOW / reschedule envisioning sessions.</t>
  </si>
  <si>
    <t>Absence of Mobile Messaging solution to support Cloud Computing.</t>
  </si>
  <si>
    <t>Adrian Mickleson / 
Juan Torres</t>
  </si>
  <si>
    <r>
      <rPr>
        <b/>
        <sz val="9"/>
        <color theme="1"/>
        <rFont val="Arial"/>
        <family val="2"/>
      </rPr>
      <t xml:space="preserve">29/ 06 </t>
    </r>
    <r>
      <rPr>
        <sz val="9"/>
        <color theme="1"/>
        <rFont val="Arial"/>
        <family val="2"/>
      </rPr>
      <t>- SOW's signed and envisioning sessions scheduled. - close issue.</t>
    </r>
    <r>
      <rPr>
        <b/>
        <sz val="9"/>
        <color theme="1"/>
        <rFont val="Arial"/>
        <family val="2"/>
      </rPr>
      <t xml:space="preserve">
</t>
    </r>
    <r>
      <rPr>
        <sz val="9"/>
        <color theme="1"/>
        <rFont val="Arial"/>
        <family val="2"/>
      </rPr>
      <t xml:space="preserve">22/06 - The expectation is for the SOW to be signed-off tomorrow (23/06).
15/06 - July envisioning session's hold the date invite sent to workshop attendees.  Detailed meeting invites to follow.  Rooms confirmed in Secaucus for July.
08/06 - Delays envisioning sessions to July.  Adrian and Mark are working on the schedule for July.  Another issue is that there are 3 other EY Program workshops that week (Information Security needs to be at all 3).  Al will talk with Ken about the other workshops.
07/06 - Final SOW signing delayed to end of June.  Envisioning sessions rescheduled to July 11th.
</t>
    </r>
  </si>
  <si>
    <t xml:space="preserve">31/08 - Close. RFP includes three options; on-prem, on-prem with internal cloud managed by external party, straight cloud. Vendors will respond accordingly. Juan still has to meet with Good.
24/08 - Adrian to restate description; will catch up with Juan off-line to talk through potential impacts of solutions. 
17/08 - Adrian moving along with RFP, making a requirement in RFP to handle this structure. Timeline of RFP: working toward final this Friday, short list of vendors by Friday.
10/08 - no update, review next week.
27/07 - Juan spoke with Good and they committed a move to web services by 4th quarter.  RIM and BES is now an issue for onpremise solution.  Open new issue to address EWS support.
06/07 - Juan will send a message on Monday to GOOD that we are not going BPOS but are still looking for a managing service.  Since we are going onpremise, are there issues with RIM we need to address?
29/06 - Juan Torres working to receive a response from GOOD - final warning message sent to GOOD.  Adrian will reach out to Iggy to figure out the next step (issue RFP to market).
01/06 - T- minus plan proposed to seek alternate solution providers in the absence of dovcumented undertakings from GOOD to support services in BPOS
</t>
  </si>
  <si>
    <t>The lack of decision on whether the Messaging and Collaboration solution will be implemented on BPOS or on premise is delaying the full program initiation and launch</t>
  </si>
  <si>
    <t>Timeline for gathering requirements for Tech Foundation and dependencies on Fusion workstream.  List of questions that need answered.</t>
  </si>
  <si>
    <t>Demand continues within the space that was previously met from Domino/Notes platform.
Need a plan / process to effectively manage and fill the gap that will exist between Notes/Domino and SharePoint until SharePoint is a mainstream service / platform.</t>
  </si>
  <si>
    <t>EWS support for both products (RIM BlackBerry Enterprise Server and GOOD Mobile Messaging Server) is required for EY to move to Exchange in the cloud while keeping BES and Good on premises.
To mitigate risk, we need to ensure that hosted BES and Good are included in the hosting RFP. However this is not ideal as it will certainly drive up costs.</t>
  </si>
  <si>
    <t>Andrian Mickelson / Juan Torres</t>
  </si>
  <si>
    <t>John Costello</t>
  </si>
  <si>
    <t>Mark Reade / Michelle Edmonds</t>
  </si>
  <si>
    <t xml:space="preserve">06/07 - Not going forward with BPOS.  Still considering alternatives for Cloud computing.  Close this issue and open new issue around alternative price could be more and additional timeline for RFP, etc.
15/06 - SOWs are assumed that we will go BPOS. There is a general risk about contracts not being signed.  Require final decision by envisioning sessions in July.1
01/06 - no update from John.  Juan commented that he is close to a decision / closing the gap on RIM (1.5 million).  This issue will be raised at Friday's IT Steering Committee meeting with John.  This is a critical path item for Outlook and we need a decision before the envisioning sessions.
25/05 - Reached an impasse; gap of over 5 million $ not changing. John will meet with MS tomorrow and give them a final date to give us their best price offer. We need to be prepared to walk away if don't close the gap.
18/05 - Meeting held last week; John's statement: it is ok to proceed with BPOS if can resolve issues through negotiation of T+Cs. Regarding the gap, Microsoft sending revised numbers this week. Barb said nothing was resolved with regards to security, depends on Gillian; Barb and Gillian will meet 1-June. Action: Call on Friday to attempt to bring gap reduction conclusion.
11/05 - Final reference call (GSK) yesterday; Martin passed latest TCO calc to Trey; Legal meeting scheduled for today, which will involve John and Gillian. Awaiting John's feedback at this point, then will decide how to move forward.
04/05 - Still working through showstoppers: Exchange-TCO, SharePoint-single data centre, latency; carefully reviewing all info. available to make best decision; if make decision within next 30 days, shouldn't hinder envisioning.
27/04 - John C. to provide update once UK team returns from holiday.
20/04 - KI to send a note to JC to confirm when the final decision will be made.
9/04 - IT team have made a final recommendation to John Costello regarding BPOS. Final decision to be made by John and leadership team.
Open actions for the resolution of the outstanding BPOS issues being managed and reviewed on a weekly basis.
  </t>
  </si>
  <si>
    <t>24/08 - Close as an issue and mark as normal action item for Mark and Michelle. Create and manage timeline; put deliverable dates around open items by October 1. Rita to work with Mark and Michelle. 
17/08 - Recommendations for configuration and setup of other environments continue to come in from Microsoft. Rita provided list of what needs for SP Foundation Vision/Scope to Michelle (will also send to Mark) and if gets info to them quickly, they are targetting Sept. 14 for completion of Vision/Scope docs.
10/08 - Microsoft provided list to Michelle and meeting scheduled for this week.
03/08 - Meetings have been scheduled to discuss what is in each of the SOWs and where the work lies. Need to establish a timeline to agree to the actions Tech Foundation needs to take to meet expectations of Fusion (dependencies). 
27/07 - List of questions presented to Fusion.  Meeting scheduled to address.</t>
  </si>
  <si>
    <t>19/12/11 - On Decisions/Assumptions review meeting today, Alan and Guy confirmed this can be closed here. This is being managed outside the M&amp;C program. 
30/11/11 - Added due date of 14-December (this was previously blank). Adrian said has impact assessment and deck due to Chris this Friday and a conversation scheduled for Monday. Should have update next week. 
23/11 - Adrian had a call with Chris this morning and will have a deck for him next Friday that includes description of the tiers planned for SP Fdtn. Review thereafter.
09/11 - Adrian provided update that call with Chris is scheduled for next week to discuss; looking to include Siggi and John C, as well.
26/10 - No ITS meeting last week; Adrian to raise this week.
19/10 - Adrian to raise to IT SC Friday and DA on Tuesday.
05/10 - Adrian provided date (when infrastructure will be ready) to Chris. Chris to develop strategy.
14/09 - Concerns expressed that this is more of a "watch-out" item than an issue and also that it's not M&amp;C responsibility. The bottom line is the same as previous: Adrian to provide Chris the date when infrastructure will be ready such that other programs can begin building in SharePoint. Chris will then develop strategy. 
07/09 Adrian to provide dates to Chris - target date is no later than 23/09
31/08 - There is a need for a process for app requests that would have been built in Notes with a lifespan over 12 months. Adrian to provide Chris the plan dates for when infrastructure will be ready. Chris will then draw up a proposed strategy.
24/08 - Adrian to talk to Michelle and Neil about getting necessary info/update from Vito. 
17/08 - Vito is dealing with this front and center, dealing with this through current processes. Leaving as High for update next week from Vito. The team can determine what to do with it thereafter.
10/08 - question raised as to who owns this issue.
03/08 - Current process: If the lifespan of the solution is 12mo or less, Notes viable solution; if greater than 12 mos, go through exception process. Need to cover day day to demand with a consistent process, set an expectation, feed into queue for Fusion, etc. When will SP platform be mainstream technology to be used by any project to deliver their solutions (currently handled with Notes/Domino)? Change Management / Foundation workstreams: BAU SP engineering going forward; does Foundation's infrastructure map up with the functionality planned for delivery (Fusion)? Currently, answer is we are undergoing huge transformation, have an exception process in place, will know exact dates in about 3 months.</t>
  </si>
  <si>
    <t>Need  to figure out how devices such as webcams and headsets will be handled - potentially a headset will be required for each Lync user (everyone?)</t>
  </si>
  <si>
    <t>MS - Efficiency of review process for Envisioning documentation; need to make sure right EY resources are engaged on calls (2 hours/day planned).</t>
  </si>
  <si>
    <t>Limited EY Resource availability for review of documentation and deliverables due to vacation. Will impact Vision &amp; Scope, SOWS, planning.</t>
  </si>
  <si>
    <t>Need sign off names from Advisory,  IT Services and Markets for the Charter and Vision &amp; Scope by workstream/ Solution.</t>
  </si>
  <si>
    <t xml:space="preserve">IAM is waiting for a list of critical applications, for analysis by the Enterprise Application Team to review which apps will require dev work due to non-conformity with AD Attributes.
Impact is our ability to (with confidence) lock down the Global attributes, with an (80%) level of confidence of not negatively impacting the Critical Applications. Impact is on the delivery of ID Sync and Group Management - due 31st &amp; 6th Jan respectively) and the 6th Feb for M&amp;C, as we will use these attributes for Lync and Exchange.
</t>
  </si>
  <si>
    <t>Microsoft assistance for specifying and building the "Test" environment is in a phase of Technology Foundation that has not yet been started nor funded. 
This issue has caused the end date of SharePoint to be moved out and the cost of the program to increase as current resources cannot be effective and are waiting to do their work. Need a decision within the next week whether or not to continue with onboarding the testing team.</t>
  </si>
  <si>
    <t>Bob Cooney/Ken Sponaugle</t>
  </si>
  <si>
    <t>IAM</t>
  </si>
  <si>
    <t xml:space="preserve">Mark Reade </t>
  </si>
  <si>
    <t>Mark Reade / Adrian Mickleson / Michelle Edmonds</t>
  </si>
  <si>
    <t>Guy Morgan</t>
  </si>
  <si>
    <r>
      <t xml:space="preserve">07/11 - RB - meeting held on 2 November between UC program team, Engineering, Architecture and Global Procurement. Approach, roles and responsibilities agreed, high level milestone plan drafted for review. Propose risk closed as action plan now underway to resolve.
25/10 - RB: Discussions with F Tinsley-Roy on approach to working with Global Procurement yielded a number of next steps and a process flow has now been developed, alongside the milestone plan, for how the Program will deliver the device ranging piece into Procurement; expected to complete 18 Nov. Still to clarify how Procurement will manage local activities to ensure devices can be secured.
04/10 - R Bouji: Decision taken by the programme to avoid an RFP route and instead provide the compatible devices list and program deployment requirements to Global Procurement who will validate against existing vendor agreements and then work with in-country procurement teams to ensure all in country supply channels are in place ahead of the Lync 2010 UAT deployment. Procurement to confirm acceptance and timeline for completion by end Oct
28/09 - Discussions with Global Procurement and with Architecture continue; unclear whether Procurement have in place a comprehensive view of accessory procurement channels across all countries. RFP decision remains TBD - further discussions required. Update in 2 weeks
21/09 - Revised approach accessories now underway. This will involve putting in place preferred accessories with preferred supplier list and price ranging, which will then require each country to ensure they can procure these as required. Analysis underway with additional BA resource recently assigned to support this. RFP needs still to be determined with Global Procurement and EA. Next update in 2 weeks.
14/09 - Individual who went through this on another project is helping here to gather requirements, RFP process, etc. If have to do an RFP, should take us to December and we'll be able to deliver devices along with pilot. Review again in 2-3 weeks. Updated owner to Rewa Bouji as opposed to Daren W. Moved priority to Medium. 
07/09 - Still gathering info; engaged with someone who was responsible for this aspect of other projects. 
31/08 - Daren kicked off convo with Juan; helping gather requirements and will then work with procurement on getting it into a document. Will confirm a spec (next couple weeks) and engage with procurement and determine who will fund it. 
24/08 - Daren will talk to Peter and Enterprise Architecture next week on how to work forward; Adrian and Martin Versteeg agreed importance of maintaining a quality device. Still don't know who pays for this (so far not in our budget). 
17/08 - missed on call; Laura will ask Daren for update.
10/8 - Steve - started process of working with Procurement and Technical Architects - keep tracking weekly
03/08 - What is the policy around this; could be a potential change request to the budget. We are making p to p audio available, maybe video: need to be able to provide these features to users (headset, webcam). Obligation of team to do preliminary analysis.
We believe that it is NOT the responsibility to provide (everyone?) with a headset but we will work with Global procurement to build a list of recommended/supported devices  which will have to be </t>
    </r>
    <r>
      <rPr>
        <b/>
        <sz val="9"/>
        <color theme="1"/>
        <rFont val="Arial"/>
        <family val="2"/>
      </rPr>
      <t>purchased in-country</t>
    </r>
    <r>
      <rPr>
        <sz val="9"/>
        <color theme="1"/>
        <rFont val="Arial"/>
        <family val="2"/>
      </rPr>
      <t xml:space="preserve"> through the normal channels. Direction required.</t>
    </r>
  </si>
  <si>
    <t>24/08 - Close per Mark. 
17/08 - 100% Messaging, Lync will be 100% as of Friday. Mark and Rita to discuss off-line (Friday) an efficiency strategy as continue with SharePoint Foundation and move into subsequent phases. 
10/08 - MS reported that they are still having issues with review process and appropriate people being available.  Continue to work with Mark to drive efficiency, review again next week.
03/08 - MS (Rita) needs Mark to send list of appropriate invitees by workstream for document review calls.</t>
  </si>
  <si>
    <t xml:space="preserve">31/08 - We have passed the critical point on this; can close.
24/08 - Addressing now; review next week. 
17/08 - Expecting to conclude reviews for Lync and Messaging Friday. Missing piece: In Brett and Juan's absence, Chris d'Arcy's ok to move forward in their absence is pending. Adrian still trying to contact him. 
10/8 - Impacting timeline - teams are working to provide coverage - EY provided fill-in resources.  Keep open and review next week.
03/08 - Action: Mark to update agenda of who is available which weeks. Adrian work with Rita on new calendar. Adrian and Michelle determine impact on planning. </t>
  </si>
  <si>
    <t xml:space="preserve">31/08 - Names have been provided.  This issue can be closed.
24/08 - Still working; nothing formalized yet. Review next week. 
17/08 - Advisory and IT Services ok. Markets outstanding. 
10/8 - Michelle / Guy working with Managing Sponsors to receive names. </t>
  </si>
  <si>
    <t>07/12 - Alan said he and Guy have signed change control; this can be closed.
06/12 - Need decision from Guy.
30/11/11 - Adrian provided update that Guy has a call on this tonight. Review next week.
22/11 - SOW with Guy Morgan
1/11 - SOW still under review by Michelle, Mark, and Rita.
25/10 - The interim test environment that we have will not meet our needs. Environment must be ready to test on Nov 22.
19/10 - Dates from Microsoft will not meet SharePoint timeline. Working with Tech Foundation to determine options.  Action to Adrian to work with Mark on CR to get environment set up.
12/10 Discussion to move to 3 Change Controls from 1 (in Draft).
5/10 - SOW still under review by Michelle, Mark, and Rita.
28/09 - Guy returned the SOW to Michelle and Rita to work through the details.
21/09 - SOW changes still in review at the M&amp;C Program Mgmt.  No updates received. Michelle and Rita meeting at 5pm today. Currently in Tech Foundation SOW, MSFT has no responsibility to help with test environment; Michelle wants to bring this into scope, requires change request. Per Mark, changed ownership from Michelle/Adrian/Guy &gt; Michelle.
07/09 - RFP sent to Guy for review; meeting this Friday to discuss. 
31/08 - Michelle submitted RFP to Guy Morgan this week for review / approval.
24/08 - Rita met with Michelle Monday, putting together proposals. First draft will be written Friday. 
17/08 - Rita will talk to Michelle and Guy this week.
10/8 - requires offline discussion - Rita / Adrian / Michelle will address and report back next week.</t>
  </si>
  <si>
    <t xml:space="preserve">Markets has not been able to partipate in the program recently.  Following up with them. </t>
  </si>
  <si>
    <t xml:space="preserve">Delay in agreeing and signing off the Microsoft statements of work. </t>
  </si>
  <si>
    <t>IAM are unable to finalise and submit to QRM for approval the complete list of AD User attributes as a standard, until M&amp;C provide Group requirements for Exchange, Lync and SharePoint
Original concern was the timescale to get approval from Q&amp;RM would be 4 weeks+. Confirmed as being within a few days, to a week.
Impact is High, as the approval process is within the timescale required. Implementation date (6 weeks to production) is well within required timescales (based on current known requirements).  Issue a really that we haven't had any further feedback from the SharePoint team.</t>
  </si>
  <si>
    <t xml:space="preserve">EY Fusion SharePoint resources: don't have matching resources for Microsoft employees. Particularly in case of solution architects and Lead Developers.
E&amp;Y costs will remain high as Microsoft will need to remain engaged. Not all work is being completed such as release management. True ownership of designs will not be established.
</t>
  </si>
  <si>
    <t>24/08 - Kick-off next Tuesday; close.
10/8 - no update</t>
  </si>
  <si>
    <t>30-11 - Confrimation to be provide by the 5th Dec Workshop. NOTE: Agreed on this 30-Nov call that we will close this item since the Q&amp;RM issue has been resolved, and Daren will open a different one around getting SharePoint attribute requirements for communities.
23/11 - Bob will confirm with Ant that they received the AD User attributes and that they have what they need. Opened action.
09-11 - Discussions ongoing between Gerd and Anthony. Ongoing Sharepoint Workshop to define and clraify these requirements
02/11 - Status same; comm went out this week; Ken did not receive. Suggestion to work with _ Ickowitz around comms (Jackie sent to Ken).
26-10 - This is with reference to New "SharePoint Communities" Requirement. Had call with SharePoint PM (Gregory Van Valkenburgh). Been pointed towards Gerd H. Daren to send note to have this raised on this weeks Design Authority Call (which Gerd Attends). 
19-10 - Still waiting on SharePoint requirements. Michelle  has these. Action for Daren to e-mail Michelle and tell her to whom she should send the requirements.
12-10 - Still awaiting requirements from the SharePoint Team. 
04-10 Ongoing dialogue with SharePoint Team to produce their list of requirements.
22/09 - Awaiting SharePoint requirements, inc 1st pass of attribute list. Source is also being requested. Impact is medium, as the approval process is within the timescale required. Impact to be changed to medium. Implementation date (6 weeks to production) is well within required timescales (based on current known requirements). Due date changed from 30-Aug &gt; 31-Oct.
21-09 - Initial set of Attribute List has been sent to QRM for review.
07/09 - Anthony spoke with James; Daren collating high level list of attributes to share with Q&amp;RM to gauge whether they are on the right track. Klara will be involved here, too. Review in two weeks. 
31/08 - Have now identified what we need to do in terms of who we need to provide information. Will be scheduling meetings starting tomorrow.
24/08 - Mark and Daren will follow-up with Anthony on his return early next week. Revisit 31 Aug.
17/08 - Mark and Daren will review for next week.
10/08 - new issue - the approval process will not be completed 'soon', and subsequent development efforts around ID Sync and AD Custom schema extensions can not be implemented.</t>
  </si>
  <si>
    <t>Further SOW reviews planned 5th &amp; 6th April to progress
19/04 - Final reviews scheduled w/c 18th April                 27/04 - Signature date still 1 June. QA review 3-6 June. Legal reviews thereafter.                                                    04/05 - 5 out of 6 SOWs in legal. Still waiting on BPOS decision (as such, dependent on resolution of issue  2).    11/05 - Closed and moved to Risks as now waiting on legal sign-off.</t>
  </si>
  <si>
    <t>Michelle Edmonds / HR / Alan Guthrie</t>
  </si>
  <si>
    <t>RFP timeline may impact Fusion delivery schedule.  A streamlined RFP process is required to meet our aggressive schedule.
The Taxonomy management capabilities will not be able to be met out of the box.   Early identification of components indicate that a RFP will be required. This needs to be managed in an expedited fashion in order to not delay the effort
Per Fusion iteration plan, the Metadata Mgmt tool purchase is required by the end of iteration 4 (11 November). Delay in RFP process would impact the implementation of a Metadata Mgmt tool for phase 1.</t>
  </si>
  <si>
    <t>TFS - HPQC (ALM) synchronization: no process defined for synchronization. Automated end to end traceability (requirements, dev tasks, test cases, defect tracking) can not be met using two separate tools that don't fully integrate.
Impact to resourcing, budget, management and traceability of the overall SharePoint Program. Potentially adding duplicate data entry across the systems.</t>
  </si>
  <si>
    <t>Need to receive/distribute ID Sync SOW from Microsoft and determine approval process. Until this has occurred, the team can not progress with ID Sync.</t>
  </si>
  <si>
    <t xml:space="preserve">Scott Machovina 
</t>
  </si>
  <si>
    <t>5/10 - Attended the DA call to review Metadata Mgmt RFP and received approval to move forward.  The team will present back to the DA after vendor reviews. Close as Issue.
28/09 - Fusion team is documenting the RFQ/RFI/RFP process flow to better understand who / what documentation is required.
21/09 - No update on status of IT approval from John Costello. Working with procurement; issue has been raised to Guy but have not heard back. Managing Sponsors are also aware of this. Doubt expressed around 14-October due date. Escalated to Critical. 
14/09 - Have not yet received business case approval; continue to fill out RFP questionnaire. 
07/09 - Working on RFP questionnaire, waiting for approval.
31/08 - RFP business case submitted to procurement.  Next steps: receive approval to proceed with RFP from Procurement team and start filling out the RFP questionnaire.
24/08 - reached out to procurement, rcvd doc to fill out. Will get RFP underway and expedite quick as possible. 
23/8 - Greg containing Procurement to start RFP process and also engaging with Strategy on the list of possible products.</t>
  </si>
  <si>
    <t xml:space="preserve">8/11 - Approved by Alan
1/11 - Resource found, waiting for IT Management to approve. 
25/10 - Continue to work with teams towards integration. Realization that Phase 1 will be manual traceability. Currently evaluating full mpact and change requests. John Wootton and Msft will discuss. Michelle looking to add people for manual effort.
19/10 - Three interfaces will be built to connect TFS to ALM, team will use manual processes until interfaces are built. Project status reporting will always remain a manual step between the two. 
12/10 - Moved back to SharePoint (from M&amp;C Program level). Decision made to use both products. Team currently working on defining flow and quantifying the amount of manual work involved
 4/10 - We have not been able to close this issue and therefore we have moved this issue from medium to critical.  Though some defects are being synchronized today, complete synchronization between TFS and HP ALM is not yet available for requirements, test cases, and project linking.  Additional analysis still taking place. Moving forward: meeting with the two teams, will look at 5 scenarios that depict what they are trying to do. Once they are on the same page around targeted use, can determine how to proceed.                                                                                                                            14/09 - Nicky spoke with Rita and this is not a high priority issue anymore. Move to priority=medium. The fundamental issue is automated traceability; Nicky has accountability to work on this and escalate if it becomes more of an issue in the future.
07/09 - Nicky is meeting with Sue Maguire on Friday to discuss; another individual who was contributing has been out the last week. Review next week.
31/08 - Nicky and Michelle will keep moving this forward; Nicky looking at extending the scope / requirements for ALM pilot and production release. Ken mentioned TFS is the enterprise tool for requirement management and is part of the roadmap.
24/08 - Rita opened this; Michelle and Nicky Watson taking this forward for whole TFS Integration. Al will check with Brian Ford and Nicky Watson and report back. </t>
  </si>
  <si>
    <t>Ant, Daren, Ken, Rita</t>
  </si>
  <si>
    <t xml:space="preserve">14/09 - Received SOW from MS, reviewed and had review with Microsoft this afternoon. John Bruce will incorporate revisions and provide update by end of week. Close this issue. 
07/09 - Opened issue. Rita is following up on this SOW to ensure ready to distribute. She will send it to Ant for wider distribution. Review next week. </t>
  </si>
  <si>
    <t>Group Management solution is required to manage the Active Directory groups prior to commencement of UAT, Lync and Outlook. 
Assuming we get procurement sign-off at the end of Nov, this give us 2 weeks to get this into production (based on current dates of 6th Jan), and 6 weeks based on the 6th Feb (and this assumes we wont be impacted by the Jan moratorium)
Impact is M&amp;C programme have a drop dead date of the 6th Feb. Affects Lync, Exhange and Sharepoint.</t>
  </si>
  <si>
    <t>RFP timeline may impact SharePoint delivery schedule.  A streamlined RFP process is required to meet our aggressive schedule.
The SharePoint Social Features capabilities will not be able to be met out of the box.   Early identification of components indicate that a RFP will be required. This needs to be managed in an expedited fashion in order to not delay the effort
People workstream requirements will go to hold as of the end of Iteration 3, 16th Dec.</t>
  </si>
  <si>
    <t>There is a general lack of definition of accountability of the EY and MSFT architects. 
There is no clear understanding of where the accountability for design and delivery lies</t>
  </si>
  <si>
    <t>Agreement of MS CR for SharePoint Foundation 
Resources assigned to Planning and Design are required to document requirements to baseline Fusion requirements until end Oct. This will delay the start of D&amp;P by 6 weeks </t>
  </si>
  <si>
    <t>The locations of the global and in country SP Farms and what information is allowed to be placed in each location
Examples: North America non US client data should be housed in Toronto as a main data centre not Secaucus.   As a team we need to confirm that operations, network, capacity, etc. are all ready in the Toronto DC to accept the work.    
Certain types of people data cannot be transferred out of country so how will this impact the People Profiles and the ability to find people globally and the servers needed to support that.</t>
  </si>
  <si>
    <t xml:space="preserve">30-11. Contract sorted, progressing this project with suport from Imanami. This Issue should now be closed.
23/11 - Bob said the contract was signed last night by both parties; review this item in 2 wks.
09-11- Group Management Workshop Complete as of 9th Nov
02-11 - Group Management Project is now kicking off, W/C 7th Nov. Drop dead date has now moved back, and thus this project can deliver by 28th Feb, with no impact (as confirmed by Paul N).
26-10 - Pricing has been agreed with Imanami. In fact, license costs have been reduced from $480k down to $280k. Procurement are currently working through the BRET Process. Expectation is that the Project budget is signed off w/e 28th Oct, with project kick-off commencing W/E 4th Nov. Subject to resource availability.
IAM are also currently using an Evaluation License from Imanami Re product setup
The delivery date is as yet TBC. However, with agreement from M&amp;C Exchange program, we have moved the date back to the 3rd Feb.
19-10 - Imanami have been confirmed as the vendor of choice. Currently negotiating price. Next steps is the licensing agreement etc. Procurement are targeting a completion timescale of circa 2 weeks (2nd Nov).
12-10 - The Team have chosen Imanami as the Vendor of choice. Next step is Customer Relationship Manager to confirm appointment, and then procurement to progress vendor through the vetting process. Current anticipated timescale to complete process is 6-8 Weeks (worst case end of Nov), which puts in jeopardy our delivery date of the 6th Jan. Need support to expedite this process.
04-10 RFPs received &amp; Presentations completed by both Imanami and Quest. Vendor selection due for completion w/e 7th October. Should be removed from risk list
22-09 - Required date from M&amp;C is currently 6th Feb. deliver Date from IAM is currently the 6th Jan. Impact should be reduced to Medium. (IAM team agreed to reduce priority from Crit &gt; Med.)
Vendor presentations have been set up for 28th/29th Sept.
21-09 - Vendor responses received, and currently being Scored". Vendor choice due W/C 3rd Oct.
14/09 - Closed as Risk 33 and opened as a Critical Issue. 
Prior update as Risk: 07/09 - RFP responses received and are currently being evaluated. Program interdependency stated in enterprise plan. </t>
  </si>
  <si>
    <t>07/12 - Michelle said they had thought they needed Alan's decision, but this was resolved with John Costello. Close.
06/12 - Need decision from Alan.
05/12 - Team had thought this was approved to proceed and closed the item after 4-Nov, but it is not and SP team needs to do some further analysis on it. Working on it again now. Reopened with Priority = High. Michelle = owner, due date next week's call date, 14-Dec (was previously 31-Dec).
4/11 - Executive sponsor decided to move forward with the RFP in progress
1/11 - Waiting on Executive Sponsor decision
19/10 - Microsoft meeting 26th or 28th of October, drafting RFP in case decision is to proceed. Downgrade to Medium.
12/10 - Escalating to Microsoft Management (Sales and Delivery)
5/10 - Documenting requirements / gap analysis for Functional Stakeholder presentation.  Next steps are to get MS roadmap in this space.
28/09 - Fusion team is documenting the RFQ/RFI/RFP process flow to better understand who / what documentation is required.
21/09 - Available options to be presented to Managing Sponsors next Thursday for review and approval to begin the RFP process. Doubt expressed around 14-Oct due date. Escalate to critical.
19/09 - Opened by Greg.</t>
  </si>
  <si>
    <t>Michelle Edmonds/Brett van Gelder</t>
  </si>
  <si>
    <t>5/10 - Roles and Responsibilities defined by Michelle E., Brian B., and Brett.  Brett also presented new Enterprise / Solution Architecture Shared Architecture Teams model in the last DA meeting.  Issue can be closed.
21/09 - Opened by Al. We are looking for absolute clarity here: Michelle and Adrian (for Fusion and UC, respectively) will send e-mails to Guy and cc this group around how they came up with MSFT's responsibilities in creating the SOWs. (Michelle sent email 21/9, awaiting response)</t>
  </si>
  <si>
    <t xml:space="preserve">05/10 - CR redrafted to include Fusion and SPF changes, awaiting agreement within ITS, due for release to MS 6/10. Team determined that this is a duplicate item, close.
28/09 - Approach for Planning &amp; Design discussed with MS PM. MS identifying activities in P&amp;D that are not dependant on further Fusion requirements and will highlight those that need to evolve further. MR to draft CR for discussion with Michelle and Al with a view to maintaining momentum of P&amp;D whilst still supporting Fusion 
22/09 - Rita met with Guy yesterday and Michelle this morning; this is moving along but will impact timeline. Agreed that Mark should own this (infrastructure issue that should be owned by infrastructure group). Michelle is helping it along also. Al deemed this a priority for today and tomorrow; PM to ensure this gets distributed/approved appropriately. Al will forward Mark copy of CR. Move from Critical to High. 
21/09 - Opened by Mark. </t>
  </si>
  <si>
    <t>04/10 - Opened by Michelle. Changed to a RISK 05/10. CLOSE HERE.</t>
  </si>
  <si>
    <t xml:space="preserve">A number of prerequisites activities will need to be completed in time for the commencement of the SOWs
Decided 11-May that this issue will be specific to "Active Directory" work. </t>
  </si>
  <si>
    <t>SharePoint physical Build server needs to be built and development ready.
Impact to the development cycle and deployment of builds across the SharePoint program.</t>
  </si>
  <si>
    <t>FROG SOW has not been signed off on.
If frog SOW is not signed before Nov 15th, we will miss our June date.</t>
  </si>
  <si>
    <t xml:space="preserve">We need to formalize the process to receive, validate and approve SharePoint invoices from Microsoft.
Microsoft may not be getting paid in the time expected. </t>
  </si>
  <si>
    <t>We need a formal process to communicate new resource (changes to resources) Roles and Responsibilities across the M&amp;C Program.
Communication may be lost.  Items may not be delivered on a timely basis.</t>
  </si>
  <si>
    <t>Communication from Functional Stakeholder meetings needs to be disseminated across all teams (currently inconsistent).
Causes confusion across the Team.  Also creates churn.</t>
  </si>
  <si>
    <t>24/08 - Closed as an issue and opened as Risk 47 as this has gone from being an issue to a Risk. 
17/08 - Daren working with leads from channel programs (e.g., GCL5) to gather requirements specific to AD, hopes to have completed by next week. Bob: first cross-program dependency meeting today; each have agreed to meet independently, discuss and clarify dependencies and meet back to discuss next week. Focusing on critical dependencies, defined as due in next 6-8 weeks. 
10/8 - Steve - first plans coming from IAM - Daren Wicks has been loaned to IAM to help form plans, continue to track weekly.
3/8 - IAM need a plan and a Project Manager to complete the work on the various Streams for M&amp;C, IAM- Ken Sponaugle to confirm arrangements for PM resource? Daren Wicks will be tracking for M&amp;C. Milestones will be adjusted by this Friday (8/5- Bob).
27/07 - Steve says Envisioning completed, most of the activities will be completed by the IAM Group in co-operation with M&amp;C 
06/07 - Steve AD review and analysis work is ongoing, with the object of getting as much information before envisioning.  Part of the envisioning workshop. 
29/06 - Steve reported that final 12 hours of MS ITAP time spent on AD Attribute analysis report. IAM needs to Plan how to take ownership of the global attributes and start to communicate that Plan to current owners, will need Sponsor buy-in. Needs to be in hand before Envisioning gets started.
22/6 - Work agreed to use 12 days Microsoft Time left from ITAP for Attribute collision analysis.
15/06 - Steve mentioned that Anthony / Adrian went back to ITAP work.  Verbal closure on the last 3 items, written closure on the first 14 items. Attribute reuse will need to work with MS - 2 phased approach under ITAP:  1st is high level analysis which was complete, 2nd part to build into each and every user object (more detail analysis required).  Work with Bob Held, Raymond Cansick, prior to going back  to MS.
08/06 - Steve reported that MS hasn't finished the ITAP analysis so we still need the analysis and an effort in place to remediate application's atttributes.  Adrian to follow-up wih MS for next steps.
01/06 - Scripts were run and there is a meeting tomorrow to review the analysis.  Initial feedback is that there are a few issues.  ITAP SOW analysis complete - meeting to review analysis.
25/05 - Still due by 27-May and on track; had a hiccup in that Discovery scripts were not run last wknd, but rather yesterday and day before. MS will use the scripts to ensure there are no red flags.
18/05 - Prereqs on track through ITAP SOW. AD workshop next week. On track to complete by 27-May.
11/05 - About 60% through impact analysis doc. Target moved back a week from 20 May. Still looking at 6 month duration for  AD work, will have update at culmination of ITAP.
04/05 - There is a massive dependency on AD. AD workshops going on now. Interim SOW seeking to determine full impacts of AD; won't know all until Interim SOW ends, approx. 2-3 wks. Estimate 6 mos for AD to be up and running. Ken: Action to look into the 6mo. estimate: is this accurate?
27/04 - Ken's team has made much progress in the creation of a prerequisite plan. Michelle, Adrian, Nikki, Brian, and Nick: Leads to sit down and determine resource needs. Al would like a list of the categories of items we hope to achieve (not too much detail in this list). Once UK team returns from holiday, will set up calls to initiate.
19/04 - further planning sessions this week
Update 08/04 - kick off session to agree plans to complete prerequisite activities.
Collate all prerequisites tasks, including those in the SOW, and create a plan to complete them.</t>
  </si>
  <si>
    <t>Michael Cliffel</t>
  </si>
  <si>
    <t>1/11 - Completed 31-October.
25/10 - Build server currently in process, targeted delivery is Friday. 
19/10 - Build server request was processed on the 18-Oct
12/10 Currently working to obtain EAM resource to assist with infrastructure buildout.</t>
  </si>
  <si>
    <t>06/12 - SOW was signed off.
22/11 - SOW continues to be in review, pending sign-off. Kickoff TBD. Planning sessions from 29th Nov.
8/11 - SOW in review and being updated.  Plan for the kickoff on 28 November
1/11 - Received frog SOW, MSA signed.
25/10 - If frog SOW is not signed before Nov 15th, we will miss our June date. Alan getting things moving here.
19/10 - SharePoint Phase 1 dates are at risk. Looking to get clarity in meeting tomorrow.
12/10 - Expected start date is tentatively Nov. 1, Bob and Kevin are working with Frog Design.</t>
  </si>
  <si>
    <t>Scott Machovina 
Howard Jones</t>
  </si>
  <si>
    <t>ASAP</t>
  </si>
  <si>
    <t>19/10 - Met internally(with Al and Finance team) to discuss process going forward .
12/10 Scott is following up with Howard to resolve open items.</t>
  </si>
  <si>
    <t>02/11 - 2 junior PMs hired, starting Monday. They will take care of this from here. Close item.
26/10 - no update.
12/10 item opened.</t>
  </si>
  <si>
    <t>Guy Morgan 
Jeremy Brown</t>
  </si>
  <si>
    <t>09/11 - Comms lead and PM starting in near future; can close this item per Al.
26/10 - no update.
12/10 item opened.</t>
  </si>
  <si>
    <t>SOW for ID Sync has not been signed off which is impacting our ability to engage Microsoft, and hence progress the project which is an Inbound dependency to M&amp;C
Impact could be the delay to Lync/Exchange Testing which is due to start on 6th Feb</t>
  </si>
  <si>
    <t>Agreement to resource to Change plan
Unable to provide key areas of Business Change support to all 3 programs</t>
  </si>
  <si>
    <t>Learning lead to replace Gabrielle Pirzad
Learning activities will cease. Momentum will be lost and limited handover will be possible loosing work covered to date</t>
  </si>
  <si>
    <t>Need to engage with Area representatives regarding the Change network and resource to the plan.
Whilst this is pressing it needs to be sensitive to the order of events given that the 'story' for M&amp;C is being developed to engage with Senior stakeholders. Ideally this would be completed first before seeking resource. However timescales will not necessarily allow for everything to work serially.
Change network not in place and briefed. Consequently no local impacts and plans can be identified and established. IT implementation may be imposed with little business involvement if we remain with current go live dates</t>
  </si>
  <si>
    <t>Key EY IT resources spread across multiple work streams, creating a resource bottle neck.</t>
  </si>
  <si>
    <t>As we do not know which applications will be in the first release for A&amp;DM, Change cannot do any further planning
No further planning for ADM can take place for release 1. Depending on the size and impact of the selected applications we could be poorly prepared for any change given current timescales.</t>
  </si>
  <si>
    <t>23/11 - Bob confirmed this can be closed.
02-11 - ID Sync SOW has now been signed off. Issue can be closed
26-10 - Expected SOW sign-off is W/E 28th Oct. Setting up Envisioning workshop with the E&amp;Y team and Microsoft W/C 31st Oct. 
IAM have communicated (to M&amp;C) a NEW delivery date of 29th Feb. TBC based on Planning Output session with MS. M&amp;C impact assessment to be carried out and conveyed to IAM.
19-10 - CR is being raised. Review taking place with respect to whether a formal CR is required, or an FYI as IAM budget could potentially subsume the cost. Al said that this needs to be escalated to Adrian and his team as it will impact the timeline. Action created for Bob to send a formal email to Adrian and cc Al and Guy, so that he can raise it to the ITS Steering Committee.
12-10 - SOW is currently sitting with Legal for sign-off. We need this signed off (or confirmation as to why it isn't) so that we can engage Microsoft into progress the project. Current we are essentially at a standstill.</t>
  </si>
  <si>
    <t>26/10 - Approved. Close.
21/10 - All resource requirements approved
Recruitment process started
19/10 - Awaiting feedback from Guy's meeting with Mo Osborne. Should have more info end of next week. Sophie/Jackie will update due date and impact columns.</t>
  </si>
  <si>
    <r>
      <t xml:space="preserve">06/07 - issue has been mitigated - close issue.
01/06 - Invites going out today. Few challenges setting up the video conferencing.  Change completion date to June 3rd and reduce priority to medium.
25/05 - Working through this, particularly with attention to </t>
    </r>
    <r>
      <rPr>
        <b/>
        <sz val="9"/>
        <color theme="1"/>
        <rFont val="Arial"/>
        <family val="2"/>
      </rPr>
      <t>Envisioning sessions</t>
    </r>
    <r>
      <rPr>
        <sz val="9"/>
        <color theme="1"/>
        <rFont val="Arial"/>
        <family val="2"/>
      </rPr>
      <t>, coming in June. To be further discussed in 1-June kickoff, upon receipt of agendas from MS.
18/05 - Resource requests being put into Retain, working to get names assigned. Pinchpt: sessions around envisioning and then BPOS workshop. Need min people to travel for June workshops, rest remote. Had to push a few items back to mid-week instead of all starting 6-June. Agenda will come with the SOWs. Note: items labelled as "spare days" currently will likely be filled.
11/05 - Working through resource scheduling system to ensure not demanding 1 resource in two areas at a time. Moved from High to Critical. Need dates and list of individuals for workshops; establish timeline and share with MS so they can plan their resources and move fwd.
04/05 - Ongoing.
27/04 - Will work continually to mitigate this risk; determine staffing/hours for the coming weeks. Mitigation plan: 1. Ensure all incoming resources provide vacation schedules, 2. Fully update Retain, 3. Maintain an open discussion with regards to external conflicts (e.g., other projects), 4. Each Program Manager to work with PMs regarding resource situations (will also approach business for their holiday info, etc.)
20/04 - identify back up resources during planning
Identify other team members that need to be involved in the various workshops.</t>
    </r>
  </si>
  <si>
    <t>Need business analysts for SharePoint workstreams.  Issue impacted by recent resource location strategy.
Team is managing resoures across workstreams to deal with high risk items, not all items are being completed.</t>
  </si>
  <si>
    <t>Draft of Deployment Strategy is being affected by lack of resources.
Delivery date may be impacted.</t>
  </si>
  <si>
    <t xml:space="preserve">Increase to scope due to EY reference architecture needs.
Impact to resources and budget. </t>
  </si>
  <si>
    <t xml:space="preserve">Risk that we currently have nothing in plan if Assurance decides to use Ovitas for a Content Management solution.
Impact to resources and budget. </t>
  </si>
  <si>
    <t>Outlook Dormant Depoyment - Additional Testing being requested by Operations regarding the fact that ALL E&amp;Y Machines have Outlook Express, which was previously unknown.
Impact is the delivery date of the 7th Feb is in jeopardy. Likely to be delayed by at least 1 week</t>
  </si>
  <si>
    <t>The SharePoint Foundation team used knowledge of current service delivery efforts and has specified an environment for external collaboration. If during requirements ECMA significantly varies from this the infrastructure will have to be redesigned
Re-design</t>
  </si>
  <si>
    <t>14/12 -  Continuing to review resumes/interview. 
06/12 - Impact updated.
8/11 - One new BA found.    New strategy put in place and employee BAs in process of being hired.
1/11 - Will determine how to support, it may affect ability to complete requirements, may not have enough work for coders.
25/10 - Need 3 BA's, talking to Microsoft about one. Guy said when in Cleveland next week will be looking at resource capacity issues. Michelle's team can't support Sec workshops week of 14-Nov. Adrian will talk to Mark about changes to the agenda/attendees of these workshops.
19/10 - Had a call with Todd Andrews and put out resource request to Microsoft.</t>
  </si>
  <si>
    <t>Michelle Edmonds / Mike Laci / Martin Kremmer</t>
  </si>
  <si>
    <t>Rita Seibel</t>
  </si>
  <si>
    <t>30/11/11 - Rita will update this item with details; have a resource who will work with Michelle's team. Should not have an impact from program perspective. Close.
23/11 - Rita said they are waiting on approval from EY PMO to develop the CR. Review next week.
1/11 - Waiting for Microsoft.
25/10 - Issue Opened. Looking to source with Microsoft.</t>
  </si>
  <si>
    <t>Michelle Edmonds/Mike Cliffel</t>
  </si>
  <si>
    <t xml:space="preserve">1/11 - Met with Assurance(Bob Held, Margaret Walsh), if Ovitas is selected it will be an Assurance run effort and will not be part of our scope or budget.  Team engaged delivering on front end.  Team will continue to work on Content Management. 
25/10 - Issue Opened. </t>
  </si>
  <si>
    <t>22/11 - Issue moved to risks
7/11 - Meeting scheduled for next week in London
1/11 - Issue Opened</t>
  </si>
  <si>
    <t xml:space="preserve">3/11 - Name provided issue closed
1/11 - Issue Opened. Cindy Hope to provide Michelle a name by the end of the week. </t>
  </si>
  <si>
    <t>Need business lead for Communities workstream.
Team can't get through requirements in the time alloted for each iteration.</t>
  </si>
  <si>
    <t>I61A</t>
  </si>
  <si>
    <t>I61B</t>
  </si>
  <si>
    <t>The business has not been availble per our original plan due to resources being assigned to more than one workstream. 
Schedule will move out or we find more resources. Could make more progress if we had a business leader for each workstream.</t>
  </si>
  <si>
    <t>Need to confirm Microsoft Application Transformation Project Start Date
Need to schedule/confirm resources</t>
  </si>
  <si>
    <t>The information needed to profile the users is not available in the HR systems to the level of detail needed by the new EK solution (Geography, Rank and Service Line)                                                       Need to get the data updated in these systems and a process to keep it up to date going forward            
Bad data quality.</t>
  </si>
  <si>
    <t>Need EY to provide data required for Lync Functional Specification
Lack of input will affect quality of  Lync Functional Specification document</t>
  </si>
  <si>
    <t>Quote received from CASAHL for use of their ecKnowledge toolset (required by Microsoft for Phase 1) is prohibitive
Unless quote can be revised to a more reasonable figure (i.e. Tailored for Phase 1 only) then EY cannot provide Microsoft with required toolset</t>
  </si>
  <si>
    <t>Core team sizes have grown beyond original intents. 
Difficult for team to get work done and difficult to keep people engaged.</t>
  </si>
  <si>
    <t>Delivery of QA environments scheduled for 1st December did not happen.
This issue has caused the end date of SharePoint to be moved out and the cost of the program to increase as current resources cannot be effective and are waiting to do their work. Need a decision within the next week.</t>
  </si>
  <si>
    <t>Requirements synchronization between TFS and ALM has not been planned nor targeted.
Makes traceability of requirements a manual process. Defects not automatically linked back to requirements. Increase cost/decrease quality.</t>
  </si>
  <si>
    <t>Lack of space in the Becket House, London office is preventing the current team from working in a co-located environment and will become an even greater problem in Jan'11 when another 18 resources are due to join the team.
Team will have to work from alternate locations (i.e. Alternate EY offices, home...) impacting team's productivity.</t>
  </si>
  <si>
    <t>Daren will update this issue around getting the SharePoint attribute requirements for Communities.(This is the item that broke off from Issue 29, closed 30-Nov as Q&amp;RM issue has been resolved.)</t>
  </si>
  <si>
    <t xml:space="preserve">MS SP resource engaged to assist E&amp;Y with SharePoint Governance no longer have time on their contract and E&amp;Y resources are not ready to carry next activities forward. 
Lack of governance will cause re-work and may result in the system not meeting expectations </t>
  </si>
  <si>
    <t>Lack of resources and inconsistent processes are impacting the quality of the work on SharePoint and items are not able to be completed.
Lower than expected quality will lead to rework, missed deliverables and burn out of employees as overtime continues to move higher.</t>
  </si>
  <si>
    <t>Additional work is being added to the SharePoint team without the proper change control process (prioritization, impact on cost, schedule)
Cost and schedule will increase.</t>
  </si>
  <si>
    <t>SharePoint Phase 1 delivery needs to include Mobile acccess and no team is currently engaged to complete this work per a defined schedule.
Mobile access will not be delivered in Phase 1</t>
  </si>
  <si>
    <t>8/11 - Altering schedules of the People and Communities workstreams to fit the communities lead schedule
1/11 - Issue Opened.</t>
  </si>
  <si>
    <t>Martin Stutchbury / Guy Morgan</t>
  </si>
  <si>
    <t>7/12/11 - Date moved out to March 2012 due to candidates being put on hold by the business (busy season for audit). On the call, Martin discussed with Alan - this is not an issue for EY. Msft had SOW months ago but we haven't started. Not an issue. Close on log.
30/11 - Hoping requirements for Phase 1 completed before xmas. Had told Msft not until January; hoping to have an answer next week; remove "SP" from item description.
09/11 - review in two weeks.
1/11 - Rita Seibel - Need to confirm Project Start Date (est. Mon 11/28)
22/11/11 - Meetings held with MS w/e 18/11/11 to advise that start date will be in New Year (exact date TBC nearer the time)</t>
  </si>
  <si>
    <t>Sue Maguire / Ken Sponaugle</t>
  </si>
  <si>
    <t>Michelle Edmonds / Norm Lambert</t>
  </si>
  <si>
    <t>Brett van Gelder</t>
  </si>
  <si>
    <t>From the MS CM Workshop the team is concerned about how knowledge security will work within SP</t>
  </si>
  <si>
    <t>Current assessment of Assurance technical solution has required more time from the team than expected. Increase the overall cost of the program, has not been assessed for upgrade ability to SharePoint 15.
Impacting Research Tools, Content Management, Subscribe &amp; Deliver, specifically Assurance technical solution vision &amp; scope is on hold.</t>
  </si>
  <si>
    <t>Lack of clearly defined roles and responsibilities.
Will either have duplicate work or work not being done. Right people are not being engaged, morale is suffering.</t>
  </si>
  <si>
    <t>There was a design concept for HR Profile attributes that had been approved but due to Data Center Strategy it has invalidated.
Can't complete the Profile integration design until an alternate solution is proposed and approved.</t>
  </si>
  <si>
    <t>The automated build process needs to be able to use/pass non-Prod credentials, because the builds are done in environment(s) outside of Prod. Solution for passing the credentials in automated build process has not been determined.  
Can't do automated builds.</t>
  </si>
  <si>
    <t>There isn't an Exchange/Outlook environment that we can test SharePoint integration to.
The proof of concept for this integration will be delayed.</t>
  </si>
  <si>
    <t>Need to figure out how the architecture work in SP will work - Engineering and Architecture</t>
  </si>
  <si>
    <t>Working with MS to determine knowledge security options. Those options will be highlighted in the POC as possible solutions for the team to review                          27/04 - Continue to work with MS. Close.</t>
  </si>
  <si>
    <t xml:space="preserve">06/12 - Issue opened. </t>
  </si>
  <si>
    <t>Mike Cliffel</t>
  </si>
  <si>
    <t>Brian Blinco, Peter Browne, Michelle Edmonds</t>
  </si>
  <si>
    <t>27/04 - Brian, Nick and MS determined how the two teams will work together. Close.</t>
  </si>
  <si>
    <t>Our ramp up of resources is slower than expected, and having turnover of existing resources.
Impacts our ability to deliver to plan, productivity and quality of work.</t>
  </si>
  <si>
    <t>The common SP infrastructure for the firm does not have clear business ownership therefore we need new governance that will be responsible long term for communication of emergency outages and planning for regular maintenance
System will not meet expectations post go live as it may not be available (due to an emergency, without prior communication) and patches may not occur per the schedule causing instability</t>
  </si>
  <si>
    <t>The new SP infrastructure is dependent upon WAN accelerators and other WAN performance improvements installed and ready to be used.  SP Foundation team is working with the proper people.  Need to make sure plans align
The SP infrastructure will not perfom as desired for those at the edge of the network or the go live will be delayed until the work can be completed</t>
  </si>
  <si>
    <t>Who owns release management - Engineering, EAM or Development</t>
  </si>
  <si>
    <t>Martin Stutchbury</t>
  </si>
  <si>
    <t>Adrian Mickelson</t>
  </si>
  <si>
    <t>Brian Blinco, Peter Browne, EAM, Michelle Edmonds</t>
  </si>
  <si>
    <t>27/04 - Discussion of which group will execute release management. Resolved on call: Chris Whitman's team.</t>
  </si>
  <si>
    <t>???</t>
  </si>
  <si>
    <t>I98</t>
  </si>
  <si>
    <t>I99</t>
  </si>
  <si>
    <t>I100</t>
  </si>
  <si>
    <t>I101</t>
  </si>
  <si>
    <t>I102</t>
  </si>
  <si>
    <t>I103</t>
  </si>
  <si>
    <t>I104</t>
  </si>
  <si>
    <t>I105</t>
  </si>
  <si>
    <t>I106</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</si>
  <si>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</si>
  <si>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</si>
  <si>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</si>
  <si>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</si>
  <si>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</si>
  <si>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</si>
  <si>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</si>
  <si>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</si>
  <si>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</si>
  <si>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</si>
  <si>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</si>
  <si>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</si>
  <si>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</si>
  <si>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</si>
  <si>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</si>
  <si>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</si>
  <si>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</si>
  <si>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</si>
  <si>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</si>
  <si>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</si>
  <si>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</si>
  <si>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</si>
  <si>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</si>
  <si>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</si>
  <si>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</si>
  <si>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</si>
  <si>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</si>
  <si>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</si>
  <si>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</si>
  <si>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</si>
  <si>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</si>
  <si>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</si>
  <si>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</si>
  <si>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</si>
  <si>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</si>
  <si>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</si>
  <si>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</si>
  <si>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</si>
  <si>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</si>
  <si>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</si>
  <si>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</si>
  <si>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</si>
  <si>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</si>
  <si>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</si>
  <si>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</si>
  <si>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</si>
  <si>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</si>
  <si>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</si>
  <si>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</si>
  <si>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</si>
  <si>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</si>
  <si>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</si>
  <si>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</si>
  <si>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</si>
  <si>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</si>
  <si>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</si>
  <si>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</si>
  <si>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</si>
  <si>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</si>
  <si>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</si>
  <si>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</si>
  <si>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</si>
  <si>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</si>
  <si>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</si>
  <si>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</si>
  <si>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</si>
  <si>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</si>
  <si>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A80</t>
  </si>
  <si>
    <t>A81</t>
  </si>
  <si>
    <t>A82</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</si>
  <si>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</si>
  <si>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</si>
  <si>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</si>
  <si>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</si>
  <si>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</si>
  <si>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</si>
  <si>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</si>
  <si>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</si>
  <si>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</si>
  <si>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</si>
  <si>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</si>
  <si>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</si>
  <si>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</si>
  <si>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</si>
  <si>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</si>
  <si>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</si>
  <si>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</si>
  <si>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</si>
  <si>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</si>
  <si>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</si>
  <si>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</si>
  <si>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</si>
  <si>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</si>
  <si>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</si>
  <si>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</si>
  <si>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</si>
  <si>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</si>
  <si>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</si>
  <si>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</si>
  <si>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</si>
  <si>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</si>
  <si>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</si>
  <si>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</si>
  <si>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</si>
  <si>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</si>
  <si>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</si>
  <si>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</si>
  <si>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A4</t>
  </si>
  <si>
    <t>A5</t>
  </si>
  <si>
    <t>A6</t>
  </si>
  <si>
    <t>A7</t>
  </si>
  <si>
    <t>A8</t>
  </si>
  <si>
    <t>A9</t>
  </si>
  <si>
    <t>Program Management</t>
  </si>
  <si>
    <t>80% of the user population will be hosted in the cloud and the remaining 20% on premises</t>
  </si>
  <si>
    <t>SOWs and Plans will need to be reworked depending on what the final decision on BPOS</t>
  </si>
  <si>
    <t>Obsolete</t>
  </si>
  <si>
    <t>26-Sept: Greg suggested obsolete.</t>
  </si>
  <si>
    <t xml:space="preserve">Assumption 50 day SLA to build a server </t>
  </si>
  <si>
    <t>Additional lead times will add to the program schedule</t>
  </si>
  <si>
    <t>Not yet validated</t>
  </si>
  <si>
    <t>Email conversions are only done on Weekdays and the plan follows the sun</t>
  </si>
  <si>
    <t>Migrations will take longer should there be restriction to the follow the sun approach</t>
  </si>
  <si>
    <t>SOWs from MS will be signed off by June 1</t>
  </si>
  <si>
    <t>Further delays in launching the program</t>
  </si>
  <si>
    <t>Key resource openings will be filled by June 1</t>
  </si>
  <si>
    <t>Performance testing will occur in NC at the MS facility</t>
  </si>
  <si>
    <t>EY will need to fund and implement a performance test environment, this could add to the costs and introduce delays.</t>
  </si>
  <si>
    <t>The networks requirements for M&amp;C program can be delivered to meet the time scales for M&amp;C program. Network requirements will be delivered as part of the GWAN program, which is yet to be kicked off.</t>
  </si>
  <si>
    <t>Program schedule will be impacted</t>
  </si>
  <si>
    <t>This will introduce additional technical complexity in the solution proposed, additional development will be required.</t>
  </si>
  <si>
    <t>The candidate workloads for implmenting on BPOS for SharePoint are: Team Sites, My Sites and ad hoc collboration</t>
  </si>
  <si>
    <t>Implementation of the full SharePoint workloads will need to be done on prem</t>
  </si>
  <si>
    <t>04-Oct-11: R Bouji: Superseded by Assumption #71</t>
  </si>
  <si>
    <t>Bob Cooney</t>
  </si>
  <si>
    <t>Key AD requirements for M&amp;C program will be delivered as a separate program of work and will meet the time scales for M&amp;C program.</t>
  </si>
  <si>
    <t xml:space="preserve">Additional space will need to be investigated, this could extend the timeline for the program. </t>
  </si>
  <si>
    <t>John Lawler</t>
  </si>
  <si>
    <t>It is assumed that the Data Centre Consolidation program will be delivering Disaster Recovery capability for in-country requirements in the next 24 months. M&amp;C Program will design and implement DR &amp; HA capability within the same site where DR is not available and be moved later once DR sites have been made available.</t>
  </si>
  <si>
    <t>The scope of this effort will include all knowledge of the firm including ey.com and ey online</t>
  </si>
  <si>
    <t>Could reduce the scope of this effort</t>
  </si>
  <si>
    <t>Alan, Guy, team on 19-Dec review call</t>
  </si>
  <si>
    <t>Validated</t>
  </si>
  <si>
    <t>This SP POC effort does not include document management</t>
  </si>
  <si>
    <t>The scope would increase and require additional work, time and money</t>
  </si>
  <si>
    <t>This SP POC effort does not need to document collaboration requirements</t>
  </si>
  <si>
    <t>The functionality of this SP POC effort will be dependent upon 2010 (SP2010, Office 2010, Windows 7 and IE 8)</t>
  </si>
  <si>
    <t>Less functionality will be delivered than what is seen</t>
  </si>
  <si>
    <t>The Application Data Conversion work currently in the MS SOW will be covered by IBM and Hexaware</t>
  </si>
  <si>
    <t>It wouldn't be clear which vendor (IBM vs Microsoft) would be doing the work.</t>
  </si>
  <si>
    <t>The email production servers will be in place in October</t>
  </si>
  <si>
    <t>Charges would increase on the server budget</t>
  </si>
  <si>
    <t>Greg noted this is not accurate; Adrian confirmed. 5-May-2011</t>
  </si>
  <si>
    <t>The cost of the new MS software license will not be included in part of this contract</t>
  </si>
  <si>
    <t>If it is included, it would have to be included in the project budget.</t>
  </si>
  <si>
    <t>No data conversion is required to turn on Lync</t>
  </si>
  <si>
    <t>Would require additional scope and budget for Lync effort.</t>
  </si>
  <si>
    <t>Integration - The only systems integrated with Lotus Connection are EYHP and ASK (7)</t>
  </si>
  <si>
    <t>Any other integrations would increase effort and impact schedule</t>
  </si>
  <si>
    <t>It is assumed that the lead time for the procurement of all required infrastructure will not exceed 6 weeks.</t>
  </si>
  <si>
    <t>Structure - Workstream core team members are empowered to make decisions for the group they represent in Elaboration (11)</t>
  </si>
  <si>
    <t>Additional decision makers or lack of clarity on decision makers cause delay</t>
  </si>
  <si>
    <t>Deployment - Decisions from the Design Authority will be received in 1 week (12)</t>
  </si>
  <si>
    <t>Decisions that are not timely will cause delays</t>
  </si>
  <si>
    <t>Deployment - The Help Desk will be prepared for calls from 500K business users (13)</t>
  </si>
  <si>
    <t xml:space="preserve">Successful deployment is jeopardized if Help Desk is not prepared for support </t>
  </si>
  <si>
    <t>Deployment - The IT Solutions delivery team will provide a longer term structure to support the maintance and support of the Shared Services and common components (14)</t>
  </si>
  <si>
    <t>Successful maintenance and support are jeopardized if IT is not prepared for maintance and support of the Shared Services and common components</t>
  </si>
  <si>
    <t>Infrastructure - The phase 1 rollout will include a build out for all countries needing SharePoint (16)</t>
  </si>
  <si>
    <t>In Country solutions would not be in place, so SharePoint solutions could not be provided in county</t>
  </si>
  <si>
    <t>07-Oct-2011: BvG:Not realistic due to the situation with data transfer restrictions and the number of total country build-outs that will be required.  Build out should match solution requirements.</t>
  </si>
  <si>
    <t>Process - The staffing for Phase 1 needs to include the ability to train offshore resources for the following phases (17)</t>
  </si>
  <si>
    <t>Successful execution of subsequent phases are jeopardized if IT is not prepared</t>
  </si>
  <si>
    <t>Process - Code must be able to be used by other SP solutions, where applicable (18)</t>
  </si>
  <si>
    <t>Reusabilty strategy would not be realized</t>
  </si>
  <si>
    <t>Infrastructure - SP technology foundation Goverance work will occur in the technology foundation workstream (22)</t>
  </si>
  <si>
    <t>Increases the scope of other workstreams</t>
  </si>
  <si>
    <t>Schedule - frog will deliver the Phase 1 quick hits for use in the UX by late November (23)</t>
  </si>
  <si>
    <t>Dependent schedules of other Fusion workstreams will be impacted</t>
  </si>
  <si>
    <t>Process - The business will develop a governance group to help support consensus of different business groups where appropriate (24)</t>
  </si>
  <si>
    <t>Business governance may not be effectively established</t>
  </si>
  <si>
    <t>The rollout of the infrastructure will occur as a big bang</t>
  </si>
  <si>
    <t>A staggered approach to roll out will increase the effort and time scale for the roll out. Plans will need to be revisited.</t>
  </si>
  <si>
    <t>Phase 1 Delivery - the project team is responsible for developing development, architecture and design standards for the SP platform (25)</t>
  </si>
  <si>
    <t>Standards will not be effectively established</t>
  </si>
  <si>
    <t>Process - The team will use OOB, then 3rd party and then customizations to meet the business need (26)</t>
  </si>
  <si>
    <t>IT product development strategy would be violated</t>
  </si>
  <si>
    <t>Process - Work completed by the Embedded Knowledge team should be used to expedite the processes (27)</t>
  </si>
  <si>
    <t>Work would not be expedited</t>
  </si>
  <si>
    <t>Process - Managing sponsors will be notified if the core team on a workstream does not think OOB will meet the business need (29)</t>
  </si>
  <si>
    <t>Stakeholders would not be informed</t>
  </si>
  <si>
    <t>3rd Party Products - The group management solution in process by the Tech Foundation team will meet the needs of the business in Fusion (31)</t>
  </si>
  <si>
    <t>Scope, schedule, and budget variances</t>
  </si>
  <si>
    <t>UAT - The business will take the training developed by the team and modify it to meet the appropriate end user needs (34)</t>
  </si>
  <si>
    <t>End user training development would take longer</t>
  </si>
  <si>
    <t>Infrastructure - The technology foundation team will have the appropriate environments ready when needed (35)</t>
  </si>
  <si>
    <t>Fusion schedule will be impacted</t>
  </si>
  <si>
    <t>Norm Lambert (on 19-Dec review call)</t>
  </si>
  <si>
    <t>19-Dec: Norm said this has been invalidated; mark obsolete.</t>
  </si>
  <si>
    <t>Integrated Fusion scheduled would be impacted</t>
  </si>
  <si>
    <t>Process - The HR, Information Security, Quality and Risk Management and GCO teams will provide responses to key questions in a timely basis (37)</t>
  </si>
  <si>
    <t>Process - The ELM process of linking TFS to HP QC will meet the BA/PM needs to automate traceability from requirements through design and development to the test case and test resuts to defects and change controls (38)</t>
  </si>
  <si>
    <t>Lack of traceabilty will cause additional impact and product quality may be affected</t>
  </si>
  <si>
    <t>The email conversion will only be in-box data and calendaring going forward</t>
  </si>
  <si>
    <t>Would increase the amount of time needed for the conversion</t>
  </si>
  <si>
    <t>04-Oct-11: R Bouji: Superseded by Decision #51. A Mickleson confirmed this outcome from FSG mtg in Washington</t>
  </si>
  <si>
    <t>Process - The business will provide feedback on key deliverables in 5 days (39)</t>
  </si>
  <si>
    <t>Infrastructure - Ordering of hardware will take between 3-7 weeks (40)</t>
  </si>
  <si>
    <t>Longer cycle times will impact schedule</t>
  </si>
  <si>
    <t>Infrastructure - The confguration of hardware will take 4 weeks (41)</t>
  </si>
  <si>
    <t>Process - Information Security will provide the keys to production prior to final sign off to help the team prove out global deployment processes with the understanding that the team will not use the structure until approve (42)</t>
  </si>
  <si>
    <t>Proving out global deployment processes will be problematic</t>
  </si>
  <si>
    <t>Phase 1 Delivery - The team is responsible for determing how employees, clients and invited guests can be immediately removed from the platform for all products that will use the platform (45)</t>
  </si>
  <si>
    <t>Immediate removal process for users would not be in place</t>
  </si>
  <si>
    <t>Staffing - The internal IT team will have adequate employee representation for the risk associated with the effort (46)</t>
  </si>
  <si>
    <t xml:space="preserve">Successful deployment is jeopardized if  internal IT team does not have adequate employee representation </t>
  </si>
  <si>
    <t>3rd Party Prodcuts - Procurement will be able to help the team acquire 3rd party products in 9-12 weeks (48)</t>
  </si>
  <si>
    <t>3rd Party Products - Only 3rd party products over $50K will be required to go to formal RFP (49)</t>
  </si>
  <si>
    <t>Process - Client serving teams will receive regular updates from the effort to view the products as they are being developed (50)</t>
  </si>
  <si>
    <t>Feedback from stakeholders cannot be included</t>
  </si>
  <si>
    <t>Process - ITS is responsible for making sure design and code components/elements are reused across workstreams (51)</t>
  </si>
  <si>
    <t>Would either speed up or slow down the overall conversion process</t>
  </si>
  <si>
    <t>Staffing - Operations will be ready to be trained on the new environment in April (52)</t>
  </si>
  <si>
    <t>Successful deployment is jeopardized if Operations is not trained</t>
  </si>
  <si>
    <t>Infrastructure - In country build outs will be completed in 4 weeks (53)</t>
  </si>
  <si>
    <t>Training - First drafts of training will be completed with each iteration and then updated accordingly (54)</t>
  </si>
  <si>
    <t>Training may not be completed on a timely basis</t>
  </si>
  <si>
    <t>Infrastructure - The Technology foundation team will have enough requirement to start forward on production on October 1st (55)</t>
  </si>
  <si>
    <t>Infrastructure delivery is delayed</t>
  </si>
  <si>
    <t>Infrastructure - The review of the technology foundation items will only take 3 weeks (56)</t>
  </si>
  <si>
    <t>Process - The team will work internal requirements first for People, Communites and then be able to add in External without significant rework (58)</t>
  </si>
  <si>
    <t>If there is significant rework, schedule will be impacted</t>
  </si>
  <si>
    <t>Schedule - When the work with iteration 1 is complete the team will move into Iteration 2 (59)</t>
  </si>
  <si>
    <t>Schedule will need to proceed, if not there will be schedule delays</t>
  </si>
  <si>
    <t>Schedule - The holidays at the end of year will consist of 2 week unavailability from the business, EY employees and Microsoft.  The Hexaware team and 10% of the EY team will be available to continue working (60)</t>
  </si>
  <si>
    <t xml:space="preserve">It's not likely deliverables and decisions can be counted on as normal, during this period </t>
  </si>
  <si>
    <t>Conversion - The March budget for Fusion will be modified to include the data conversion that is being moved in for Lotus Applications (61)</t>
  </si>
  <si>
    <t>The Fusion budget would not be in line with the inclusion of the Lotus Applciations conversion scope</t>
  </si>
  <si>
    <t>Schedule - GAAIT replacement work has not yet been added to the plan (64) and will need to be added</t>
  </si>
  <si>
    <t>Plan will need to be updated when this is defined</t>
  </si>
  <si>
    <t>Blackberry and iPhone users will be re-provisioned as part of the move to Exchange</t>
  </si>
  <si>
    <t>Significant impact to business users using mobile messaging</t>
  </si>
  <si>
    <t xml:space="preserve"> Unified Comms will deliver Microsoft Outlook email integration for 
- eDocs
- Faxing services
- Local room booking</t>
  </si>
  <si>
    <t>Deployment timescales may be delayed if additional applications are required to be integrated into Microsoft Outlook. Unified Comms will be running discovery/business analysis acitivity to determine what the total scope of mail-integrated applications in Lotus Notes are that must be integrated with Outlook, and present these to the FSG/design authority for agreement</t>
  </si>
  <si>
    <t>04-Oct-11: Added by R Bouji</t>
  </si>
  <si>
    <t>Benefit realisation of Lync user adoption will be impaired if users continue to have Sametime available and continue to use this instead of Lync. Support for two applications will also increase burden on global support services</t>
  </si>
  <si>
    <t>The following assumptions hold for migration from Lotus Notes to Microsoft Outlook:
- During migration there will be co-existence of Lotus Notes to Microsoft Outlook across EY, but not for individual users, ie users cannot have both Lotus Notes and Microsoft Outlook as active mail clients
- Microsoft Outlook and Lotus Notes users will be able to query live free/busy calendar data regardless of which mail client is being used by invitees; updates, reschedules, etc will be processed appropriately regardless of the mail client in use
- Rich text items (links, buttons, sections etc) in eg global communications will be replicated appropriately for the user's mail client (exact mechanism for this TBD)
- Contacts will appear in global mail lists regardless of the mail client the user is on</t>
  </si>
  <si>
    <t>Lack of co-existence and interoperability (eg on calendar and contact lookups) will have significant business impact and reduce likelihood of operational acceptance, as well as increase risk of adverse impact on global support services</t>
  </si>
  <si>
    <t>Global Core Loadset 5 (GCL5) will not support Lotus Sametime, therefore all EY users must be migrated onto Microsoft Lync before they can be upgraded to GCL5. This creates an outbound dependency from M&amp;C Unified Comms into the GCL5 program</t>
  </si>
  <si>
    <t>Delays to deployment of Lync and global disabling of Sametime will impact on when GCL 5 can begin deployment</t>
  </si>
  <si>
    <t>Due to constraints on the amount of data that can be transferred, as well as constraints on the level of global helpdesk support that can be provisioned post-migration, the number of users in each deployment tranche from Lotus Notes to Microsoft Outlook is capped at approx. 10,000 users</t>
  </si>
  <si>
    <t>Higher user numbers to be migrated will take longer to transition and will reduce the number of users that can be migrated in any given deployment window, as well as adversely impact the global support service due to an expected increase in support call volumes</t>
  </si>
  <si>
    <t>The current window for migration is 15 hours per weekend, taking into account global office hours</t>
  </si>
  <si>
    <t>Reduced window for migration may reduce the number of users that can be transitioned in each tranche</t>
  </si>
  <si>
    <t>A77A</t>
  </si>
  <si>
    <t>A77B</t>
  </si>
  <si>
    <t>A Pilot phase will operate for both Lync and Outlook deployments. The following assumptions stand for each Pilot:
- Pilot user volumes will ramp up from 0 to ~5000 users over 4-6 weeks, with full Phase functionality – devices included
- Pilot groups will be located in at least two separate geographies
- A Go /No-go decision point for full deployment will be made based on the outcomes of the Pilot phases</t>
  </si>
  <si>
    <t>Risk that the business will not accept global deployment of Lync and Outlook unless a Pilot can "prove" successful live operation</t>
  </si>
  <si>
    <t>The SharePoint Content Management System (CMS) Vision &amp; Scope document is meant to obtain a common understanding of the vision of a global content management solution(s) (CMS), the types of content that need to be managed, the high-level capabilities that are needed, as well as the boundaries of the CMS. Specific features and business requirements for the content that needs to be managed by the CMS will be detailed in the Vision and Scope documents for specific solutions (e.g. Daily Tax Update, Communities, Research Tools, etc.) and mapped to the capabilities defined at the global level.</t>
  </si>
  <si>
    <t>Risk of potential rework and that the solution may not meet the needs of the individual solutions.</t>
  </si>
  <si>
    <t xml:space="preserve">CRM integration with Outlook is not expected to be delivered in Phase 1. </t>
  </si>
  <si>
    <t>CRM integration has significant design implications, particularly for infrastructure, and design/planning to date has not assumed CRM integration. Requirement for CRM integration with Outlook in Phase 1 has been discussed but no formal Change Request has been raised to the program for its delivery.</t>
  </si>
  <si>
    <t>The current baseline plan for messaging assumes a 10 week planning phase with a start date of 03/10, with an output design sufficient to define a test environment after 2 weeks.</t>
  </si>
  <si>
    <t>In flight engagement teams would not be moved over to SP in process but will move after an engagement is finished</t>
  </si>
  <si>
    <t>Will require additional work and storage.  Could affect delivery dates and cost</t>
  </si>
  <si>
    <t>The current baseline plan for messaging assumes a 10 week planning phase with a start date of 03/10. The duration does not reflect the 30 week timeline in the draft SOW and is still required to be negotiated with Microsoft. If the timelines stay the same the baseline plan timeline is unachievable</t>
  </si>
  <si>
    <t>If the timelines stay the same the baseline plan timeline is unachievable. The end date of the timeline will extend a day for every additional day that either the start is delayed or is injected into the duration of the planning phase</t>
  </si>
  <si>
    <t>Paul Neave</t>
  </si>
  <si>
    <t>A78A</t>
  </si>
  <si>
    <t>A78B</t>
  </si>
  <si>
    <t>A79A</t>
  </si>
  <si>
    <t>A79B</t>
  </si>
  <si>
    <t>Existing ARC data will not be moved into SP but will remain in the current .NET application</t>
  </si>
  <si>
    <t>Blackberry and iphone users by server will be part of the input to selecting migration waves</t>
  </si>
  <si>
    <t>Existing SP sites that were built on 2007 will not be converted into SharePoint (Fusion)</t>
  </si>
  <si>
    <t>Data in files shares across EY will not be moved into SharePoint (Fusion) in an automated fashion</t>
  </si>
  <si>
    <t>A83A</t>
  </si>
  <si>
    <t>A83B</t>
  </si>
  <si>
    <t>Approximate sizes of the Content management solutions is 10T and approximate size of  the engagement data is approximately 80TB</t>
  </si>
  <si>
    <t>M&amp;C must have migrated users onto Microsoft Outlook at least 4-6 weeks before GCL5 can roll out to those users</t>
  </si>
  <si>
    <t>If this assumption is not proved there may be a need to revise the planned deployment approach and to remove the outbound dependency from M&amp;C UC to GCL5</t>
  </si>
  <si>
    <t>None</t>
  </si>
  <si>
    <t>Operations</t>
  </si>
  <si>
    <t>Rob Dekker</t>
  </si>
  <si>
    <t>Until told otherwise as a result of ongoing MS-BPOS negotiations and RFP efforts, M&amp;C teams are working under the assumption that we are going with an on-prem solution that is managed by EY. Continue as such until a CR is formally  raised.</t>
  </si>
  <si>
    <t>Significant changes in program (scope, organization, planning), design and transition.</t>
  </si>
  <si>
    <t>M&amp;C Program management</t>
  </si>
  <si>
    <t>On-going until CR formally raised.</t>
  </si>
  <si>
    <t>Outlook packages can be deployed before hand and left inactive and be activated on desktops at the time of Migration</t>
  </si>
  <si>
    <t>Additional deployment step in sequence will be required and may add to the timeline.</t>
  </si>
  <si>
    <t>D10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</si>
  <si>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</si>
  <si>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</si>
  <si>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</si>
  <si>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</si>
  <si>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</si>
  <si>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</si>
  <si>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</si>
  <si>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</si>
  <si>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</si>
  <si>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</si>
  <si>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</si>
  <si>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</si>
  <si>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</si>
  <si>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</si>
  <si>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</si>
  <si>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</si>
  <si>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</si>
  <si>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</si>
  <si>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</si>
  <si>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</si>
  <si>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</si>
  <si>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</si>
  <si>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</si>
  <si>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</si>
  <si>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</si>
  <si>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</si>
  <si>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</si>
  <si>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</si>
  <si>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</si>
  <si>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</si>
  <si>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</si>
  <si>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</si>
  <si>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</si>
  <si>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</si>
  <si>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</si>
  <si>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</si>
  <si>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</si>
  <si>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</si>
  <si>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</si>
  <si>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</si>
  <si>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</si>
  <si>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</si>
  <si>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</si>
  <si>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</si>
  <si>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</si>
  <si>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</si>
  <si>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</si>
  <si>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</si>
  <si>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</si>
  <si>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</si>
  <si>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</si>
  <si>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</si>
  <si>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</si>
  <si>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</si>
  <si>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</si>
  <si>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</si>
  <si>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</si>
  <si>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</si>
  <si>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</si>
  <si>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</si>
  <si>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</si>
  <si>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</si>
  <si>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</si>
  <si>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</si>
  <si>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</si>
  <si>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</si>
  <si>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</si>
  <si>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</si>
  <si>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</si>
  <si>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</si>
  <si>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</si>
  <si>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</si>
  <si>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</si>
  <si>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</si>
  <si>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D175</t>
  </si>
  <si>
    <t>D176</t>
  </si>
  <si>
    <t>D177</t>
  </si>
  <si>
    <t>Source UK based project managers for the resourcing needs of the UC &amp; Tech Foundation work streams.</t>
  </si>
  <si>
    <t>Michelle Edmonds, Adrian Mickleson</t>
  </si>
  <si>
    <t>Each workstream will have its own project plan with a roll-up of milestones and dependencies to the program level / plan</t>
  </si>
  <si>
    <t xml:space="preserve">Guy Morgan </t>
  </si>
  <si>
    <t>Requirement Sessions will stop on the 20 December and will resume after the new year</t>
  </si>
  <si>
    <t>SharePoint team</t>
  </si>
  <si>
    <t>Iteration 3 requirements will end on December 16th to support the 3 day Thanksgiving holiday in the US</t>
  </si>
  <si>
    <t>In order to provide the Design Authority completed analysis with the appropriate level of detail, the SharePoint team will do work on items open with the Design Authority and will document the options for the DA.  The work will be appropriately modified to reflect any items from the DA.</t>
  </si>
  <si>
    <t xml:space="preserve">Iteration 4 requirements will end on January 16th to support the lost time over the holidays </t>
  </si>
  <si>
    <t>Open questions about requirements will be logged in TFS and not in the documentation.   This way they can be tracked and disposed</t>
  </si>
  <si>
    <t>Participants in the November TF Meeting in Secaucus</t>
  </si>
  <si>
    <t>Tier A will consist of Firm assets, no external facing, no engagement data, Tier A specific archiving, no streaming meai
- Communities, People, Search, Metadata, and Content</t>
  </si>
  <si>
    <t>CRM integration is not required for Day 1 of Outlook</t>
  </si>
  <si>
    <t>11-Nov-11: Added by R Bouji following confirmation by A Mickleson on 7-Nov-11</t>
  </si>
  <si>
    <t>Client assets in the initial rollout will start in Tier B. Aspiration is to evolve base offering to handle Client Assets.</t>
  </si>
  <si>
    <t>D11</t>
  </si>
  <si>
    <t>There will be one Business Case for the entire program</t>
  </si>
  <si>
    <t>User Experience will be a Farm WSP.
 -Branding governance
 -Generic EY
 -Browser-based
 -All tiers</t>
  </si>
  <si>
    <t>Research Tools: content will be included in Tier A for Phase 1.</t>
  </si>
  <si>
    <t>Criteria for falling outside of Tier A:
 -Isolation (outside of site collection)
 -App-specific
 -Change management
 -Releases
 -Data size/scale
 -Access
 -Outside GDCs
 -Client assets
 -External piece (for both Firm and Client assets)
 -security requirement
 -Host name</t>
  </si>
  <si>
    <t>Summary of Engaging Clients Managing Accounts (ECMA) work stream:
 -Not a GAMx replacement
 -extranet experience (from infrastructure perspective)
 -EY account teams: high level visibility and control around engagements; clients have limited visibility.
 -Concerns around one infrastructure to include client access controls because risk of human error in selecting site collection.
 -Engaging clients does not fit in Tier A. (Some scenarios may fit, but when clients accessing content, looking at higher level tier.)</t>
  </si>
  <si>
    <t>Use Web Trends for Web Analytics</t>
  </si>
  <si>
    <t>D12</t>
  </si>
  <si>
    <t>Centrally managed services that are cross-farm capable will be based in Frankfurt (this is the position for the initial rollout) (In the future, we can look at exceptions, for example something consuming GHRDB data, which resides in Secaucus).</t>
  </si>
  <si>
    <t xml:space="preserve">EY’s view is that we want the CVs shared. Some countries have concern that if your CV is published, someone in another service line in another country will hook you- this needs to be resolved by business management. </t>
  </si>
  <si>
    <t>All farms will need to consume a single, global MMSA (Managed Metadata Service App). (Implication for regional/in-country deployments that they will consume this service) Ref: 11_11_07.1.21</t>
  </si>
  <si>
    <t>Would like Service Applications to fit into Tier A; the allowable service request is part of Tier A, along with SLAs. (11_11_07.1.25)
 -Excel services will probably be in one of base templates
   -Graphs and charts needed right away
   -Can include some uses in Tier A; some in another Tier.
 -Co-authoring piece/all Office services
 -the ability to take action from search results (preview)</t>
  </si>
  <si>
    <t>We will not use Power Pivot (service application) in the initial rollout; requires different version of SQL2008 R2 - which is not curently an EY standard</t>
  </si>
  <si>
    <t>We will not include file shares in migration (to SharePoint) of business content - consensus decision</t>
  </si>
  <si>
    <t>Tier A: We will plan for 50 TBs and may scale to 300 TBs in the next couple years. No archiving workload management.</t>
  </si>
  <si>
    <t>SharePoint will allow media as attachment, but will not support direct streaming. Fusion may extend this further</t>
  </si>
  <si>
    <t>We will not migrate ARC (Archive Records Center) to SharePoint</t>
  </si>
  <si>
    <t>D13</t>
  </si>
  <si>
    <t>CKRs (Community Knowledge Repository) will be migrated and searchable. This is  being cleaned up, retagged with new taxonomy, and then migrated into the Content management system. Fusion will be responsible for automation of this migration - this is outside Foundation scope.</t>
  </si>
  <si>
    <t>No conversion of in-flight/active engagements (e-Docs, GAMx, GRC, eRooms) (80 TBs). Idea is to let such engagements finish up in the tools they currently use. If any such items are identified for automatic migration, Fusion will develop apps/customizations to enable such a migration.</t>
  </si>
  <si>
    <t xml:space="preserve">The Cleveland Team (Michelle) will own reconciliation of actual hours versus budgeted hours for the entire Program (also take into consideration Time and Expenses vs. Fixed, etc) </t>
  </si>
  <si>
    <t>Tier A: We will build a Tier-A only specific archiving solution for //content and //communities only</t>
  </si>
  <si>
    <t>Tier A: Site Taxonomy web apps
 -My Sites (My Site)
 -Communities (Team Sites)
 -Content (doc center)
 -Archiving (record center)
 -Search (search portal)</t>
  </si>
  <si>
    <t>GETD (global Engagement Team Databases) will not be automatically converted/migrated. Fusion will be responsible for automation of this migration - this is outside Foundation scope.</t>
  </si>
  <si>
    <t>Tax agrees that archived data from eDocs does not need to move to SharePoint</t>
  </si>
  <si>
    <t>This project (Fusion/Foundation) will not be building the firm archiving tool</t>
  </si>
  <si>
    <t>This project is not delivering a Service Management Framework. This action is being addressed by the PMO team and is captured on the RAID list</t>
  </si>
  <si>
    <t>D14</t>
  </si>
  <si>
    <t>Sharepoint/FAST will not search Fileshares</t>
  </si>
  <si>
    <t>Mobile access is limited to out of the box capabilities of SharePoint. Foundation will not be designing the infrastructure to allow mobile devices to access SharePoint</t>
  </si>
  <si>
    <t>Monitoring of the existing resources will be an Operational task; they should understand rate of growth to tell us when we should plan for the addition of columns (capacity). Operations will also be responsible for monitoring PEAK queries for additional planning purposes.</t>
  </si>
  <si>
    <t xml:space="preserve">We will plan for 20 Queries Per Second (QPS) for 2013. Meaning we need 2 rows and 10 columns per active farm </t>
  </si>
  <si>
    <t>Change Request Log will be managed at the workstream level / Program level variances will be taken to the Steering Committee</t>
  </si>
  <si>
    <t>There will be one global enterprise search technology (FAST) that can be used by other Tiers. This includes in-country as part of this one search service.</t>
  </si>
  <si>
    <t>Indexing Latency SLA for GAAIT once hosted in SP 2010 CMS:(6 TB of content) ish 15 minute indexing latency</t>
  </si>
  <si>
    <t>FAST will only search Published content</t>
  </si>
  <si>
    <t xml:space="preserve">Plan for a 12-hour index latency SLA unless a lower SLA is otherwise identified for a particular application. </t>
  </si>
  <si>
    <t>Operations should monitor indexing time and content churn rate (to add servers if needed to meet SLAs).</t>
  </si>
  <si>
    <t>Page rendering time in SP and query response time (defined as when main search results appear) from end user perspective should appear to be about the same.</t>
  </si>
  <si>
    <t>FAST Web Analyzer will not be deployed</t>
  </si>
  <si>
    <t>If there is a requirement for a content source to be encrypted, given that this can be reconstituted based on the index, would need to either encrypt the index (which is not a FAST capability, but at hardware level), the firm would have to assume the risk, or exclude this from search.</t>
  </si>
  <si>
    <t>D15</t>
  </si>
  <si>
    <t xml:space="preserve">There is an assumption that for in-country ("SP in a box"), search technology will always  be FAST, regardless of scale, and governance will be the same around these in-country farms. The boundary is the site collection. Search center will either: display global results with in-country federated in through web part or the in-country piece could become the main results with the global search results federated in through web part. Global search is not indexing in-country content and in-country is not indexing global. </t>
  </si>
  <si>
    <t>Plan FAST for 10 Columns, 150 Million docs, 50 TB total indexable content, (implication doc size = 358K) for June 2012, day 1 of SPF Production. ( Ref: 11_11_10.1.03)</t>
  </si>
  <si>
    <t>PM Tool - entry will be at the M&amp;C program level</t>
  </si>
  <si>
    <t>My Site will not be the landing page for the initial rollout.</t>
  </si>
  <si>
    <t>AD is the primary source of User Profile data and GHRDB will supplement additional information. (Note that there is more information is coming from GHRDB, so this sync will take longer.)</t>
  </si>
  <si>
    <t>Do not automatically populate peers (people reporting to the same manager) as colleagues; colleague import will be turned off.</t>
  </si>
  <si>
    <t>Internally, there is 1 forest, 22 domains and EY does not plan to change this in the near future.</t>
  </si>
  <si>
    <t>msDS-SourceObjectDN will be used to join accounts for a single User Profile</t>
  </si>
  <si>
    <t>People will provide their own photos into User Profile. The photo will be pushed into AD (this is the only content that will be pushed into AD).</t>
  </si>
  <si>
    <t>EY will allow default behavior of SP for user to write wwwHomePage attribute in AD. Where attribute clashes exist, EY will take action to fix this (e.g., in-country provisioning).</t>
  </si>
  <si>
    <t>Content and data from the My Site will not be retained/ archived once the owner leaves the firm beyond a short period of time. In other words, People work stream will determine a de-provisioning approach for mySites (ref 11_11_11.1.20)</t>
  </si>
  <si>
    <t>There will not be infrastructure in Secaucus because of need to extract data from GHRDB (Ref 11_11_11.1.05)</t>
  </si>
  <si>
    <t>SQL Server 2008 R2 will be the standard database</t>
  </si>
  <si>
    <t>D16</t>
  </si>
  <si>
    <t>Phase 1 Delivery - Phase 1 delivery will consist of 4 Shared Services for the platform (Search, Taxonomy, Content Management, and People Profile) (1)</t>
  </si>
  <si>
    <t xml:space="preserve">GAAIT does not have to be encrypted. It is not encrypted today. </t>
  </si>
  <si>
    <t>Design to one-data center approach</t>
  </si>
  <si>
    <t>Design for expansion beyond one data center</t>
  </si>
  <si>
    <t>All of Tier A requires DR</t>
  </si>
  <si>
    <t>Validate that replication is done and can be done at the Storage (SAN) Level between GDC (Frankfurt/Telecity) and Eschborn - Yes</t>
  </si>
  <si>
    <t>Design In-Country SharePoint Infrastructure for a minimum baseline high-availability farm leveraging standard branch office configuration</t>
  </si>
  <si>
    <t>SPF design will not include an In-country DR solution</t>
  </si>
  <si>
    <t>Lower level environments (non-production) will not have DR</t>
  </si>
  <si>
    <t>D17</t>
  </si>
  <si>
    <t>Capacity at DR site will be less than a 100%. Eschborn Data Center may not have the capability to provide full redundancy.</t>
  </si>
  <si>
    <t>Search - FAST Search will only Search new SharePoint content (2)</t>
  </si>
  <si>
    <t>Requirements for Partnership are not part of this design and will fall in Tier C</t>
  </si>
  <si>
    <t>Partners may need their own infrastructure when they move to SharePoint (Tier C). Ref 11_11_16.1.02</t>
  </si>
  <si>
    <t>Initial SPF Design will be based on the current two AD forest scenario (ey.net and eydmz.net) with two separate identities</t>
  </si>
  <si>
    <t>Solution to regulatory in-country is “SharePoint in a box” that lives 80% of time in the DMZ. Ref 11_11_16.1.04</t>
  </si>
  <si>
    <t>All attributes needed by SharePoint will be available and managed in the Global AD Catalog</t>
  </si>
  <si>
    <t>SPF design will not leverage RBS (Remote Blob Storage)</t>
  </si>
  <si>
    <t>Approval to send out the Social Features RFP</t>
  </si>
  <si>
    <t>Bob Wasserman, Sharon Rahav, Scott Machovina, Michelle Edmonds</t>
  </si>
  <si>
    <t>The translation RFP will be modified to do an art of the possible session with the vendors in order to help the business users understand the features and functions available in tools</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</si>
  <si>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</si>
  <si>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</si>
  <si>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</si>
  <si>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</si>
  <si>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</si>
  <si>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</si>
  <si>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</si>
  <si>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</si>
  <si>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</si>
  <si>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</si>
  <si>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</si>
  <si>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</si>
  <si>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</si>
  <si>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</si>
  <si>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</si>
  <si>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</si>
  <si>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</si>
  <si>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</si>
  <si>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</si>
  <si>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</si>
  <si>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</si>
  <si>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</si>
  <si>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</si>
  <si>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</si>
  <si>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</si>
  <si>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</si>
  <si>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</si>
  <si>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</si>
  <si>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</si>
  <si>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</si>
  <si>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</si>
  <si>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</si>
  <si>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</si>
  <si>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</si>
  <si>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</si>
  <si>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</si>
  <si>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</si>
  <si>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</si>
  <si>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</si>
  <si>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</si>
  <si>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</si>
  <si>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</si>
  <si>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</si>
  <si>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</si>
  <si>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</si>
  <si>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</si>
  <si>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</si>
  <si>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</si>
  <si>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</si>
  <si>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</si>
  <si>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</si>
  <si>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</si>
  <si>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</si>
  <si>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</si>
  <si>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</si>
  <si>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</si>
  <si>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</si>
  <si>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D76</t>
  </si>
  <si>
    <t>D77</t>
  </si>
  <si>
    <t>D78</t>
  </si>
  <si>
    <t>D79</t>
  </si>
  <si>
    <t>D80</t>
  </si>
  <si>
    <t>D81</t>
  </si>
  <si>
    <t>D82</t>
  </si>
  <si>
    <t>D83</t>
  </si>
  <si>
    <t>D84</t>
  </si>
  <si>
    <t>Conversion - No existing SP sites will be connected to the environment they will need to be converted to the new environment (3)</t>
  </si>
  <si>
    <t>Taxonomy - Only new applications will be required to use the new taxonomy (4)</t>
  </si>
  <si>
    <t>Chris D'Arcy</t>
  </si>
  <si>
    <t>The reports will not be customized from MS reporting services</t>
  </si>
  <si>
    <t>Search - Search internally will federate with the Autonomy search (5)</t>
  </si>
  <si>
    <t xml:space="preserve">Conversion - People will convert data from Lotus Connections only (6) -- may be partially automated or manual </t>
  </si>
  <si>
    <t>3rd Party Products - 3rd party products needed for Phase 1 will be identified in the first 3 iterations (8)</t>
  </si>
  <si>
    <t>Phase 1 Delivery - There will not be delivery in Phase 1 for Managing Clients and Engaging Accounts (9)</t>
  </si>
  <si>
    <t>Phase 1 Delivery - Historical data will not need to be converted to SharePoint (10)</t>
  </si>
  <si>
    <t>Conversion - DTU, people, community and credentials data are all that is needed for Phase 1 data migration (15)</t>
  </si>
  <si>
    <t>Taxonomy - Only new SP solutions will use the new taxonomy (19)</t>
  </si>
  <si>
    <t xml:space="preserve">Taxonomy - The two taxonomy solutions will be kept in synch, where appropriate, manually (20) </t>
  </si>
  <si>
    <t>Taxonomy - The business will update the tagging of the content as needed (21)</t>
  </si>
  <si>
    <t xml:space="preserve">Process - The team is using the standard ITS Iterative SDA for the delivery of the project - as explained at the training in July (28) </t>
  </si>
  <si>
    <t>Team</t>
  </si>
  <si>
    <t>The languages to be used as part of the MS POC will be French and a double byte language</t>
  </si>
  <si>
    <t>Phase 1 Delivery - The team will coalesce into one content management solution (31)</t>
  </si>
  <si>
    <t>UAT - The business will create it's own test cases for UAT (32)</t>
  </si>
  <si>
    <t>UAT - The business will administer the UAT and create their own data (33)</t>
  </si>
  <si>
    <t>Conversion - The eRooms, etds, and Quickr conversions will begin post go live of the new environment (43)</t>
  </si>
  <si>
    <t>Phase 1 Delivery - Each new team space will go through the formal provisioning process (44)</t>
  </si>
  <si>
    <t>Process - BA will not re-document the functionaltiy that is OOB with SP (47)</t>
  </si>
  <si>
    <t>Infrastructure - Ordering of hardware will occur before the design is complete; some infrastructure will be able to be purchased prior to the final production architecture approval (57/65)</t>
  </si>
  <si>
    <t>Schedule - The iterations will be 3 weeks in length starting on Tuesday and ending on Monday (62)</t>
  </si>
  <si>
    <t>D4</t>
  </si>
  <si>
    <t>Schedule - All workstreams will remain on the same iterative schedule (63)</t>
  </si>
  <si>
    <t>Participants in September 2011 Functional Stakeholders meeting Washington DC</t>
  </si>
  <si>
    <t xml:space="preserve">The current vision meets the needs and does not need to be modified. </t>
  </si>
  <si>
    <t>The MS POC will only focus on items that need to be proved before a decision can be made.  This is not a prototype but only a POC</t>
  </si>
  <si>
    <t xml:space="preserve">Convergence of EYD is now part of Phase 2 (SharePoint). </t>
  </si>
  <si>
    <t xml:space="preserve">Policies now removed from Phase 1 (SharePoint). </t>
  </si>
  <si>
    <t xml:space="preserve">The requirement approval approach presented was agreed to (business core team to make decision and approve requirements). </t>
  </si>
  <si>
    <t>Fusion will be renamed to SharePoint.</t>
  </si>
  <si>
    <t>Generic Knowledge renamed to User Experience.</t>
  </si>
  <si>
    <t>Agree to including Internal Team Sites (Communities of Interest and Practice) in Phase 1 (SharePoint).</t>
  </si>
  <si>
    <t xml:space="preserve">SP requirements sessions will start the week of Oct. 10th, as opposed to week of Oct. 3rd. </t>
  </si>
  <si>
    <t>D5</t>
  </si>
  <si>
    <t>no list of languages; Kerri confirmed 04/Oct that no final decision has been made here. Obsolete.</t>
  </si>
  <si>
    <t>Agreement that we will not use Super Users.</t>
  </si>
  <si>
    <t>04-Oct-11: R Bouji: A Mickleson confirmed agreement by FSG in Washington</t>
  </si>
  <si>
    <t>a) Unified Comms will migrate the past thirty (30) days of email from users' Lotus Notes to users' Microsoft Outlook accounts. The 30 days is calculated as the migration start date less 30 days. 
b) Unified Comms will migrate the folder structure from users' Lotus Notes accounts (all folders), but only the last 30 days of email within those folders.
c) Unified Comms will migrate all future calendar entries and the past thirty (30) days of calendar entries from users' Lotus Notes to users' Microsoft Outlook accounts. The 30 days is calculated as the migration start date less 30 days 
d) Unified Comms will migrate all synchronised contacts stored in local Contacts files from users' Lotus Notes to users' Microsoft Outlook accounts</t>
  </si>
  <si>
    <t>04-Oct-11: R Bouji: A Mickleson confirmed this decision was made by FSG in Washington
28-Oct-11: R Bouji: N Wood &amp; B van Gelder confirmed this requires further discussion and there is no documented decision on this. This functionality was one of the options discussed. A Mickleson &amp; N Wood to clarify and provide update to Program team at next RAID meeting.</t>
  </si>
  <si>
    <t>Each individual's Sametime groups will not be moved as part of the Lync go live. There will be an xml applet/widget that users can choose to run once Lync is activated that will migrate their Sametime groups across to Lync</t>
  </si>
  <si>
    <t>Once all users have had Lync activated on their desktops and are "live", Sametime will be globally disabled</t>
  </si>
  <si>
    <t>Business</t>
  </si>
  <si>
    <t>DEC_001 Final decision on In-Country Locations and corresponding DR sites</t>
  </si>
  <si>
    <t>DEC_002 Agreement to Retention policy (defaults: 14 days trash, 30 days dumpster)</t>
  </si>
  <si>
    <t>DEC_004 Business Tolerance to data loss (in case of compete corruption of all mbx copies)</t>
  </si>
  <si>
    <t>DEC_003 Confirmation of decision that there will be no backup requirement for mail on exchange</t>
  </si>
  <si>
    <t>Design Authority
Programme Authority</t>
  </si>
  <si>
    <t>D6</t>
  </si>
  <si>
    <t>The team will not be showing the customization screen and process to the executives as part of the EK POC</t>
  </si>
  <si>
    <t>DEC_011 External vendor RFP</t>
  </si>
  <si>
    <t>DEC_005 Groups; what is required to be migrated, none, identified, all?</t>
  </si>
  <si>
    <t>DEC_006 Legal Hold; what is required in respect of voicemail?</t>
  </si>
  <si>
    <t>Security</t>
  </si>
  <si>
    <t>DEC_008 Validation of Exchange data classification; still mixed?</t>
  </si>
  <si>
    <t>DEC_009 Confirmation of Archive requirements</t>
  </si>
  <si>
    <t>Guy / Adrian</t>
  </si>
  <si>
    <t>Confirm MS the authority to proceed with change Request for Lync workstream to optimise dates and reduce PoC to an ITSec lab test (currently being built)</t>
  </si>
  <si>
    <t>Approval of CR001 &amp; CR002 for SharePoint Foundation</t>
  </si>
  <si>
    <t>Neil Forrester
Klara Neginsky
Nick Wood</t>
  </si>
  <si>
    <t>DEC_012 Confirm shared permissions decision for exchange</t>
  </si>
  <si>
    <t>Ken Hammond</t>
  </si>
  <si>
    <t>Need a workstream leader for communities</t>
  </si>
  <si>
    <t>D7</t>
  </si>
  <si>
    <t>Need decision on who should participate in the User Experience workstream</t>
  </si>
  <si>
    <t xml:space="preserve">Need resolution of individuals assigned to more than one workstream.   </t>
  </si>
  <si>
    <t>each of the Service Line / CBS Functional Stakeholders</t>
  </si>
  <si>
    <t>Who is the person accountable (by Service Line / CBS function) for determining the future state of each of the applications they own</t>
  </si>
  <si>
    <t>Closed.  FSG provide final sign off after agreement at the working group level. (prev DP22)</t>
  </si>
  <si>
    <t>(prev DP23)</t>
  </si>
  <si>
    <t>Need the names of those business individuals that should participate in the frog Kickoff Session in late November</t>
  </si>
  <si>
    <t>D8</t>
  </si>
  <si>
    <t>D9</t>
  </si>
  <si>
    <t>FSG</t>
  </si>
  <si>
    <t>Need to determine how the business wishes UAT to be conducted - whether the business will create use cases and commit business resources to the execution of UAT, or whether the business will "in-source" UAT to the QA team and allow the program to execute UAT on behalf of users, but having signed off the use cases/test scripts etc</t>
  </si>
  <si>
    <t>D86</t>
  </si>
  <si>
    <t>D87</t>
  </si>
  <si>
    <t>D88</t>
  </si>
  <si>
    <t>D89</t>
  </si>
  <si>
    <t>D90</t>
  </si>
  <si>
    <t>D91</t>
  </si>
  <si>
    <t>D92</t>
  </si>
  <si>
    <t>D93</t>
  </si>
  <si>
    <t>D94</t>
  </si>
  <si>
    <t>D95</t>
  </si>
  <si>
    <t>D96</t>
  </si>
  <si>
    <t>D97</t>
  </si>
  <si>
    <t>D98</t>
  </si>
  <si>
    <t>D99</t>
  </si>
  <si>
    <t>D100</t>
  </si>
  <si>
    <t>D178</t>
  </si>
  <si>
    <t>D179</t>
  </si>
  <si>
    <t>D180</t>
  </si>
  <si>
    <t>D181</t>
  </si>
  <si>
    <t>D182</t>
  </si>
  <si>
    <t>D183</t>
  </si>
  <si>
    <t>D185</t>
  </si>
  <si>
    <t>D186</t>
  </si>
  <si>
    <t>D187</t>
  </si>
  <si>
    <t>D188</t>
  </si>
  <si>
    <t>D189</t>
  </si>
  <si>
    <t xml:space="preserve">23/11 - Brigitte Ireland is now officially the M&amp;C Learning Lead. This issue can now be closed.
23/11 - SOW for 5 days for Gabrielle to come back being signed. 
09/11 - Jackie suggested since they have approval, reduce priority to Medium.
08/11 - A candidate within EY has been identified and discussions have taken place. Awaiting formal confirmation. Sophie has requested 5 extra days of Gabrielle's time for handover. SoW in process of being raised.
02/11 - No confirmation for learning lead.This will affect CM deliverables around learning, not go live of program. This to be resolved, asap, due next week.
26/10 - Still looking for Gabrielle's replacement. Sophie is working with a few people to see if they can extend Gabrielle until they find someone new.
25/10 - Sophie is talking to people including Knowledge and Learning. Reached every corner of the organisation. No one in place as of today's date. Sophie to discuss with Alan Guthrie re Gabrielle's time for transition TBD.
19/10 - Looking for M&amp;C Learning Lead to replace Gabrielle (contract ends 31 Oct). </t>
  </si>
  <si>
    <t>Issue I49</t>
  </si>
  <si>
    <t xml:space="preserve">02/11 - have confirmation that this can be closed (per Jackie). 
24/10 Immediate Resource plan agreed now seeking to resource
19/10 - Opened in Program RAID. Set review date out two weeks.
</t>
  </si>
  <si>
    <t>29/11 - Now have clarity that we will be making a step change
08/11 - Will be confirmed with validation of the SAS story for M&amp;C. Will be able to descibe the step change and behavioural change.
01/11 - benefits case will identify if step changed required. Story to John Murphy and senior team will help identify what step change they are looking for (if any)
19/10 - Opened in Program RAID. Review next week when Jeremy is present on call.</t>
  </si>
  <si>
    <t xml:space="preserve">3/11 - Closed as now an issue
02/11 - Jackie will update; this is same as some others.
</t>
  </si>
  <si>
    <t>Lack of a new vision and inability to change.</t>
  </si>
  <si>
    <t xml:space="preserve">02. Impact &gt; 4 Weeks &lt; 3 Months </t>
  </si>
  <si>
    <t>Assurance choosing Ovitas</t>
  </si>
  <si>
    <t>Executive Project Sponsor</t>
  </si>
  <si>
    <t>If the People Refresh Strategy significantly changes decisions on the People workstream.</t>
  </si>
  <si>
    <t>The RFP time takes longer than initial plan.</t>
  </si>
  <si>
    <t>01. Impact &lt; 4 weeks</t>
  </si>
  <si>
    <t>RFP decision.</t>
  </si>
  <si>
    <t>The go live of SharePoint</t>
  </si>
  <si>
    <t>Mike Laci</t>
  </si>
  <si>
    <t>03. Impact &gt; 3 Months</t>
  </si>
  <si>
    <t>Go Live</t>
  </si>
  <si>
    <t>Current team will do fixes after Go Live</t>
  </si>
  <si>
    <t>EY decision to deviate from Microsoft recommendation.</t>
  </si>
  <si>
    <t>Functionality does not meet end user need</t>
  </si>
  <si>
    <t>Defined in methodology</t>
  </si>
  <si>
    <t>Build deployment is dependent upon appropriate SharePoint services and permissions to be turned on in the Iteration 1 development environments.
Unable to deploy build to other environments for integration and functional testing.</t>
  </si>
  <si>
    <t>input: A19</t>
  </si>
  <si>
    <t xml:space="preserve">19-Dec: LM working with Bob to turn this into a risk.
03-Jan: Added to risk log, R86. </t>
  </si>
  <si>
    <t>75% towards resolution</t>
  </si>
  <si>
    <t>50% towards resolution</t>
  </si>
  <si>
    <t>Output to Risk/Issue</t>
  </si>
  <si>
    <r>
      <t>1.   Enter a unique</t>
    </r>
    <r>
      <rPr>
        <b/>
        <sz val="10"/>
        <rFont val="EYInterstate"/>
      </rPr>
      <t xml:space="preserve"> #</t>
    </r>
    <r>
      <rPr>
        <sz val="10"/>
        <rFont val="EYInterstate"/>
      </rPr>
      <t xml:space="preserve"> for the assumption; this number serves as the item reference number. Proceed in numerical order such that first assumption added to the log has </t>
    </r>
    <r>
      <rPr>
        <b/>
        <sz val="10"/>
        <rFont val="EYInterstate"/>
      </rPr>
      <t>#</t>
    </r>
    <r>
      <rPr>
        <sz val="10"/>
        <rFont val="EYInterstate"/>
      </rPr>
      <t xml:space="preserve"> A1, the second A2, etc. 
2.  Enter the name of the person who raised the Assumption to the log in the</t>
    </r>
    <r>
      <rPr>
        <b/>
        <sz val="10"/>
        <rFont val="EYInterstate"/>
      </rPr>
      <t xml:space="preserve"> Identified by</t>
    </r>
    <r>
      <rPr>
        <sz val="10"/>
        <rFont val="EYInterstate"/>
      </rPr>
      <t xml:space="preserve"> column.
3.   Select the </t>
    </r>
    <r>
      <rPr>
        <b/>
        <sz val="10"/>
        <rFont val="EYInterstate"/>
      </rPr>
      <t>Workstream/Project/Program</t>
    </r>
    <r>
      <rPr>
        <sz val="10"/>
        <rFont val="EYInterstate"/>
      </rPr>
      <t xml:space="preserve"> which owns the assumption. It can be </t>
    </r>
    <r>
      <rPr>
        <i/>
        <sz val="10"/>
        <rFont val="EYInterstate"/>
      </rPr>
      <t xml:space="preserve">App &amp; Data Migration, Change Management,  M&amp;C Program, SharePoint, Technology Foundation </t>
    </r>
    <r>
      <rPr>
        <sz val="10"/>
        <rFont val="EYInterstate"/>
      </rPr>
      <t xml:space="preserve">or </t>
    </r>
    <r>
      <rPr>
        <i/>
        <sz val="10"/>
        <rFont val="EYInterstate"/>
      </rPr>
      <t xml:space="preserve">Unified Communications. </t>
    </r>
    <r>
      <rPr>
        <sz val="10"/>
        <rFont val="EYInterstate"/>
      </rPr>
      <t xml:space="preserve">
4.   Enter an </t>
    </r>
    <r>
      <rPr>
        <b/>
        <sz val="10"/>
        <rFont val="EYInterstate"/>
      </rPr>
      <t>Assumption</t>
    </r>
    <r>
      <rPr>
        <sz val="10"/>
        <rFont val="EYInterstate"/>
      </rPr>
      <t>,</t>
    </r>
    <r>
      <rPr>
        <b/>
        <sz val="10"/>
        <rFont val="EYInterstate"/>
      </rPr>
      <t xml:space="preserve"> </t>
    </r>
    <r>
      <rPr>
        <sz val="10"/>
        <rFont val="EYInterstate"/>
      </rPr>
      <t xml:space="preserve">with a </t>
    </r>
    <r>
      <rPr>
        <b/>
        <sz val="10"/>
        <rFont val="EYInterstate"/>
      </rPr>
      <t>brief description</t>
    </r>
    <r>
      <rPr>
        <sz val="10"/>
        <rFont val="EYInterstate"/>
      </rPr>
      <t>.
5.   Enter the</t>
    </r>
    <r>
      <rPr>
        <b/>
        <sz val="10"/>
        <rFont val="EYInterstate"/>
      </rPr>
      <t xml:space="preserve"> Potential impact if assumption proves to be false</t>
    </r>
    <r>
      <rPr>
        <sz val="10"/>
        <rFont val="EYInterstate"/>
      </rPr>
      <t xml:space="preserve">.
6.   Enter the </t>
    </r>
    <r>
      <rPr>
        <b/>
        <sz val="10"/>
        <rFont val="EYInterstate"/>
      </rPr>
      <t>Forum/Individual</t>
    </r>
    <r>
      <rPr>
        <sz val="10"/>
        <rFont val="EYInterstate"/>
      </rPr>
      <t xml:space="preserve"> that will be responsible for validating the assumption.</t>
    </r>
    <r>
      <rPr>
        <b/>
        <sz val="10"/>
        <color rgb="FFFF0000"/>
        <rFont val="EYInterstate"/>
      </rPr>
      <t xml:space="preserve"> </t>
    </r>
    <r>
      <rPr>
        <b/>
        <sz val="10"/>
        <rFont val="EYInterstate"/>
      </rPr>
      <t xml:space="preserve">
7</t>
    </r>
    <r>
      <rPr>
        <sz val="10"/>
        <rFont val="EYInterstate"/>
      </rPr>
      <t xml:space="preserve">.   Enter details of the person who validated the assumption in the </t>
    </r>
    <r>
      <rPr>
        <b/>
        <sz val="10"/>
        <rFont val="EYInterstate"/>
      </rPr>
      <t>Validated by</t>
    </r>
    <r>
      <rPr>
        <sz val="10"/>
        <rFont val="EYInterstate"/>
      </rPr>
      <t xml:space="preserve"> column.
8.   Enter the date the assumption was last reviewed on in the </t>
    </r>
    <r>
      <rPr>
        <b/>
        <sz val="10"/>
        <rFont val="EYInterstate"/>
      </rPr>
      <t>Last review date</t>
    </r>
    <r>
      <rPr>
        <sz val="10"/>
        <rFont val="EYInterstate"/>
      </rPr>
      <t xml:space="preserve"> column.
9.   Enter the date for the next review of the assumption in the </t>
    </r>
    <r>
      <rPr>
        <b/>
        <sz val="10"/>
        <rFont val="EYInterstate"/>
      </rPr>
      <t>Next review date</t>
    </r>
    <r>
      <rPr>
        <sz val="10"/>
        <rFont val="EYInterstate"/>
      </rPr>
      <t xml:space="preserve"> column.
10.   Enter the date by which the Assumption must be validated in the </t>
    </r>
    <r>
      <rPr>
        <b/>
        <sz val="10"/>
        <rFont val="EYInterstate"/>
      </rPr>
      <t>Due Date</t>
    </r>
    <r>
      <rPr>
        <b/>
        <sz val="10"/>
        <color rgb="FFFF0000"/>
        <rFont val="EYInterstate"/>
      </rPr>
      <t xml:space="preserve"> </t>
    </r>
    <r>
      <rPr>
        <sz val="10"/>
        <rFont val="EYInterstate"/>
      </rPr>
      <t xml:space="preserve">column.
11.   Select the </t>
    </r>
    <r>
      <rPr>
        <b/>
        <sz val="10"/>
        <rFont val="EYInterstate"/>
      </rPr>
      <t>Status</t>
    </r>
    <r>
      <rPr>
        <sz val="10"/>
        <rFont val="EYInterstate"/>
      </rPr>
      <t xml:space="preserve"> of the item. It can be</t>
    </r>
    <r>
      <rPr>
        <i/>
        <sz val="10"/>
        <rFont val="EYInterstate"/>
      </rPr>
      <t xml:space="preserve"> Validated, Not yet validated, Output to Risk/Issue </t>
    </r>
    <r>
      <rPr>
        <sz val="10"/>
        <rFont val="EYInterstate"/>
      </rPr>
      <t xml:space="preserve">or </t>
    </r>
    <r>
      <rPr>
        <i/>
        <sz val="10"/>
        <rFont val="EYInterstate"/>
      </rPr>
      <t>Obsolete</t>
    </r>
    <r>
      <rPr>
        <sz val="10"/>
        <rFont val="EYInterstate"/>
      </rPr>
      <t xml:space="preserve">.
12.  Enter the Risk or Issue # as the </t>
    </r>
    <r>
      <rPr>
        <b/>
        <sz val="10"/>
        <rFont val="EYInterstate"/>
      </rPr>
      <t>Output Reference #</t>
    </r>
    <r>
      <rPr>
        <sz val="10"/>
        <rFont val="EYInterstate"/>
      </rPr>
      <t xml:space="preserve"> if the Assumption has become one of these.
13.   Enter any</t>
    </r>
    <r>
      <rPr>
        <b/>
        <sz val="10"/>
        <rFont val="EYInterstate"/>
      </rPr>
      <t xml:space="preserve"> Comments</t>
    </r>
    <r>
      <rPr>
        <sz val="10"/>
        <rFont val="EYInterstate"/>
      </rPr>
      <t xml:space="preserve"> you may have on the assumption.</t>
    </r>
  </si>
  <si>
    <t>Output Reference #</t>
  </si>
  <si>
    <t>Past Due</t>
  </si>
  <si>
    <t>04-Jan: Jackie reqd we review this next week.
19/10 - Jackie had added this, but it is to be removed since it is being managed from a project RAID level.</t>
  </si>
  <si>
    <t>Open</t>
  </si>
  <si>
    <t>Michelle to talk to Norm and Adrian about status of Risk 48. Either close the issue or turn it into an issue as appropriate by next meeting.</t>
  </si>
  <si>
    <t>01.04.01</t>
  </si>
  <si>
    <t>The current UC approach to collecting User Requirments is on a different timeline to the TF Architecture &amp; Design phase for Lync &amp; Outlook which is currently preceeding it.
If additional requirements are driven out by the UC requirements work then they will not have influenced the TF design for Lync &amp; Outlook and could require Change to the designs incurring additional costs and delaying implementation</t>
  </si>
  <si>
    <t>04-Jan: Al said this is now an issue; close as a risk and open as issue. Next review mid-February. Issue 85.
14/12 - Flying Hemant to London in January to close gap.</t>
  </si>
  <si>
    <t>Became an issue 4-Jan.</t>
  </si>
  <si>
    <t>Laura to invite Rewa onto RAID call.</t>
  </si>
  <si>
    <t>Laura Murphy</t>
  </si>
  <si>
    <t>01.04.02</t>
  </si>
  <si>
    <t>01.04.03</t>
  </si>
  <si>
    <t xml:space="preserve">Steven Jelf to add a new risk to the log; it is an overall risk around dependencies. </t>
  </si>
  <si>
    <t>Steven Jelf</t>
  </si>
  <si>
    <t>04-Jan: Michelle said they looked at this item yesterday and determined in should be moved out to April; this will be a Low ongoing priority.
14/12 - Have elicited new ideas and will be employing them in January. 
07/12 - Michelle said there is a conversation scheduled for later today that will help with this. Review next week.
06/12 - Updated to reflect open items.
30/11 - Per Al, changed ownership from Bob Reiner (not an attendee of this call) to Sophie/Jackie.
22/11 - Issue opened. Assigned to address issue in I4 requirements.</t>
  </si>
  <si>
    <t>I69: Michelle to talk with Brett, Klara and Adrian about an update; update the item accordingly.</t>
  </si>
  <si>
    <t>01.04.04</t>
  </si>
  <si>
    <t>I62: Michelle said on the call that there is a risk they have opened that is a part of this issue. She took the action to close out that risk and combine it into this issue.</t>
  </si>
  <si>
    <t>01.04.05</t>
  </si>
  <si>
    <t>04-Jan: The team on the call confirmed that this issue can be closed. It is no longer an issue, on John's work plan.
03/1 - John Spinella from Microsoft is working the issue, to provide update January 4th.
20/12/11 - Remedy tx raised to enable permissions, awaiting confirmation that permissions have been granted, John Spinella waiting on permissions to make changes to enable testing.
06/12 - Issue opened. Currently assessing. Dan Mulligan has been assigned.</t>
  </si>
  <si>
    <t>John handling; no longer an issue.</t>
  </si>
  <si>
    <t>I40: Jackie to update; mentioned on call that this is linked with I49. Combine?</t>
  </si>
  <si>
    <t>01.04.06</t>
  </si>
  <si>
    <t>04-Jan: Assigned Adrian, per call, with review date 18-Jan. This will have to be changed completely due to impact from change - BPOS.</t>
  </si>
  <si>
    <t>04-Jan: Michelle said this is no longer true; she will update this item accordingly (including impact in comments and output reference if changed to issue or risk).
07-Oct-2011: BvG: There is also ad hoc integration via api frpom CHSs and other sites by using bizcard, etc.</t>
  </si>
  <si>
    <t>04-Jan RAID call attendees</t>
  </si>
  <si>
    <t>04-Jan: Adrian and Michelle to follow-up on this one.</t>
  </si>
  <si>
    <t>04-Jan: Michelle said she will turn this into an issue. Laura assigned Issue #86</t>
  </si>
  <si>
    <t>01.04.07</t>
  </si>
  <si>
    <t>04-Jan: Michelle said this is now an issue; open as Issue 87.</t>
  </si>
  <si>
    <t>Infrastructure - SP technology foundation Goverance work will occur in the technology foundation workstream (22)
Increases the scope of other workstreams</t>
  </si>
  <si>
    <t>04-Jan: Reviewed Assumption #37; Michelle said it is an issue. Opened action for Michelle to populate this item.</t>
  </si>
  <si>
    <t>Michelle to populate column data for Issue 86, which came from Assumption 33 as discussed on the call. Update syntax of description and include/update remaining information. (Also, Issue 87, from Assumption 37)</t>
  </si>
  <si>
    <t xml:space="preserve">4-Jan: this has changed and will have an impact. Michelle to update accordingly.
19-Dec: Norm said replanning will occur, around FROG's schedule. </t>
  </si>
  <si>
    <t>04-Jan: Michelle said Andy W. will be handling governance issues; she is meeting with him tomorrow. Review next week.</t>
  </si>
  <si>
    <t xml:space="preserve">4-Jan: Al and Adrian said that this should be marked obsolete; the length of time varies by location. Plans already took this into consideration and will continue to do so. </t>
  </si>
  <si>
    <t>4-Jan: Al and Adrian stated that this is incorrect for SP and Lync, correct for Exchange. This should be marked obsolete; refer to DCC program schedule.</t>
  </si>
  <si>
    <t>4-Jan: Al and Adrian said this is obsolete; varies by country. DCC program has taken this into account. Refer to DCC Program Schedule.</t>
  </si>
  <si>
    <t>4-Jan: Al and Adrian said this is obsolete; Refer to DCC Program Schedule.</t>
  </si>
  <si>
    <t>04-Jan: Al and Adrian said that this is null and void - mark obsolete. We are past this point; no longer matters. 
05-Oct-11: Added by P Neave</t>
  </si>
  <si>
    <t>04-Jan: Already moved beyond this; mark obsolete. New SOWs since this was added.
05-Oct-11: Added by P Neave</t>
  </si>
  <si>
    <t>The email converison process can convert 15K boxes per week.</t>
  </si>
  <si>
    <t>04-Jan: Adrian and Al said to mark this item obsolete; this is the same as A6. 
04-Oct-11: Added by R Bouji</t>
  </si>
  <si>
    <t>04-Jan: Adrian and Al said this is not valid, obsolete. No impact to program.</t>
  </si>
  <si>
    <t>Issue Priority Definitions:</t>
  </si>
  <si>
    <t>The issue will cause the program/project to encounter major cost/schedule increases. Minimum acceptable requirements will be met. Secondary requirements may not be met.</t>
  </si>
  <si>
    <t>The issue will cause the program/project to fail. Minimum acceptable requirements will not be met.</t>
  </si>
  <si>
    <t>The issue will cause the program/project to encounter moderate cost/schedule increases. Minimum acceptable requirements will be met; some secondary requirements may not be met.</t>
  </si>
  <si>
    <t>The issue will cause the program/project to encounter small cost/schedule increases. Minimum acceptable requirements will be met. Most secondary requirements will be met.</t>
  </si>
  <si>
    <t xml:space="preserve">The issue will have no effect on the program/project. All requirements will be met. </t>
  </si>
  <si>
    <t>03. Moderate</t>
  </si>
  <si>
    <t>02. Minor</t>
  </si>
  <si>
    <r>
      <t xml:space="preserve">1.    Enter the planned resolution option for the issue in the </t>
    </r>
    <r>
      <rPr>
        <b/>
        <sz val="10"/>
        <rFont val="EYInterstate"/>
      </rPr>
      <t>Planned Resolution</t>
    </r>
    <r>
      <rPr>
        <sz val="10"/>
        <rFont val="EYInterstate"/>
      </rPr>
      <t xml:space="preserve"> field. 
2.   Enter the </t>
    </r>
    <r>
      <rPr>
        <b/>
        <sz val="10"/>
        <rFont val="EYInterstate"/>
      </rPr>
      <t>Next review date</t>
    </r>
    <r>
      <rPr>
        <sz val="10"/>
        <rFont val="EYInterstate"/>
      </rPr>
      <t xml:space="preserve">. This is the date of the next meeting on which the item should be reviewed.
3.   Provide the </t>
    </r>
    <r>
      <rPr>
        <b/>
        <sz val="10"/>
        <rFont val="EYInterstate"/>
      </rPr>
      <t xml:space="preserve">Required Resolution Date </t>
    </r>
    <r>
      <rPr>
        <sz val="10"/>
        <rFont val="EYInterstate"/>
      </rPr>
      <t xml:space="preserve">for complete resolution of the issue. This is the due date.
4.   Enter the date and updates, changes and actions taken/planned in the </t>
    </r>
    <r>
      <rPr>
        <b/>
        <sz val="10"/>
        <rFont val="EYInterstate"/>
      </rPr>
      <t>Update Log</t>
    </r>
    <r>
      <rPr>
        <sz val="10"/>
        <rFont val="EYInterstate"/>
      </rPr>
      <t xml:space="preserve">. Be sure to include justification for any alterations made to the Required Resolution Date.
5.   Select the </t>
    </r>
    <r>
      <rPr>
        <b/>
        <sz val="10"/>
        <rFont val="EYInterstate"/>
      </rPr>
      <t xml:space="preserve">Escalation level </t>
    </r>
    <r>
      <rPr>
        <sz val="10"/>
        <rFont val="EYInterstate"/>
      </rPr>
      <t xml:space="preserve">from a dropdown list. It can be </t>
    </r>
    <r>
      <rPr>
        <i/>
        <sz val="10"/>
        <rFont val="EYInterstate"/>
      </rPr>
      <t>Project Manager, Program Manager, Program Director, Managing Sponsor, Executive Sponsor, or</t>
    </r>
    <r>
      <rPr>
        <sz val="10"/>
        <rFont val="EYInterstate"/>
      </rPr>
      <t xml:space="preserve"> </t>
    </r>
    <r>
      <rPr>
        <i/>
        <sz val="10"/>
        <rFont val="EYInterstate"/>
      </rPr>
      <t>Other</t>
    </r>
    <r>
      <rPr>
        <sz val="10"/>
        <rFont val="EYInterstate"/>
      </rPr>
      <t xml:space="preserve">.
6.   Enter the </t>
    </r>
    <r>
      <rPr>
        <b/>
        <sz val="10"/>
        <rFont val="EYInterstate"/>
      </rPr>
      <t>Actual resolution</t>
    </r>
    <r>
      <rPr>
        <sz val="10"/>
        <rFont val="EYInterstate"/>
      </rPr>
      <t xml:space="preserve"> details available for this issue. 
7.   Enter the </t>
    </r>
    <r>
      <rPr>
        <b/>
        <sz val="10"/>
        <rFont val="EYInterstate"/>
      </rPr>
      <t>Actual</t>
    </r>
    <r>
      <rPr>
        <sz val="10"/>
        <rFont val="EYInterstate"/>
      </rPr>
      <t xml:space="preserve"> </t>
    </r>
    <r>
      <rPr>
        <b/>
        <sz val="10"/>
        <rFont val="EYInterstate"/>
      </rPr>
      <t>Resolution date</t>
    </r>
    <r>
      <rPr>
        <sz val="10"/>
        <rFont val="EYInterstate"/>
      </rPr>
      <t xml:space="preserve"> for the issue. 
8.  If the output is a Change Request, please enter the </t>
    </r>
    <r>
      <rPr>
        <b/>
        <sz val="10"/>
        <rFont val="EYInterstate"/>
      </rPr>
      <t>Output Reference #</t>
    </r>
    <r>
      <rPr>
        <sz val="10"/>
        <rFont val="EYInterstate"/>
      </rPr>
      <t xml:space="preserve">. </t>
    </r>
  </si>
  <si>
    <r>
      <t>16. Select the impact factor this risk will have on the project</t>
    </r>
    <r>
      <rPr>
        <b/>
        <sz val="10"/>
        <rFont val="EYInterstate"/>
      </rPr>
      <t xml:space="preserve"> Schedule</t>
    </r>
    <r>
      <rPr>
        <sz val="10"/>
        <rFont val="EYInterstate"/>
      </rPr>
      <t xml:space="preserve"> from the dropdown list. It is the effect on the project's </t>
    </r>
    <r>
      <rPr>
        <b/>
        <sz val="10"/>
        <rFont val="EYInterstate"/>
      </rPr>
      <t>schedule</t>
    </r>
    <r>
      <rPr>
        <sz val="10"/>
        <rFont val="EYInterstate"/>
      </rPr>
      <t xml:space="preserve"> if the risk occurs. See Impact table in Ratings tab for further clarification.
17. Select the impact factor this risk will have on the project</t>
    </r>
    <r>
      <rPr>
        <b/>
        <sz val="10"/>
        <rFont val="EYInterstate"/>
      </rPr>
      <t xml:space="preserve"> Cost </t>
    </r>
    <r>
      <rPr>
        <sz val="10"/>
        <rFont val="EYInterstate"/>
      </rPr>
      <t xml:space="preserve">from the dropdown list. It is the effect on the project's </t>
    </r>
    <r>
      <rPr>
        <b/>
        <sz val="10"/>
        <rFont val="EYInterstate"/>
      </rPr>
      <t>cost</t>
    </r>
    <r>
      <rPr>
        <sz val="10"/>
        <rFont val="EYInterstate"/>
      </rPr>
      <t xml:space="preserve"> if the risk occurs. See Impact table in Ratings tab for further clarification.
18. Enter the</t>
    </r>
    <r>
      <rPr>
        <b/>
        <sz val="10"/>
        <rFont val="EYInterstate"/>
      </rPr>
      <t xml:space="preserve"> Trigger</t>
    </r>
    <r>
      <rPr>
        <sz val="10"/>
        <rFont val="EYInterstate"/>
      </rPr>
      <t xml:space="preserve"> description for the identified risk. It is the risk symptoms or warning signs that a potential risk might happen
19. Select the </t>
    </r>
    <r>
      <rPr>
        <b/>
        <sz val="10"/>
        <rFont val="EYInterstate"/>
      </rPr>
      <t>Risk response</t>
    </r>
    <r>
      <rPr>
        <sz val="10"/>
        <rFont val="EYInterstate"/>
      </rPr>
      <t xml:space="preserve">. It describes how the project team is going to respond to the risk event. Choose a value from the dropdown list. It can be: </t>
    </r>
    <r>
      <rPr>
        <i/>
        <sz val="10"/>
        <rFont val="EYInterstate"/>
      </rPr>
      <t>Undecided, Acceptance, Avoidance , Mitigation.</t>
    </r>
    <r>
      <rPr>
        <sz val="10"/>
        <rFont val="EYInterstate"/>
      </rPr>
      <t xml:space="preserve">
     a. </t>
    </r>
    <r>
      <rPr>
        <i/>
        <sz val="10"/>
        <rFont val="EYInterstate"/>
      </rPr>
      <t>Risk Acceptance</t>
    </r>
    <r>
      <rPr>
        <sz val="10"/>
        <rFont val="EYInterstate"/>
      </rPr>
      <t xml:space="preserve"> - A risk response planning technique that indicates that the project team has decided not to change the PMP to deal with a risk or is unable to identify any other suitable response strategy. 
     b. </t>
    </r>
    <r>
      <rPr>
        <i/>
        <sz val="10"/>
        <rFont val="EYInterstate"/>
      </rPr>
      <t>Risk Avoidance</t>
    </r>
    <r>
      <rPr>
        <sz val="10"/>
        <rFont val="EYInterstate"/>
      </rPr>
      <t xml:space="preserve"> - A risk response planning technique for a threat that creates changes to the project management plan that are meant to either eliminate the risk or to protect the project management objectives from its impact.
     c. </t>
    </r>
    <r>
      <rPr>
        <i/>
        <sz val="10"/>
        <rFont val="EYInterstate"/>
      </rPr>
      <t>Risk Mitigation</t>
    </r>
    <r>
      <rPr>
        <sz val="10"/>
        <rFont val="EYInterstate"/>
      </rPr>
      <t xml:space="preserve"> - A risk response planning technique associated with threats that seeks to reduce the probability of occurrence or impact of a risk. 
20. Enter description of the </t>
    </r>
    <r>
      <rPr>
        <b/>
        <sz val="10"/>
        <rFont val="EYInterstate"/>
      </rPr>
      <t>Contingency plan</t>
    </r>
    <r>
      <rPr>
        <sz val="10"/>
        <rFont val="EYInterstate"/>
      </rPr>
      <t xml:space="preserve">. It is the fallback plan should the risk occur. 
21. Enter the description of the </t>
    </r>
    <r>
      <rPr>
        <b/>
        <sz val="10"/>
        <rFont val="EYInterstate"/>
      </rPr>
      <t>Mitigation plan</t>
    </r>
    <r>
      <rPr>
        <sz val="10"/>
        <rFont val="EYInterstate"/>
      </rPr>
      <t xml:space="preserve">. It is the plan to mitigate the risk.
22. Enter the date and updates, changes and actions taken/planned in the </t>
    </r>
    <r>
      <rPr>
        <b/>
        <sz val="10"/>
        <rFont val="EYInterstate"/>
      </rPr>
      <t>Update Log (Progress)</t>
    </r>
    <r>
      <rPr>
        <sz val="10"/>
        <rFont val="EYInterstate"/>
      </rPr>
      <t xml:space="preserve">. Be sure to include justification for any alterations made to the Required Risk Resolution Date.
23. Enter the </t>
    </r>
    <r>
      <rPr>
        <b/>
        <sz val="10"/>
        <rFont val="EYInterstate"/>
      </rPr>
      <t>Next Review Date</t>
    </r>
    <r>
      <rPr>
        <sz val="10"/>
        <rFont val="EYInterstate"/>
      </rPr>
      <t xml:space="preserve">, the date of the next meeting during which the risk should be reviewed. 
24. Choose the </t>
    </r>
    <r>
      <rPr>
        <b/>
        <sz val="10"/>
        <rFont val="EYInterstate"/>
      </rPr>
      <t>Escalation level</t>
    </r>
    <r>
      <rPr>
        <sz val="10"/>
        <rFont val="EYInterstate"/>
      </rPr>
      <t xml:space="preserve"> from a dropdown list. It can be </t>
    </r>
    <r>
      <rPr>
        <i/>
        <sz val="10"/>
        <rFont val="EYInterstate"/>
      </rPr>
      <t>Project Manager,  Program Manager, Program Director, Managing Sponsor, Executive Sponsor, or Other.</t>
    </r>
    <r>
      <rPr>
        <sz val="10"/>
        <rFont val="EYInterstate"/>
      </rPr>
      <t xml:space="preserve">
25. Enter the </t>
    </r>
    <r>
      <rPr>
        <b/>
        <sz val="10"/>
        <rFont val="EYInterstate"/>
      </rPr>
      <t>Risk resolution</t>
    </r>
    <r>
      <rPr>
        <sz val="10"/>
        <rFont val="EYInterstate"/>
      </rPr>
      <t xml:space="preserve"> description.
26. Enter the </t>
    </r>
    <r>
      <rPr>
        <b/>
        <sz val="10"/>
        <rFont val="EYInterstate"/>
      </rPr>
      <t>Required Risk Resolution Date</t>
    </r>
    <r>
      <rPr>
        <sz val="10"/>
        <rFont val="EYInterstate"/>
      </rPr>
      <t xml:space="preserve">. This is the date by which actions need to be taken to be able to close the risk. Any changes to this field must be documented and justified in the Update Log (Progress) column.
27. Enter the </t>
    </r>
    <r>
      <rPr>
        <b/>
        <sz val="10"/>
        <rFont val="EYInterstate"/>
      </rPr>
      <t>Actual Risk Resolution Date</t>
    </r>
    <r>
      <rPr>
        <sz val="10"/>
        <rFont val="EYInterstate"/>
      </rPr>
      <t xml:space="preserve">. This is the date that the risk is closed.
28. If the risk becomes an Issue or Change Request, document the reference number of the new item in </t>
    </r>
    <r>
      <rPr>
        <b/>
        <sz val="10"/>
        <rFont val="EYInterstate"/>
      </rPr>
      <t>Output Reference.</t>
    </r>
  </si>
  <si>
    <r>
      <t xml:space="preserve">1.   Enter a unique </t>
    </r>
    <r>
      <rPr>
        <b/>
        <sz val="10"/>
        <rFont val="EYInterstate"/>
      </rPr>
      <t>#</t>
    </r>
    <r>
      <rPr>
        <sz val="10"/>
        <rFont val="EYInterstate"/>
      </rPr>
      <t xml:space="preserve"> for the Risk; this number serves as the item reference number. Proceed in numerical order such that first risk added to the log has</t>
    </r>
    <r>
      <rPr>
        <b/>
        <sz val="10"/>
        <rFont val="EYInterstate"/>
      </rPr>
      <t xml:space="preserve"> #</t>
    </r>
    <r>
      <rPr>
        <sz val="10"/>
        <rFont val="EYInterstate"/>
      </rPr>
      <t xml:space="preserve"> R1, the second R2, etc. 
2.   Enter the</t>
    </r>
    <r>
      <rPr>
        <b/>
        <sz val="10"/>
        <rFont val="EYInterstate"/>
      </rPr>
      <t xml:space="preserve"> Date Captured</t>
    </r>
    <r>
      <rPr>
        <sz val="10"/>
        <rFont val="EYInterstate"/>
      </rPr>
      <t>. The</t>
    </r>
    <r>
      <rPr>
        <b/>
        <sz val="10"/>
        <rFont val="EYInterstate"/>
      </rPr>
      <t xml:space="preserve"> Date Captured</t>
    </r>
    <r>
      <rPr>
        <sz val="10"/>
        <rFont val="EYInterstate"/>
      </rPr>
      <t xml:space="preserve"> is the date on which the risk is discovered.    
3.   Enter the name of the person who raised the risk to the log in the </t>
    </r>
    <r>
      <rPr>
        <b/>
        <sz val="10"/>
        <rFont val="EYInterstate"/>
      </rPr>
      <t>Identified by</t>
    </r>
    <r>
      <rPr>
        <sz val="10"/>
        <rFont val="EYInterstate"/>
      </rPr>
      <t xml:space="preserve"> column. 
4.   Select the </t>
    </r>
    <r>
      <rPr>
        <b/>
        <sz val="10"/>
        <rFont val="EYInterstate"/>
      </rPr>
      <t xml:space="preserve">Status </t>
    </r>
    <r>
      <rPr>
        <sz val="10"/>
        <rFont val="EYInterstate"/>
      </rPr>
      <t>from the dropdown list. The risk can be</t>
    </r>
    <r>
      <rPr>
        <i/>
        <sz val="10"/>
        <rFont val="EYInterstate"/>
      </rPr>
      <t xml:space="preserve"> 01. Open, 02. Open &amp; Assigned, 03. Action/Mitigation Plan Defined, 04. Action Plan Complete, 05. Risk Closed, 06.  Deferred, 07. Risk has become an Issue,  08. Blank</t>
    </r>
    <r>
      <rPr>
        <sz val="10"/>
        <rFont val="EYInterstate"/>
      </rPr>
      <t xml:space="preserve">
5.   Enter information in the </t>
    </r>
    <r>
      <rPr>
        <b/>
        <sz val="10"/>
        <rFont val="EYInterstate"/>
      </rPr>
      <t>Cause</t>
    </r>
    <r>
      <rPr>
        <sz val="10"/>
        <rFont val="EYInterstate"/>
      </rPr>
      <t xml:space="preserve"> column. A </t>
    </r>
    <r>
      <rPr>
        <b/>
        <sz val="10"/>
        <rFont val="EYInterstate"/>
      </rPr>
      <t>Cause</t>
    </r>
    <r>
      <rPr>
        <sz val="10"/>
        <rFont val="EYInterstate"/>
      </rPr>
      <t xml:space="preserve"> describes what may have created the risk and may be a requirement, assumption, constraint or condition that creates the possibility of negative or positive outcomes.
6.   Enter description in the </t>
    </r>
    <r>
      <rPr>
        <b/>
        <sz val="10"/>
        <rFont val="EYInterstate"/>
      </rPr>
      <t>Risk</t>
    </r>
    <r>
      <rPr>
        <sz val="10"/>
        <rFont val="EYInterstate"/>
      </rPr>
      <t xml:space="preserve"> column. A Risk is a threat (bad event) or an opportunity (good event) that may positively or negatively impact a project. Risks may be unknown factors.
7.   Enter information in the </t>
    </r>
    <r>
      <rPr>
        <b/>
        <sz val="10"/>
        <rFont val="EYInterstate"/>
      </rPr>
      <t xml:space="preserve">Effect </t>
    </r>
    <r>
      <rPr>
        <sz val="10"/>
        <rFont val="EYInterstate"/>
      </rPr>
      <t xml:space="preserve">column.  Describe to what the risk could/would/may lead.
8.   Select the </t>
    </r>
    <r>
      <rPr>
        <b/>
        <sz val="10"/>
        <rFont val="EYInterstate"/>
      </rPr>
      <t xml:space="preserve">Workstream/Project/Program </t>
    </r>
    <r>
      <rPr>
        <sz val="10"/>
        <rFont val="EYInterstate"/>
      </rPr>
      <t xml:space="preserve">which owns the risk. It can be </t>
    </r>
    <r>
      <rPr>
        <i/>
        <sz val="10"/>
        <rFont val="EYInterstate"/>
      </rPr>
      <t xml:space="preserve">App and Data Migration, Change Management, IAM, M&amp;C Program, SharePoint, Technology Foundation or Unified Communications. </t>
    </r>
    <r>
      <rPr>
        <sz val="10"/>
        <rFont val="EYInterstate"/>
      </rPr>
      <t xml:space="preserve">
9.   Enter the name of the person who is the </t>
    </r>
    <r>
      <rPr>
        <b/>
        <sz val="10"/>
        <rFont val="EYInterstate"/>
      </rPr>
      <t>Risk Owner</t>
    </r>
    <r>
      <rPr>
        <sz val="10"/>
        <rFont val="EYInterstate"/>
      </rPr>
      <t xml:space="preserve">. The risk owner is someone from within the current program assigned to monitor the risk.
10.   Enter the person </t>
    </r>
    <r>
      <rPr>
        <b/>
        <sz val="10"/>
        <rFont val="EYInterstate"/>
      </rPr>
      <t>Assigned to</t>
    </r>
    <r>
      <rPr>
        <sz val="10"/>
        <rFont val="EYInterstate"/>
      </rPr>
      <t xml:space="preserve"> manage the risk. 
11. Select the </t>
    </r>
    <r>
      <rPr>
        <b/>
        <sz val="10"/>
        <rFont val="EYInterstate"/>
      </rPr>
      <t>Priority</t>
    </r>
    <r>
      <rPr>
        <sz val="10"/>
        <rFont val="EYInterstate"/>
      </rPr>
      <t xml:space="preserve"> from the dropdown list. It can be </t>
    </r>
    <r>
      <rPr>
        <i/>
        <sz val="10"/>
        <rFont val="EYInterstate"/>
      </rPr>
      <t>Critical, High, Moderate, Minor or Negligible</t>
    </r>
    <r>
      <rPr>
        <sz val="10"/>
        <rFont val="EYInterstate"/>
      </rPr>
      <t>.</t>
    </r>
    <r>
      <rPr>
        <b/>
        <sz val="10"/>
        <color rgb="FFFF0000"/>
        <rFont val="EYInterstate"/>
      </rPr>
      <t xml:space="preserve"> </t>
    </r>
    <r>
      <rPr>
        <sz val="10"/>
        <rFont val="EYInterstate"/>
      </rPr>
      <t>See chart in Ratings tab.
12. Select the</t>
    </r>
    <r>
      <rPr>
        <b/>
        <sz val="10"/>
        <rFont val="EYInterstate"/>
      </rPr>
      <t xml:space="preserve"> Proximity</t>
    </r>
    <r>
      <rPr>
        <sz val="10"/>
        <rFont val="EYInterstate"/>
      </rPr>
      <t xml:space="preserve">. Proximity is, from a time perspective, how close the risk is to occurring Can be  </t>
    </r>
    <r>
      <rPr>
        <i/>
        <sz val="10"/>
        <rFont val="EYInterstate"/>
      </rPr>
      <t>Impact &lt; 4 weeks, Impact &gt; 4 weeks, Impact &gt; 3 months</t>
    </r>
    <r>
      <rPr>
        <sz val="10"/>
        <rFont val="EYInterstate"/>
      </rPr>
      <t xml:space="preserve">.
13.   Select the </t>
    </r>
    <r>
      <rPr>
        <b/>
        <sz val="10"/>
        <rFont val="EYInterstate"/>
      </rPr>
      <t>Risk probability</t>
    </r>
    <r>
      <rPr>
        <sz val="10"/>
        <rFont val="EYInterstate"/>
      </rPr>
      <t xml:space="preserve"> from the dropdown list. It is the likelihood that the risk will occur. It can be </t>
    </r>
    <r>
      <rPr>
        <i/>
        <sz val="10"/>
        <rFont val="EYInterstate"/>
      </rPr>
      <t>01. Unsure, 02. Slight, 03. Doubtful, 04. Possible, 05. Probable, or 06. Certain</t>
    </r>
    <r>
      <rPr>
        <sz val="10"/>
        <rFont val="EYInterstate"/>
      </rPr>
      <t>. See the Probability chart in Ratings tab for further definition.
14.   Select the impact factor this risk will have on the project</t>
    </r>
    <r>
      <rPr>
        <b/>
        <sz val="10"/>
        <rFont val="EYInterstate"/>
      </rPr>
      <t xml:space="preserve"> Scope </t>
    </r>
    <r>
      <rPr>
        <sz val="10"/>
        <rFont val="EYInterstate"/>
      </rPr>
      <t xml:space="preserve">from the dropdown list. It is the effect on the project's </t>
    </r>
    <r>
      <rPr>
        <b/>
        <sz val="10"/>
        <rFont val="EYInterstate"/>
      </rPr>
      <t xml:space="preserve">scope </t>
    </r>
    <r>
      <rPr>
        <sz val="10"/>
        <rFont val="EYInterstate"/>
      </rPr>
      <t xml:space="preserve">if the risk occurs.  See Impact table in Ratings tab for further clarification.
15. Select the impact factor this risk will have on the project </t>
    </r>
    <r>
      <rPr>
        <b/>
        <sz val="10"/>
        <rFont val="EYInterstate"/>
      </rPr>
      <t>Quality</t>
    </r>
    <r>
      <rPr>
        <sz val="10"/>
        <rFont val="EYInterstate"/>
      </rPr>
      <t xml:space="preserve"> from the dropdown list. It is the effect on the project's</t>
    </r>
    <r>
      <rPr>
        <b/>
        <sz val="10"/>
        <rFont val="EYInterstate"/>
      </rPr>
      <t xml:space="preserve"> quality </t>
    </r>
    <r>
      <rPr>
        <sz val="10"/>
        <rFont val="EYInterstate"/>
      </rPr>
      <t>if the risk occurs. See Impact table in Ratings tab for further clarification.</t>
    </r>
  </si>
  <si>
    <t>Steve Jelf</t>
  </si>
  <si>
    <t>01. Undecided</t>
  </si>
  <si>
    <t>Program Manager</t>
  </si>
  <si>
    <t>Program Director</t>
  </si>
  <si>
    <t>02. Open &amp; Assigned</t>
  </si>
  <si>
    <t xml:space="preserve">M&amp;C still planning; until this is completed, M&amp;C can't provide what IAM needs in order to provide information in return. </t>
  </si>
  <si>
    <t>If IAM does not get the needed information from M&amp;C, will trigger.</t>
  </si>
  <si>
    <t>Undecided</t>
  </si>
  <si>
    <t>unknown</t>
  </si>
  <si>
    <t>Managing Sponsor</t>
  </si>
  <si>
    <t xml:space="preserve">The product we are usinig today doesn't transfer to the Msft platform. </t>
  </si>
  <si>
    <t>Avoidance</t>
  </si>
  <si>
    <t>Project Manager</t>
  </si>
  <si>
    <t>E-mail will not be encrypted in SP.</t>
  </si>
  <si>
    <t>If we can't get approval on an SOW and guaranteed resources from Msft in time, this risk will occur.</t>
  </si>
  <si>
    <t>Output Reference</t>
  </si>
  <si>
    <t>Insufficient engagement with senior executives on M&amp;C</t>
  </si>
  <si>
    <t>02. Impact &gt; 4 Weeks &lt; 3 Months</t>
  </si>
  <si>
    <t>Realization benefits will be slower than required.</t>
  </si>
  <si>
    <t>not a specific event, see Cause</t>
  </si>
  <si>
    <t>Executive Sponsor</t>
  </si>
  <si>
    <t>Users unable to take on board change in the time scales anticipated</t>
  </si>
  <si>
    <t>Sophie Boiron / Alan Guthrie</t>
  </si>
  <si>
    <t>Sophie Boiron /
Alan Guthrie</t>
  </si>
  <si>
    <t>Could be major implementation/change in another area of the business at the same time as that in M&amp;C.</t>
  </si>
  <si>
    <t>Brigitte Ireland</t>
  </si>
  <si>
    <t xml:space="preserve">The technical team not able to identify all the plug-ins for Outlook and Lync. </t>
  </si>
  <si>
    <t>not specific event, see cause</t>
  </si>
  <si>
    <t>Sophie Boiron/Martin Kremmer</t>
  </si>
  <si>
    <t>Area engagement plan produced in January 2012 and activated from 1-Feb-2012</t>
  </si>
  <si>
    <t xml:space="preserve">Plans for overall change management work stream are 2 - 3 months out of date. 
30 day plan activity cannot be rolled out to change currently as this plan is based on detailed MS Project plan files. </t>
  </si>
  <si>
    <t>Produce updated overall change plan</t>
  </si>
  <si>
    <t>Area engagement plan produced in January 2012 and will be activated from 1-Feb-2012</t>
  </si>
  <si>
    <r>
      <t xml:space="preserve">03/01 - List received, work can begin to assertain the implications of these applications from a change perspective.  </t>
    </r>
    <r>
      <rPr>
        <b/>
        <sz val="9"/>
        <rFont val="EYInterstate Light"/>
      </rPr>
      <t>Issue can be closed.</t>
    </r>
    <r>
      <rPr>
        <sz val="9"/>
        <rFont val="EYInterstate Light"/>
      </rPr>
      <t xml:space="preserve">
20/12 - Kathryn Bushby BA on A&amp;DM is finalisaing the list and has shared that with the change team in its present form.
15/12 - Sophie/Martin K amd Jackie meeting on change approach
24/11 - Sophie/ Neil/Martin met on 24/11 and agreed on business change workshop to understand impact of ADM on end users to refine the change plan and agree imminent next steps
09/11 - No confirmation at this stage but regular engagement and update with A&amp;DM team.
03/11 - Update from Neil on Application Candidate provides some information on applications identified but initial view is that it is not sufficient for Changeplanning. Jackie to work with Kathryn Bushby (BA) to see if further information is available or can be gathered
26/10 - 5 applications now identified for Phase 1; plan in place to identify and baseline remaining 10 applications.
24/10 Regular updates from ADM. Lkely to be Assurance applications which suggests an Assurance Change network.</t>
    </r>
  </si>
  <si>
    <t>timeline provided by Msft</t>
  </si>
  <si>
    <t>wouldn't complete by mid-2013, would still have aplpications running when the licensing expires</t>
  </si>
  <si>
    <t>Lack of business SME availability</t>
  </si>
  <si>
    <t xml:space="preserve">Msft delivery approach unclear to EY. In addition, SOW has insufficient detail. </t>
  </si>
  <si>
    <t>The timelines within the project plans for Phase 1 may be invalid.</t>
  </si>
  <si>
    <t>Nicola Cooper</t>
  </si>
  <si>
    <t>When Msft starts delivering, if they are unable to meet required timelines and quality standards, this will occur.</t>
  </si>
  <si>
    <t>Update the SOW to clarify the points needing clarification</t>
  </si>
  <si>
    <t>Phase 1 plan completion data is dependant on availability of business users and IT service delivery resources to support required activities, i.e. acceptance testing, requirements workshops, etc.</t>
  </si>
  <si>
    <t>If the business and/or IT service delivery resources cannot confirm that they can support required activities, then will occur.</t>
  </si>
  <si>
    <t>Delays in gaining approval to onboard project resources will impact project timelines.</t>
  </si>
  <si>
    <t>Not getting necessary approvals in time to procure resources.</t>
  </si>
  <si>
    <t xml:space="preserve">Large number of applications needed to be assessed for Phase 1. </t>
  </si>
  <si>
    <t xml:space="preserve">If Phase 1 BA team is unable to identify and baseline 15 required applications for Phase 1, will occur. </t>
  </si>
  <si>
    <t>Currently discovery team largely staffed with IT advisory resources for a finite period of time.</t>
  </si>
  <si>
    <t>We will have to identify and onboard new resources, therefore affecting the timelines.</t>
  </si>
  <si>
    <t>Extend resources</t>
  </si>
  <si>
    <t>Team cannot complete analysis.</t>
  </si>
  <si>
    <t>Gain necessary approval from Q&amp;RM and security and operations to grant team required access</t>
  </si>
  <si>
    <t xml:space="preserve">Work with CASAHL and Msft to obtain realistic quote for Phase 1. </t>
  </si>
  <si>
    <t>Get more space</t>
  </si>
  <si>
    <t>Identify and baseline the 15 apps for Phase 1</t>
  </si>
  <si>
    <t xml:space="preserve">Timeline for conversion of 15 applications by Microsoft shows 20+ week schedule which if extrapolated for remainder of the applications would indicate Program would not complete by mid-2013.  </t>
  </si>
  <si>
    <t>10-Jan-2012 (became an issue)</t>
  </si>
  <si>
    <t>10-Jan: Neil confirmed that this is really an issue. Made I91. 
12/10 - 'Top Down' Program plan based on current known data; Neil and Martin to rebaseline plan in Q1'12 once data has been enriched through the Rediscovery project</t>
  </si>
  <si>
    <t>Determine way forward; there are numerous options at present.</t>
  </si>
  <si>
    <t>Became issue 10-Jan-2012</t>
  </si>
  <si>
    <t>If can't meet the date, will delay completion of Phase 1.</t>
  </si>
  <si>
    <t>10-Jan: This is included in R26.  Updated wording in R26 to be clearly inclusive and closed this item (Neil and Laura). 
02/11 - Program has varying level of engagement from &gt;80% of Service Lines / CBS functions - plans in place to fully engage with remaining areas
05/10 - Monitor this item; push out date one month to November.
22/11 - Engagement with Service Lines / CBS functions continues to mature; team are now working on specific comms to be published to the teams outlining the support required from them over the coming months</t>
  </si>
  <si>
    <t>Included in R26 (10-Jan)</t>
  </si>
  <si>
    <t>Significant number of resources required to deliver program.</t>
  </si>
  <si>
    <t xml:space="preserve">10-Jan: Closed this risk; this is included in R26. 
14/12 - Meetings held with Margaret and Chris to agree A&amp;DM Operating Model - agreement reached for Decomm, Archive and Data Migration; operating model for App Transformation to be finalised
07/12 - Meeting with Margaret today; review next week.
30/11 - Neil and Martin have conversation planned with Assurance for Monday. Thereafter Neil will update this item accordingly.
09/11 - date out end of month.
02/11 - Neil will pick up offline with Michelle for update here. </t>
  </si>
  <si>
    <t xml:space="preserve">As the Rediscovery project is now expected to complete June 2012, there is a need to extend the resources of the team. If the resources can't be extended, we will lose them. </t>
  </si>
  <si>
    <t>The Rediscovery team does not have the required level of access and therefore can't perform analysis.</t>
  </si>
  <si>
    <t>Team can't get necessary access</t>
  </si>
  <si>
    <t>Team can't be extended.</t>
  </si>
  <si>
    <t>10-Jan - updated all columns; Neil provided new required risk resolution date of 31-Jan (from 28-Oct). Same as below, decision being made which teams will move to new space.
21/12/11 - Alan &amp; Guy have confirmed that additional space has been procured in a nearby office and that a decision will be made by w/e 23/12/11 outlining which team(s) will be moving there and when.  The due date should be left 'as is' given lack of space is a current issue and reviewed during the next RAID call (4th Jan'12).
14/12/11 - This issue increases in criticality in Feb'12 when the portfolio teams are onboarded
7/12/11 - Seen email with confirmation of new space acquired, but no further details received. The holiday period buys some time since many will be out of the office. Alan urged Martin and Neil to update this item with the date on which it will become an absolute issue
30/11/11 - As a temporary mitigation, have asked people to work from home on Monday instead of Friday since there is more desk space available on Fridays. This has been escalated to Mo and is being worked on.
22/11/11 - Escalated from a risk (# R66) to an issue. Neil has raised this to Guy and Alan. Review next week.</t>
  </si>
  <si>
    <t>list received, work can begin to asceratin the implications of the applications from a Change perspective.</t>
  </si>
  <si>
    <t>Norm Lambert</t>
  </si>
  <si>
    <t>O365</t>
  </si>
  <si>
    <t>User Experience needs to take into consideration O365 decision</t>
  </si>
  <si>
    <t>Discuss with Frog the decision of O365</t>
  </si>
  <si>
    <t>Setting expectations that won't be met or performing work beyond O365 intent to use out of the box.</t>
  </si>
  <si>
    <t>Focus on OOB</t>
  </si>
  <si>
    <t>Modify the Contract</t>
  </si>
  <si>
    <t>Replan resource needs with O365 decision.</t>
  </si>
  <si>
    <t>replan resource needs with O365 decision</t>
  </si>
  <si>
    <t>O365 Decision will require replan</t>
  </si>
  <si>
    <t>Michelle Edmonds  / Norm Beard</t>
  </si>
  <si>
    <t>CR to be submitted and VMs repurposed where necessary
10-Jan: Risk became an issue; opened as Issue #94</t>
  </si>
  <si>
    <t>10-Jan: Michelle reqd this item become an issue, #94. 
04-Jan: Michelle will followup with Norm and Adrian; there was a call with Msft over break on which they assigned some resourcesto get environments up. We will review next week and at that point either close or create an issue.
14/12 - Concern of holding up Fusion. The end of the week environments will be discussed.  
30/11 - Adrian said review next week; needs to catch up with Mark on this one.
23/11 - Adrian confirmed this should still be open and high because the CR hasn't been approved. Review next wk.
09/11 - Mark, Michelle and Msft discussed this morning. Should have answer two weeks.
11/4 - SP and foundation will be meeting together for the next two weeks and will wok to resolve this risk
11/4 - Input the dates for the non-production environments in the issue
19/10 - Michelle and Adrian to discuss off-line.
05/10 - MC agreed to repurposing 2 VMs currently being rebuilt so that an interim QA environment can be provided
22/09 - The risk is that any delay in firming up the design for Iteration 2 will impact our ability to deliver. Change ownership from Mark/Rita &gt; Mark/Mike.  
14/09 - The interim solution has been provided. Keep as High; there could be some potential risks here with the VMs. Teams will monitor. 
07/09 - updated description so the risk is specific to Iteration 2, not 1. Have interim solution, but there are other environments we'll be targetting. The date we're handing over iteration 2 environments is later than we'd like.
31/08 - Working through this now.
24/08 - Rita opened; Mark and Rita to discuss off-line.</t>
  </si>
  <si>
    <t>Today's Date:</t>
  </si>
  <si>
    <t>30-90 days</t>
  </si>
  <si>
    <t>91-180 days</t>
  </si>
  <si>
    <t>180+ days</t>
  </si>
  <si>
    <t>Today &gt; Res. Date</t>
  </si>
  <si>
    <r>
      <rPr>
        <b/>
        <sz val="9"/>
        <color theme="1"/>
        <rFont val="Arial"/>
        <family val="2"/>
      </rPr>
      <t xml:space="preserve">11-Jan: </t>
    </r>
    <r>
      <rPr>
        <sz val="9"/>
        <color theme="1"/>
        <rFont val="Arial"/>
        <family val="2"/>
      </rPr>
      <t>Investigations have identified as many areas as possible and we are working with the technical team on any bchanges that may occur due to office 365 where additional plug ins are going to be unlikely.  Therefore the focus continues to be on the implications to Lotus Notes applications of moveing to Lync and Outlpook.  The intention is to share this information with the countries as we engage with them to ensure preparation.  We will be fully engaged with the business when we speak directly with sub-areas to identify any particular needs but in the mean time we will engage directly wth the key areas. e.g knowledge, HR, comms and Finance.
24/11 - benefits realisation candidate identified. Progress being made with SAS story to finalise benefits
9/11 - Requires SAS M&amp;C story agreed to engage with Area reps to identify requirements lead.</t>
    </r>
  </si>
  <si>
    <t>Due to the recent activities around the Msft  cloud decision, we require additional team members (BAs, PMs, engineering, etc.) to face off against the various streams.</t>
  </si>
  <si>
    <t>Impact of delivery of Lync and Outlook</t>
  </si>
  <si>
    <t>Due to the recent activities around the Msft  cloud decision, we require additional team members (BAs, PMs, engineering, etc.) to face off against the various streams.
Availability of necessary resources within EY across all projects - long lead times in securing the required resources, PMs, BA's and other resources for the various projects
Will impact delivery of Lync and Outlook</t>
  </si>
  <si>
    <t>11-Jan-2012 (became an issue)</t>
  </si>
  <si>
    <t>Complete all interviews and make job offers to selected PM's BA and program support.
11-Jan: became I95</t>
  </si>
  <si>
    <t>11-Jan: Al confirmed that this is an issue. Opened as I95.
5/12 - Location strategy is delaying work completed to date on resources
12/10 - Guy sending an updated resource request to Mo this week.
06/07 - Michelle will follow up with Al.  
15/06 - Have made significant progress. Alex Hall would like to talk with Al / Brian on Fusion resourcing.
01/06 - Critical path: need BA's by 6/20 which is the start of req sessions. Need status from Al concerning IBM.
25/05 - Still working; a step closer to securing change manager. Should be joining in next 2 wks.
18/05 - Still working to secure resources, in progress.
11/05 - Lining up PMs and BAs. Defined end of June as deadline. Concern expressed over lumping all resources into one risk as other teams still lacking resources (e.g., Infrastructure Engineering).
27/04 - Much progress has been made, looking to validate staffing have/need. Have 7 outstanding lead developers and architect team. Need by beginning of July, so still ok time-wise. Continuing to work on securing resources.</t>
  </si>
  <si>
    <t>Input Reference #</t>
  </si>
  <si>
    <r>
      <t>1.    Enter a unique</t>
    </r>
    <r>
      <rPr>
        <b/>
        <sz val="10"/>
        <rFont val="EYInterstate"/>
      </rPr>
      <t xml:space="preserve"> # </t>
    </r>
    <r>
      <rPr>
        <sz val="10"/>
        <rFont val="EYInterstate"/>
      </rPr>
      <t xml:space="preserve">for the issue; this number serves as the item reference number. Proceed in numerical order such that first issue added to the log has </t>
    </r>
    <r>
      <rPr>
        <b/>
        <sz val="10"/>
        <rFont val="EYInterstate"/>
      </rPr>
      <t>#</t>
    </r>
    <r>
      <rPr>
        <sz val="10"/>
        <rFont val="EYInterstate"/>
      </rPr>
      <t xml:space="preserve"> I1, the second I2, etc. 
2.   Enter the date the issue was discovered in the </t>
    </r>
    <r>
      <rPr>
        <b/>
        <sz val="10"/>
        <rFont val="EYInterstate"/>
      </rPr>
      <t>Date captured</t>
    </r>
    <r>
      <rPr>
        <sz val="10"/>
        <rFont val="EYInterstate"/>
      </rPr>
      <t xml:space="preserve"> field. 
3.   Enter the name of the person who identified the issue in the</t>
    </r>
    <r>
      <rPr>
        <b/>
        <sz val="10"/>
        <rFont val="EYInterstate"/>
      </rPr>
      <t xml:space="preserve"> Identified by</t>
    </r>
    <r>
      <rPr>
        <sz val="10"/>
        <rFont val="EYInterstate"/>
      </rPr>
      <t xml:space="preserve"> field.</t>
    </r>
    <r>
      <rPr>
        <b/>
        <sz val="10"/>
        <color rgb="FFFF0000"/>
        <rFont val="EYInterstate"/>
      </rPr>
      <t xml:space="preserve"> 
</t>
    </r>
    <r>
      <rPr>
        <sz val="10"/>
        <rFont val="EYInterstate"/>
      </rPr>
      <t xml:space="preserve">4.   Select the </t>
    </r>
    <r>
      <rPr>
        <b/>
        <sz val="10"/>
        <rFont val="EYInterstate"/>
      </rPr>
      <t xml:space="preserve">Status </t>
    </r>
    <r>
      <rPr>
        <sz val="10"/>
        <rFont val="EYInterstate"/>
      </rPr>
      <t>for the issue in the Issue definition section as</t>
    </r>
    <r>
      <rPr>
        <i/>
        <sz val="10"/>
        <rFont val="EYInterstate"/>
      </rPr>
      <t xml:space="preserve"> Active</t>
    </r>
    <r>
      <rPr>
        <sz val="10"/>
        <rFont val="EYInterstate"/>
      </rPr>
      <t xml:space="preserve"> or</t>
    </r>
    <r>
      <rPr>
        <i/>
        <sz val="10"/>
        <rFont val="EYInterstate"/>
      </rPr>
      <t xml:space="preserve"> Closed</t>
    </r>
    <r>
      <rPr>
        <sz val="10"/>
        <rFont val="EYInterstate"/>
      </rPr>
      <t>. 
5.   Enter the</t>
    </r>
    <r>
      <rPr>
        <b/>
        <sz val="10"/>
        <rFont val="EYInterstate"/>
      </rPr>
      <t xml:space="preserve"> Input Reference #</t>
    </r>
    <r>
      <rPr>
        <sz val="10"/>
        <rFont val="EYInterstate"/>
      </rPr>
      <t xml:space="preserve"> from the Risk log. When a risk is realized / occurs, it becomes an issue and should be tracked in the Issues log. This field will help to maintain an audit trail of the lifecycle of a risk to an issue. 
6.   Enter a description of the issue in the </t>
    </r>
    <r>
      <rPr>
        <b/>
        <sz val="10"/>
        <rFont val="EYInterstate"/>
      </rPr>
      <t>Issue description</t>
    </r>
    <r>
      <rPr>
        <sz val="10"/>
        <rFont val="EYInterstate"/>
      </rPr>
      <t xml:space="preserve"> field. Include brief definition of the issue, along with details of the impact to the project/program. </t>
    </r>
    <r>
      <rPr>
        <b/>
        <sz val="10"/>
        <color rgb="FFFF0000"/>
        <rFont val="EYInterstate"/>
      </rPr>
      <t xml:space="preserve">
</t>
    </r>
    <r>
      <rPr>
        <sz val="10"/>
        <rFont val="EYInterstate"/>
      </rPr>
      <t xml:space="preserve">7.   Select the impact factor this issue will have on the project </t>
    </r>
    <r>
      <rPr>
        <b/>
        <sz val="10"/>
        <rFont val="EYInterstate"/>
      </rPr>
      <t>Scope</t>
    </r>
    <r>
      <rPr>
        <sz val="10"/>
        <rFont val="EYInterstate"/>
      </rPr>
      <t xml:space="preserve"> from the dropdown list. Can be </t>
    </r>
    <r>
      <rPr>
        <i/>
        <sz val="10"/>
        <rFont val="EYInterstate"/>
      </rPr>
      <t xml:space="preserve">Undecided, Low, Medium, High, Critical. </t>
    </r>
    <r>
      <rPr>
        <sz val="10"/>
        <rFont val="EYInterstate"/>
      </rPr>
      <t>See Impact table in Ratings tab for further clarification.</t>
    </r>
    <r>
      <rPr>
        <b/>
        <sz val="10"/>
        <color rgb="FFFF0000"/>
        <rFont val="EYInterstate"/>
      </rPr>
      <t xml:space="preserve">
</t>
    </r>
    <r>
      <rPr>
        <sz val="10"/>
        <rFont val="EYInterstate"/>
      </rPr>
      <t xml:space="preserve">8. Select the impact factor this issue will have on the project </t>
    </r>
    <r>
      <rPr>
        <b/>
        <sz val="10"/>
        <rFont val="EYInterstate"/>
      </rPr>
      <t>Quality</t>
    </r>
    <r>
      <rPr>
        <sz val="10"/>
        <rFont val="EYInterstate"/>
      </rPr>
      <t xml:space="preserve"> from the dropdown list. </t>
    </r>
    <r>
      <rPr>
        <b/>
        <sz val="10"/>
        <rFont val="EYInterstate"/>
      </rPr>
      <t xml:space="preserve"> </t>
    </r>
    <r>
      <rPr>
        <sz val="10"/>
        <rFont val="EYInterstate"/>
      </rPr>
      <t xml:space="preserve">Can be </t>
    </r>
    <r>
      <rPr>
        <i/>
        <sz val="10"/>
        <rFont val="EYInterstate"/>
      </rPr>
      <t>Undecided, Low, Medium, High, Critical</t>
    </r>
    <r>
      <rPr>
        <sz val="10"/>
        <rFont val="EYInterstate"/>
      </rPr>
      <t>. See Impact table in Ratings tab for further clarification.</t>
    </r>
    <r>
      <rPr>
        <b/>
        <sz val="10"/>
        <rFont val="EYInterstate"/>
      </rPr>
      <t xml:space="preserve">
</t>
    </r>
    <r>
      <rPr>
        <sz val="10"/>
        <rFont val="EYInterstate"/>
      </rPr>
      <t xml:space="preserve">9. Select the impact factor this issue will have on the project </t>
    </r>
    <r>
      <rPr>
        <b/>
        <sz val="10"/>
        <rFont val="EYInterstate"/>
      </rPr>
      <t>Schedule</t>
    </r>
    <r>
      <rPr>
        <sz val="10"/>
        <rFont val="EYInterstate"/>
      </rPr>
      <t xml:space="preserve"> from the dropdown list.  Can be</t>
    </r>
    <r>
      <rPr>
        <i/>
        <sz val="10"/>
        <rFont val="EYInterstate"/>
      </rPr>
      <t xml:space="preserve"> Undecided, Low, Medium, High, Critical</t>
    </r>
    <r>
      <rPr>
        <sz val="10"/>
        <rFont val="EYInterstate"/>
      </rPr>
      <t>. See Impact table in Ratings tab for further clarification.</t>
    </r>
    <r>
      <rPr>
        <b/>
        <sz val="10"/>
        <rFont val="EYInterstate"/>
      </rPr>
      <t xml:space="preserve">
</t>
    </r>
    <r>
      <rPr>
        <sz val="10"/>
        <rFont val="EYInterstate"/>
      </rPr>
      <t>10. Select the impact factor this issue will have on the project</t>
    </r>
    <r>
      <rPr>
        <b/>
        <sz val="10"/>
        <rFont val="EYInterstate"/>
      </rPr>
      <t xml:space="preserve"> Cost</t>
    </r>
    <r>
      <rPr>
        <sz val="10"/>
        <rFont val="EYInterstate"/>
      </rPr>
      <t xml:space="preserve"> from the dropdown list.</t>
    </r>
    <r>
      <rPr>
        <b/>
        <sz val="10"/>
        <rFont val="EYInterstate"/>
      </rPr>
      <t xml:space="preserve"> </t>
    </r>
    <r>
      <rPr>
        <sz val="10"/>
        <rFont val="EYInterstate"/>
      </rPr>
      <t xml:space="preserve">Can be </t>
    </r>
    <r>
      <rPr>
        <i/>
        <sz val="10"/>
        <rFont val="EYInterstate"/>
      </rPr>
      <t>Undecided, Low, Medium, High, Critical</t>
    </r>
    <r>
      <rPr>
        <sz val="10"/>
        <rFont val="EYInterstate"/>
      </rPr>
      <t>. See Impact table in Ratings tab for further clarification.</t>
    </r>
    <r>
      <rPr>
        <sz val="10"/>
        <color rgb="FFFF0000"/>
        <rFont val="EYInterstate"/>
      </rPr>
      <t xml:space="preserve">
</t>
    </r>
    <r>
      <rPr>
        <sz val="10"/>
        <rFont val="EYInterstate"/>
      </rPr>
      <t xml:space="preserve">11.  Select the </t>
    </r>
    <r>
      <rPr>
        <b/>
        <sz val="10"/>
        <rFont val="EYInterstate"/>
      </rPr>
      <t xml:space="preserve">Priority </t>
    </r>
    <r>
      <rPr>
        <sz val="10"/>
        <rFont val="EYInterstate"/>
      </rPr>
      <t xml:space="preserve">from a dropdown list. It can be </t>
    </r>
    <r>
      <rPr>
        <i/>
        <sz val="10"/>
        <rFont val="EYInterstate"/>
      </rPr>
      <t>Critical, High, Moderate, Minor</t>
    </r>
    <r>
      <rPr>
        <sz val="10"/>
        <rFont val="EYInterstate"/>
      </rPr>
      <t xml:space="preserve"> or</t>
    </r>
    <r>
      <rPr>
        <i/>
        <sz val="10"/>
        <rFont val="EYInterstate"/>
      </rPr>
      <t xml:space="preserve"> Negligible</t>
    </r>
    <r>
      <rPr>
        <sz val="10"/>
        <rFont val="EYInterstate"/>
      </rPr>
      <t>. This value will reflect the highest impact value from the impact-related columns.Therefore, by definition, if any of the Impacts are rated High or Critical, the</t>
    </r>
    <r>
      <rPr>
        <b/>
        <sz val="10"/>
        <rFont val="EYInterstate"/>
      </rPr>
      <t xml:space="preserve"> Priority</t>
    </r>
    <r>
      <rPr>
        <sz val="10"/>
        <rFont val="EYInterstate"/>
      </rPr>
      <t xml:space="preserve"> must rated High or Critical, as well. </t>
    </r>
  </si>
  <si>
    <t>Need for headsets</t>
  </si>
  <si>
    <t>Procurement of headsets for 150,000 users globally</t>
  </si>
  <si>
    <t>Jean-Michel Bouhier</t>
  </si>
  <si>
    <t xml:space="preserve">Due to Audit busy period 6 candidates now placed on hold until at least March 2012 to confirm requirements from the business.
Microsoft engagement for Phase 1 cannot start until new candidates are identified, baselined and requirements are available.
11-Jan: Down to 13 candidates for Phase 1. </t>
  </si>
  <si>
    <t>11-Jan: Michelle and Brett (and agreed by team on call) said this item is closed. It will be added to the replanning effort to look at the scope of Phase 1. 
04-Jan: Michelle said she will talk with Brett, Adrian and Klara off line and update accordingly.
07/12 - Michelle and Brett to talk off-line. Review next week.
5/12 - Issue opened.    - Need to find the owner for this work.</t>
  </si>
  <si>
    <t xml:space="preserve">11-Jan: Michelle and Brett adding to the replanning a re-look at the scope of Phase 1. </t>
  </si>
  <si>
    <t>I71A</t>
  </si>
  <si>
    <t>I71B</t>
  </si>
  <si>
    <t xml:space="preserve">Team needs guidance and information on Imanami - the AD Group Management system.
If Imanami - AD Group Management - solution is used, the dev team needs to understand product funcitonality, integration with AD, ​API for custom development integration. </t>
  </si>
  <si>
    <t xml:space="preserve">Team needs a final decision on Active Directory vs SharePoint groups (or a mix of the two).
The impact is that the Dev Team cannot design or develop solution against Member Management requirements. </t>
  </si>
  <si>
    <t xml:space="preserve">Michelle and Adrian to review Issues I71B and I71A (respectively). Laura split I71 into two items (as requested on Wednesday's call). The impact, due date, etc. columns need to be reviewed. </t>
  </si>
  <si>
    <t>01.11.01</t>
  </si>
  <si>
    <t>Michelle Edmonds/Adrian Mickleson</t>
  </si>
  <si>
    <t>Adrian Mickleson / Brett van Gelder</t>
  </si>
  <si>
    <t>01.11.02</t>
  </si>
  <si>
    <t xml:space="preserve">Adrian Mickleson / Brett van Gelder </t>
  </si>
  <si>
    <t>I33 - As part of the resolution of this issue, Al took an action to get (from Bob Reiner or other) a list of countries we will build in and a list of countries we will not build in. Plans to have this for the beginning of February.</t>
  </si>
  <si>
    <t>01.11.03</t>
  </si>
  <si>
    <t>Adrian Mickleson / Al Grljevic</t>
  </si>
  <si>
    <t>Akos Rabi</t>
  </si>
  <si>
    <t>Issue Owner</t>
  </si>
  <si>
    <r>
      <t xml:space="preserve">1.   Enter the name of the person who is the </t>
    </r>
    <r>
      <rPr>
        <b/>
        <sz val="10"/>
        <rFont val="EYInterstate"/>
      </rPr>
      <t>Issue Owner</t>
    </r>
    <r>
      <rPr>
        <sz val="10"/>
        <rFont val="EYInterstate"/>
      </rPr>
      <t xml:space="preserve">. The </t>
    </r>
    <r>
      <rPr>
        <b/>
        <sz val="10"/>
        <rFont val="EYInterstate"/>
      </rPr>
      <t>Issue Owner</t>
    </r>
    <r>
      <rPr>
        <sz val="10"/>
        <rFont val="EYInterstate"/>
      </rPr>
      <t xml:space="preserve"> is a person within the current program assigned to monitor the Issue.   
2.  Enter the person the issue is </t>
    </r>
    <r>
      <rPr>
        <b/>
        <sz val="10"/>
        <rFont val="EYInterstate"/>
      </rPr>
      <t>Assigned to</t>
    </r>
    <r>
      <rPr>
        <sz val="10"/>
        <rFont val="EYInterstate"/>
      </rPr>
      <t xml:space="preserve">. This is the person assigned to manage the issue.
3.  Select the </t>
    </r>
    <r>
      <rPr>
        <b/>
        <sz val="10"/>
        <rFont val="EYInterstate"/>
      </rPr>
      <t xml:space="preserve">Workstream/Project/Program </t>
    </r>
    <r>
      <rPr>
        <sz val="10"/>
        <rFont val="EYInterstate"/>
      </rPr>
      <t xml:space="preserve">which owns the issue. It can be </t>
    </r>
    <r>
      <rPr>
        <i/>
        <sz val="10"/>
        <rFont val="EYInterstate"/>
      </rPr>
      <t>App &amp; Data Migration, Change Management, IAM, M&amp;C Program, SharePoint, Technology Foundation</t>
    </r>
    <r>
      <rPr>
        <sz val="10"/>
        <rFont val="EYInterstate"/>
      </rPr>
      <t xml:space="preserve"> or</t>
    </r>
    <r>
      <rPr>
        <i/>
        <sz val="10"/>
        <rFont val="EYInterstate"/>
      </rPr>
      <t xml:space="preserve"> Unified Communications</t>
    </r>
    <r>
      <rPr>
        <sz val="10"/>
        <rFont val="EYInterstate"/>
      </rPr>
      <t xml:space="preserve">. </t>
    </r>
  </si>
  <si>
    <t>Confirm at replan</t>
  </si>
  <si>
    <t>decision in the past</t>
  </si>
  <si>
    <t>17/1 - Will have weekly change control meetings
11-Jan: Ian said they will have a new person in to take this forward as of next week. Review in two weeks (for anticipated resolution).
04-Jan: Ian said they now have a process to deploy; next week will have someone on board to work on it. Review next week.
14/12 - Process is being peer reviewed, will hopefully share next week. 
07/12 - Ian thinks draft of change control process will be completed this week, such that it can be reviewed next week. 
5/12 - Confirmed that new items must go through the change control process.  Need the PMO to document that process.</t>
  </si>
  <si>
    <t xml:space="preserve">Long term governance of the technical SharePoint platform to allow other developers to use the platform.
</t>
  </si>
  <si>
    <t>Business users are requesting more than available OOB, we need a process prior to design for prioritization / approval.</t>
  </si>
  <si>
    <t>Request for accessbility items to be included in scope</t>
  </si>
  <si>
    <t xml:space="preserve">Mike Laci </t>
  </si>
  <si>
    <t>18/01/12: TO be validated when revised TF &amp; UC plans available pending O365 impact assessment</t>
  </si>
  <si>
    <t>1) Ensure all resource requests are in the Resource Request DB and align to project plans - complete
2) Meeting to be scheduled with Margaret Walsh and Christopher Hall to determine percentage of permanent employees to recruit and utilise in the Program - in progress; meetings held, agreement yet to be reached.
3) Agree resourcing strategy / mix with Markets and CBS - in progress (meetings set-up with People and Assurance IT Service Delivery Leaders)
4) Agree Operating Model between x-org and IT SD teams - in progress (proposed A&amp;DM operating model sent to Chris, Margaret and Alan for review / discussion at next CLT meeting scheduled 24/01/12)</t>
  </si>
  <si>
    <t>Identify and onboard a replacement PM</t>
  </si>
  <si>
    <t xml:space="preserve">As a result of strategy decisions, order hardware placements have been put on hold. </t>
  </si>
  <si>
    <t>We are at planning stages in program.</t>
  </si>
  <si>
    <t xml:space="preserve">This is due to a lack of requirements resources. </t>
  </si>
  <si>
    <t>Due to strategic change in the approach of delivery to Lync</t>
  </si>
  <si>
    <t>Impact on timeline and budget.</t>
  </si>
  <si>
    <t xml:space="preserve">The success of the program may not be fulfilled due to lack of hardware availability. </t>
  </si>
  <si>
    <t>Daren and Adrian to get meeting with Imanami to gain clarity on how product will be used</t>
  </si>
  <si>
    <t>Continue working with Msft to reach resolution.</t>
  </si>
  <si>
    <t xml:space="preserve">Gain agreement from the working governance group as to the approach needed for archiving. </t>
  </si>
  <si>
    <t>To mitigate the issue,  we need to ensure that hosted BES and Good are included in the hosting RFP. However this is not ideal as it will certainly drive up costs.</t>
  </si>
  <si>
    <t xml:space="preserve">Get confirmation from business strategy and operations as to which countries we need to build in-country. </t>
  </si>
  <si>
    <t xml:space="preserve">Norm Beard and Adriian to work on defining the environment needs. Regular calls being set up to manage expectations and needs. </t>
  </si>
  <si>
    <t xml:space="preserve">Produce an impact asasessment by the middle of March. </t>
  </si>
  <si>
    <t>Updated plan will be produced mid-March.</t>
  </si>
  <si>
    <t>18-Jan: reviewed this item with Al, and he is unsure where it came from; seems to be a misalignment from a different item. Close here. 
19/12 - When this was previously raised, Yvonne McGrory was assigned to cover the gap, however we understand that as from 16/12 Yvonne is no longer doing this role and another BA is joining in January (no formal confirmation of this).</t>
  </si>
  <si>
    <t>Not an issue; just a data entry mistake.</t>
  </si>
  <si>
    <t>18-Jan: Al confirmed that this is closed. Norm and Mark have it in hand. 
05/10 - CR being raised on MS to restart SharePro Foundation and provide additional resource to capt NFRs from Fusion. Expectation that BRs will be confirmed by end Nov '11.
08/06 - due to delay in envisioning until July, reduce risk to moderate.  The requirements will be known before the sessions.
01/06 - Use current non-functional requirements to help drive to sessions regarding SP Architecture.  Develop initial global architecture for the firm and refine it as solutions are determined.</t>
  </si>
  <si>
    <t>18-Jan - On call with Al, he confirmed that this is closed. Norm and Mark have it in hand. 
29/07 - new Risk opened during the Development / Architecture task list discussion.</t>
  </si>
  <si>
    <t>Norm and Mark have this in hand; wasn't reviewed for many months and at time of review 18-Jan, can be closed.</t>
  </si>
  <si>
    <t>This would have an impact on the timeline.</t>
  </si>
  <si>
    <t>18-Jan: Adrian provided update - we are halfway through the RFP presentation week now; targetting Friday for completion. Review in two weeks.
04-Jan- expect feedback for SP and Exchange in the next two weeks, for Lync at end of month. Review in two weeks.
14/12 - Response due back from vendors in January. 
07/12 - This risk ongoing until decision is made. Negotiations are underway this week. Leave as risk to be reviewed next week; if do not have an answer then, will become an issue. Brett suggested at some point splitting this item into the different RFP streams.
30/11 - Adrian said there are two actions occurring here: 1. prepping impact assessment (high level view of what will happen with RFP) for Guy and Alan for Friday, and 2. 2 vendors got RFP on Friday and it's due back just before Christmas. Al took an action to have Karen set up a meeting between Alan, Al and Adrian for Monday at the latest. Need to determine impact and what to do with CRs and resources. Laura took action to work with Adrian to open this as an issue and close as a risk. 
23/11 - Adrian said the RFP decision should come Friday.Review next week.
02/11 - Al rec change review dates to 2 wks out.
12/10 - Determine risk after we have workshops.
05/10 - Decision had been taken to do prerequisite vendor workshops with 8 vendors to finalize RFP future state requirements. Workshops completing 28-October. 
22/09 - Assign back to Adrian. Needs to be restated-- cloud is one scenario in RFP.
07/09 - We're about 2 weeks behind on the RFP; meeting with Forrester tomorrow to review.  Very close to issuing to short list. Concern that we owe our consolidated plans to the Managing Sponsors in 2 weeks. Check with Adrian on rewording so risk is clear.
31/08 - 3 options still included In RFP. 
24/08 - No update, but this is definitely still an option within RFP as currently stands. 
17/08 - No update.
10/08 - No update, is this still in scope and budget?
27/07 - new issue, review next week.</t>
  </si>
  <si>
    <t>18-Jan: Rcvd quote from CASAHL that is in line with expectations. Working with procurement to proceed. Resolved here, can close.</t>
  </si>
  <si>
    <t>01.18.01</t>
  </si>
  <si>
    <t xml:space="preserve">Adrian and Ken to schedule a conversation for next Tuesday (24-Jan) evening; look at the Group Management workshop scheduled for 6-February and discuss whether to reposition. </t>
  </si>
  <si>
    <t>Ken Sponaugle and Adrian Mickleson</t>
  </si>
  <si>
    <t xml:space="preserve">I75: Brett and Adrian to discuss off-line. 
18-Jan: Brett and Adrian provided update on call. </t>
  </si>
  <si>
    <t>SP &amp; EM DA</t>
  </si>
  <si>
    <t>We do not currently have in place the mechanisms for tracking, storing and reusing assets and components. The work to create the necessary process is underway but will take some time. 
EYD, FAST and M&amp;C are all tracking this item within program RAID logs. 
There is therefore a risk to these programs, across these programs and to the firm as a whole that standardization of components and reuse of standardized assets will not be as effective as assumed or planned for.</t>
  </si>
  <si>
    <t>Michelle Edmonds, Adrian Mickleson, Norm Beard</t>
  </si>
  <si>
    <t xml:space="preserve">The work to create the necessary process is underway but will take some time. </t>
  </si>
  <si>
    <t xml:space="preserve">Assumptions and Decisions made to this point in the program need to be revalidated in light of the recent cloud decision. 
</t>
  </si>
  <si>
    <t>Adrian Mickleson / Juan Torres</t>
  </si>
  <si>
    <t>Could hamper progress with deployment. Also with regards to staff getting on site</t>
  </si>
  <si>
    <t>Olympic Start date</t>
  </si>
  <si>
    <t xml:space="preserve">Greater understand work taking place. Plan into plans. </t>
  </si>
  <si>
    <t>Work Stream Managers/Ian Bourne</t>
  </si>
  <si>
    <t>Workstream leads to created goals for direct staff and then for these to be cascaded to their teams. PMO to track progress</t>
  </si>
  <si>
    <t>Schedule/location for the Olympic games</t>
  </si>
  <si>
    <t>25/1 - Replanning will reassess resource needs
03/1 - Continuing to work with HR to hire full time employees.
14/12- Have one of five people in contract after six months.  Continuing to review resumes. 
06/12 - Updated impact. Costs are being realized.
8/11 -  Resumes are being received 
1/11 -  Job descriptions have been sent to HR for posting, resume review to begin shortly. 
25/10 - Received two openings from Mo for full time people and are in process of getting them posted.
19/10 - Guy and Alan took resource requests to Mo for review.
12/10 - Moved to Critical, includes Lead Devs, SP Admin, QA Lead, RM
5/10 - Continue to work with management team to address open resource requests.
28/09 - One additional Solution Architect assigned out of Secaucus.  Continue to work with management team to address open resource requests.  
21/09 - The approach / engagement model for E&amp;Y Solution Architects across multiple SharePoint projects (Fusion, FAST, EYD, EMF) is in process.  2 Solution Archs requests for Fusion remain open.
14/09 - Solution architects hired; one is starting the 16th. Downgrade to priority=LOW.
07/09 - 2 people starting the 19th (Cleveland). Keep open until they start.
31/08 - Per Brian Blinco, actively interviewing for the 2 open Architect requests.
24/08 - 3 out of 5 positions filled, working to engage these individuals (located in Secaucus). Working with Retain on the other 2 positions.
17/08 - Mike and Rita to talk off-line to solidify list. Michelle has been working to identify resources.</t>
  </si>
  <si>
    <t>25-Jan:Traceability will be manual.
11/01 Currently testing interface between TFS and HP ALM. Review next week after UAT.  06/12 - Expecting response from Ken.
30/11 - Update that this was turned on this weekend; there is a manual workaround in place. Downgrade to meduim, keep date for next week. 
23/11 - Scott said the team opened this item yesterday. Since the short term plan does not allow for them to be synced, they are using a manual workaround. Action opened for Nicky to talk to Sue Maguire for dates.
22/11 - Issue opened.</t>
  </si>
  <si>
    <t>25-Jan: Will be factored into re-plan.
17/1 - Processes will be modified in replanning effort. 
14/12 - Firming up processes.
07/12 - Michelle said the team is working to ensure this is addressed, identifying gaps and reaffirming processes. Michelle is going to separate this such that it becomes two issues: one around a general resource issue and the other on inconsistent processes.
5/12 - issue opened.  Work will be prioritized due to risk .</t>
  </si>
  <si>
    <t xml:space="preserve">25/1 - POC moving forward, change control pending.
17/1 - Moving this to be a change control
03/1 - Will document change requests once process is defined.
07/12 - Team had estimated an amount of work and $ for Ovitas ($50K); POC came back at $850K and substantially more work than was expected. Working with Assurance and Ovitas to reduce scope, working with legal on viability of the vendor, architecture is working on a Plan B, procurement involved, as well. Has change control on status report, working on getting it into Ian's process. Michelle and her team have decks to frame the issue, suggests conversation between Margaret, Alan, Chris and Mike/Michelle on how to move forward. Opened action, review next week.
06/12 - Issue opened. </t>
  </si>
  <si>
    <t>GDC - Siggi Hauer</t>
  </si>
  <si>
    <t>RFP-Managed Service - Siggi Hauer</t>
  </si>
  <si>
    <t>Decision around treatment of countries where only a portion of the population needs to remain in-country with respect to move to Hosted Service e.g., UK and Australia. 
UK position is that all email must stay in-country despite any restriction only applying to a small subset of uses working on government client engagements.
Without this decision in place will have difficulty defining the Outlook Exchange deployment plan.
There are no mechanisms in place to move users readily back and forth and since engagement roles change we believe that countries need to be treated as a whole and if any position needs to remain in-country then the whole country needs to do so. Example 200 users in AU who need email data to remain in-country prevents AU from moving GDC or to O365. The users will not remain static; the variance will be based on the engagement assignments.</t>
  </si>
  <si>
    <t>End state Target Operating Model (TOM) for collaborative platform support
Significant challenge to transition workstream</t>
  </si>
  <si>
    <t>The TF/UC Programme is missing a detailed breakdown of the collective tasks that need to be carried out.
Impact: Difficult to assess the effort required to deliver the programme and asses resource requirements.</t>
  </si>
  <si>
    <t>We will require additional PMs to manage the Lync project, Exchange on-premise solution and Exchange cloud solution.
Impact: The programme won't secure the relevant resources in time to achieve successful delivery.</t>
  </si>
  <si>
    <t>A&amp;DM Program budget may change</t>
  </si>
  <si>
    <t>To be validated</t>
  </si>
  <si>
    <t>The A&amp;DM Program budget assumes the use of Hexaware as the offshore delivery team for the Portfolio teams</t>
  </si>
  <si>
    <t>The date which Microsoft are expected to start work on the Phase 1 project was brought forward to 6th Feb'12 without an understanding of the impact.</t>
  </si>
  <si>
    <t>Martin Stutchbury / Neil Sahdev</t>
  </si>
  <si>
    <t>Send to the business and IT services resources a list of activities they are expected to support to gain their commitment - in progress</t>
  </si>
  <si>
    <t>25-Jan: 3 x ITA resources expected to leave end-Jan'12/early-Feb'12.  2 x resources (1 PM and 1 data analyst) required to backfill however no suitable candidates identified so far.
18-Jan: Approval received from Alan to extend team; Martin now engaging with ITA to agree revised end-dates for each of the resources (which is dependant on start date of their next engagement)
11-Jan: Neil is meeting with Lindsey tomorrow on this topic; should have more information for next week's call. 
10-Jan - opened by Neil.</t>
  </si>
  <si>
    <t>M&amp;C will rebuild Good and BES on exchange on the appropriate versions</t>
  </si>
  <si>
    <t>Adrian Mickleson, Nick Wood</t>
  </si>
  <si>
    <t>Action: Determine cost and take forward to the CR meeting</t>
  </si>
  <si>
    <t>01.25.01</t>
  </si>
  <si>
    <t>D86: Determine cost and take forward to the CR meeting. Decision states: M&amp;C will rebuild Good and BES on exchange on the appropriate versions</t>
  </si>
  <si>
    <t>Adrian Mickleson / Nick Wood</t>
  </si>
  <si>
    <t>There is a risk that we have not undertaken an impact assessment that looks at the anticipated required bandwidth from each location with Outlook users to the anticipated site for the relevant Exchange server(s) to determine and/or confirm that adequate bandwidth is available (or will be available) for deployment.</t>
  </si>
  <si>
    <t>I107</t>
  </si>
  <si>
    <t>I108</t>
  </si>
  <si>
    <t>I109</t>
  </si>
  <si>
    <t>I110</t>
  </si>
  <si>
    <t>I111</t>
  </si>
  <si>
    <t>I112</t>
  </si>
  <si>
    <t>I113</t>
  </si>
  <si>
    <t>I114</t>
  </si>
  <si>
    <t>Laura Murphy / Ian Bourne</t>
  </si>
  <si>
    <t>Program leads</t>
  </si>
  <si>
    <t>This is no longer a risk, but an issue. 25-Jan made issue #I104.</t>
  </si>
  <si>
    <t>25-Jan: Michelle said they are working with FROG to make this happen.
11 - Jan Item opened.  Guy to communicate to Team.</t>
  </si>
  <si>
    <t>Martin Kremmer</t>
  </si>
  <si>
    <t>Paul Neave / Nick Wood / John Murray</t>
  </si>
  <si>
    <t>1. Complete the exercise to review all country connections in to the MPLS cloud.</t>
  </si>
  <si>
    <t xml:space="preserve">Brett van Gelder </t>
  </si>
  <si>
    <t>Program has been built on the assumption that riverbed would work; Microsoft has indicated that Riverbed won't work or may cause challenges.  It is a significant risk to the program that we do not know whether they will work or not.</t>
  </si>
  <si>
    <t>James Dibb-Simkin</t>
  </si>
  <si>
    <t>Leads and PMs to review and revalidate all Assumptions and Decisions made to this point in light of the recent cloud decision. The impact of any invalidated items needs to be considered and tracked, and consequent issues, risks and CRs should be opened as necessary.
Laura sending weekly update of missing data and data to be reviewed.</t>
  </si>
  <si>
    <t>I40: Rewa will split this item  back out (used to be two separate items) so that one is a risk that the lack of decisions being made will h hamper progress. The longer these decisions make, the longer until we can move forward. She will include the O365 decision in the description and assign the item to Ian, Guy and Alan to resolve.</t>
  </si>
  <si>
    <t>01.25.02</t>
  </si>
  <si>
    <t>R93: Steve to add a risk around the Lync infrastructure and the Q&amp;RM concern of the saving of transcripts</t>
  </si>
  <si>
    <t>01.25.03</t>
  </si>
  <si>
    <t>Request to run a pilot in May will require resources to spend their time addressing this pilot as opposed to their role in the overall solution.</t>
  </si>
  <si>
    <t>Ted Balfour</t>
  </si>
  <si>
    <t>Ted Balfour / Ken Sponaugle</t>
  </si>
  <si>
    <t>Ted Balfour/Ken Sponaugle</t>
  </si>
  <si>
    <t>01.26.01</t>
  </si>
  <si>
    <t>01.26.02</t>
  </si>
  <si>
    <t>01.26.03</t>
  </si>
  <si>
    <t>01.26.04</t>
  </si>
  <si>
    <t>01.26.05</t>
  </si>
  <si>
    <t>01.26.06</t>
  </si>
  <si>
    <t>01.26.07</t>
  </si>
  <si>
    <t>IAM - Ken Sponaugle</t>
  </si>
  <si>
    <t>MM.DD.##</t>
  </si>
  <si>
    <t>01.26.08</t>
  </si>
  <si>
    <t>DCC - John Lawler</t>
  </si>
  <si>
    <t>DCC preference would be to complete build on primary sites where location and stds are currently known in the timescale, e.g. one or more of Canada, Australia, Japan, China, India</t>
  </si>
  <si>
    <t>01.26.09</t>
  </si>
  <si>
    <t>01.26.10</t>
  </si>
  <si>
    <t>01.26.11</t>
  </si>
  <si>
    <t>01.26.12</t>
  </si>
  <si>
    <t>01.26.13</t>
  </si>
  <si>
    <t>01.26.14</t>
  </si>
  <si>
    <t>01.26.15</t>
  </si>
  <si>
    <t>DCC preference would be to build for the secondary/disaster recovery sites at large sites where the lcoation is not currently known, i.e. China, India</t>
  </si>
  <si>
    <t>Orders need to be placed subject to 4.1 (01.26.01)</t>
  </si>
  <si>
    <t>In hand with network investigate scale of problem</t>
  </si>
  <si>
    <t>BPOS - John Costello</t>
  </si>
  <si>
    <t>All dates are depending on acceptance and buy-in from relevant stakeholder at a Subarea and country level.</t>
  </si>
  <si>
    <t>Understanding of full service offering for both SharePoint and Exchange - impacts SharePoint build for GDC and impacts BES &amp; GOOD migration strategy. (7.1)</t>
  </si>
  <si>
    <t>Understanding of Global Outlook config baseline and key differences in user experience (Cloud and on-Premise) (8.1)</t>
  </si>
  <si>
    <t>High level impact assessment for Outlook and Lync with key business representatives. (8.1)</t>
  </si>
  <si>
    <t>Operations - Siggi Hauer</t>
  </si>
  <si>
    <t>Completion of early lifecycle support (ELS) (8.2)</t>
  </si>
  <si>
    <t>01.26.16</t>
  </si>
  <si>
    <t>01.26.17</t>
  </si>
  <si>
    <t>Provision of devices to enable use of the functionality (9.1)</t>
  </si>
  <si>
    <t>Possible major issues around the sufficient number of resources needed to support ELS.</t>
  </si>
  <si>
    <t>Procurement - Florence Tinsley-Roy</t>
  </si>
  <si>
    <t>Without having a dedicated Service Integrator or the ability to ramp up resources, key milestones around delivery will not be achieved.</t>
  </si>
  <si>
    <t>Guy Morgan to define needs</t>
  </si>
  <si>
    <t>We require a dedicated EY lead, at a minimum, across each of the programme streams to ensure that activities around planning and execution for the on-premise and cloud solution can be executed. (11.1)</t>
  </si>
  <si>
    <t>Adequate bandwidth between primary and secondary sites to support Exchange mailbox replication. (6.2)</t>
  </si>
  <si>
    <t>Connectivity between the BPOS solution and the EY network (5-6 mths from order placement) (6.1)</t>
  </si>
  <si>
    <t>Operational In-Country Secondary/Disaster recovery sites with Domain Controllers, network connectivity, Network Load Balancers, and Exchange and SharePoint infrastructure built to the OS layer in place. (5.2)</t>
  </si>
  <si>
    <t>Operational In-Country Data Rooms ready with Domain Controllers, network connectivity, Network Load Balancers and Exchange and SharePoint infrastructure built to the OS layer in place. (5.1)</t>
  </si>
  <si>
    <t>Identity Synchronization/Content Standardization (01Apr2012) (4.7)</t>
  </si>
  <si>
    <t>Group management tool for creating and managing groups in Exchange (4.6)</t>
  </si>
  <si>
    <t>Group management tool able to create migrated mail-only groups. (4.4)</t>
  </si>
  <si>
    <t>Domain Controllers/Global Catalog Servers deployed in In-country Data Rooms and secondary sites alongside Exchange. (4.2)</t>
  </si>
  <si>
    <t>AD RMS deployed in In-country Data Rooms alongside Exchange. (4.1)</t>
  </si>
  <si>
    <t>Lack of AD resource within EY - AD representation needs to be embedded in all 4 streams. 
Late agreement of SOWs.
Suggest a deep dive into IAM Programme to better understand exact status.
Conflicted Msft resources.</t>
  </si>
  <si>
    <t>Root Domain enabled (4.5)
26-Jan: Ken responded that this will not be available by 30-Jan as members of team are participating in the O365 workshop. Team will be meeting Monday to provide a response based on what is learned during the sessions.</t>
  </si>
  <si>
    <t>AD schema extension deployed for Exchange (4.3)
26-Jan: Ken responded that this will not be available by 30-Jan as members of team are participating in the O365 workshop. Team will be meeting Monday to provide a response based on what is learned during the sessions.</t>
  </si>
  <si>
    <t>Rewa Bouji/Martin Kremmer</t>
  </si>
  <si>
    <t>Work with Business Deployment team to build network of Business Requirements Leads/ Configuration Working Group who are empowered to approve Outlook/Lync specification</t>
  </si>
  <si>
    <t>I40 and I106</t>
  </si>
  <si>
    <t>Q&amp;RM &amp; FSG</t>
  </si>
  <si>
    <t>Q&amp;RM</t>
  </si>
  <si>
    <t>Does EY require Mobile Data Service - Connection Service (MDS-CS)? A delay in the decision will potentially delay scope Lock and impact the O365 service ready delivery date</t>
  </si>
  <si>
    <t>M&amp;C programme/ FSG?</t>
  </si>
  <si>
    <t>Does the customer require Lync Online to Outlook Web App (OWA) integration? A delay in the decision will potentially delay scope Lock and impact the O365 service ready delivery date</t>
  </si>
  <si>
    <t>30-Jan: Mike confirmed this can be closed.
09/11 - Martin V. approved some changes to testing requirements. No affect on timeline; reduce priority to medium and set date out two weeks.
26/10 - During Testing, it was found that every E&amp;Y machine has Outlook Express. We have been infomred by Martin Versteeg that we need to carry out additional testing. This will delay the project, and put in joepardy our current delivery date. We are running "Metering" to determine how many users are using Express, how often etc. Initial output due w/e 28th. If low use. Will look to NOT carry out addiotnal testing. Daren taking action to set up meeting with Guy, Al, himself and operations to discuss impact, issue, delay and make decision.</t>
  </si>
  <si>
    <t>30-Jan Mike Laci:  It was agreed with Martin V. that we would create and publish a Tier 1 TSC article that would outline the steps to upgrade to and activate Outlook 2010 dormant installation.  This article was created and is published.</t>
  </si>
  <si>
    <t>D85A</t>
  </si>
  <si>
    <t>D85B</t>
  </si>
  <si>
    <t>Need confirmation on archiving requirements for exchange, and if they are to be delivered as part of M&amp;C and if for day 1</t>
  </si>
  <si>
    <t>Need confirmation there is no requirement for moving on and off the cloud i.e. Based on Engagements for UK and Aus</t>
  </si>
  <si>
    <t>Significant increase to program costs not budgeted for</t>
  </si>
  <si>
    <t>UC has inherited the working assumption that countries will bear the cost of purchasing peripherals (headsets, webcams etc) to be used with Lync, rather than the program, however it has been found that this assumption has not previously been logged or validated</t>
  </si>
  <si>
    <t>Need confirmation on whether business or program will absorb cost of peripherals to be used with Lync (headsets, webcams, etc)</t>
  </si>
  <si>
    <t>FSG?</t>
  </si>
  <si>
    <t>Lack of business SMEs nominated to act as Business Requirements Leads from whom to gather and validate requirements and configuration is delaying the completion of Outlook configuration settings and Day 1 expected application integration. Requirements definition approach to date has leveraged existing Global Mail Templates, policies etc, and escalated to DA/QRM Steering Group as appropriate for technical/policy decisions respectively. However neither governance group can determine business criticality of mail-integrated applications required on Day 1. 
UC Business Analysts unable to conduct analysis systematically across each area to ensure total coverage, nor determine relative priority of requirements. Currently working with IE and AM to conduct impact analysis of migration to Exchange, and present cost/schedule impact of integration around key categories (eg Room booking, Faxing, Group Management, etc) for presentation to FSG on what is a Day 1 integration requirement. Resource constraints in IE/AM will extend timeline for completion of impact assessment work. Challenge of this approach is the delay to determining final scope of Day 1, which impacts planning and potentially O365 scope freeze as we may not be able to identify applications impacted by O365 in time for design to complete, resulting in adverse business impact.</t>
  </si>
  <si>
    <t>I61</t>
  </si>
  <si>
    <t>Ongoing issues with the SMS / SCCM deployment environment are impacting the distributeion of Outlook Dormant Deployment.</t>
  </si>
  <si>
    <t>31-Jan: Currently assessing as part of the re-plan.
25-Jan: Making progress, interviews set up this week. 
17-Jan: Have identified a set of CV's for transition for SharePoint.
11-Jan: Mike is recruiting (invited Mike on call starting 18-jan). The deployment strategy will be affected by O365.
19/12/11 - On decisions review call, team determined this should be assigned to Martin Kremmer, as well. 
14/12 - On-boarded one resource, continuing to look for more.  
07/12 - Michelle - MIke new resource as of Monday that will help with deployment strategy. Mike is working on additional resourcing. Review next week.
4/11 - Requested resources to assist with this effort.
1/11  - Moving forward. Waiting on management to approve resource requests.
25/10 - Meeting tomorrow to address the plan.
19/10 - Issue Opened. Michelle and Adrian to talk off-line and provide summary of decisions next week.</t>
  </si>
  <si>
    <t>Need communication to the business regarding required changes in plans due to financials, O365, etc.</t>
  </si>
  <si>
    <t>31-Jan: Incorporating changes in the re-plan
5/10 - assessment will continue throughout the program
28/09 - in process</t>
  </si>
  <si>
    <t>Service lines are not identifying their particpants to the project team.</t>
  </si>
  <si>
    <t>Might impact ideation session planned by end of February.</t>
  </si>
  <si>
    <t>Eric Wahl / Kevin Smyth</t>
  </si>
  <si>
    <t>resources not identified by February 3rd</t>
  </si>
  <si>
    <t>Escalate to Bob Reiner</t>
  </si>
  <si>
    <t>Significant scope / budget / resourcing would be required assuming some level of email archiving would be required for "day 1"</t>
  </si>
  <si>
    <t>Core Leadership Team</t>
  </si>
  <si>
    <t>Decisions around integrated room booking, faxing, catering and AV booking is needed.  Currently this is in the scope of UC, but if a non-integrated solution is required it could be delivered out of ADM - however a significant CR would be required as we do not have budget or resources for this.  Identifying a suitably skilled team to deliver this could take a long time and impact the roll out schedule of TF/UC.</t>
  </si>
  <si>
    <t>Turn around time for environment provisioning is currently 90 days.  To intiate the process requires significant detailed design about the application so that the appropriate environment can be provisioned.  This information is not available until the SDD/SAD and TDD have been completed.  The development timeframe is short for MSFT, so the codeset will be provided back to us with no environment to put it into.</t>
  </si>
  <si>
    <t>Testing environments may not be available on time</t>
  </si>
  <si>
    <t>Testing cannot start of the MSFT deliverables</t>
  </si>
  <si>
    <t>Unclear process for initial environment provisioning</t>
  </si>
  <si>
    <t>Escalate within the Soln architects for Phase 1, and prioritise effort to complete (as best as known) environment requirements</t>
  </si>
  <si>
    <r>
      <t xml:space="preserve">18-Jan: Rcvd quote from CASAHL that is in line with expectations. Working with procurement to proceed. Resolved here, can close.
18/01 - Revised Phase 1 quote received from CASAHL.  Neil to arranging a PO with Finance required to procure the licences.
21/12/11 - Earlier today Neil dropped out a note to Jason requesting an update on the CASAHL quote, specifically the charges to EY.  </t>
    </r>
    <r>
      <rPr>
        <b/>
        <sz val="9"/>
        <color theme="1"/>
        <rFont val="EYInterstate Light"/>
      </rPr>
      <t>Given the Phase 1 project start-date has moved to the right I suggest moving the due date from 11/11/11 to 18th Jan'1</t>
    </r>
    <r>
      <rPr>
        <sz val="9"/>
        <color theme="1"/>
        <rFont val="EYInterstate Light"/>
      </rPr>
      <t>2 with a next review date of 4th Jan'12.
14/12 - Waiting on resolution from Jason.
7/12 - No response from Jason Ritchie @ Microsoft. Action opened for Martin to send e-mail again, copy Guy, Alan and Jean-Michel. Review next week.
30/11 - The action sits with Microsoft to resolve; should have an answer by next week.
01/11 - Review quote with CASAHL and tailor in-line with the requirement for Phase 1 
22/11 - Revised quote received from CASAHL for Phase 1 is more transparent for licencing - query outstanding with CASAHL / Microsoft with the level of support included in the quote
31/1 - with procurement to progress</t>
    </r>
  </si>
  <si>
    <t>Lack of sufficient (100+) BU testers is delaying the next phase of transition testing for Outlook Dormant Deployment</t>
  </si>
  <si>
    <t>Mike Laci / Daren Wicks / Martin Kremmer</t>
  </si>
  <si>
    <t>Obtain updated timeline from SCCM team for resolution</t>
  </si>
  <si>
    <t>Update to TM resourcing plan needed</t>
  </si>
  <si>
    <t>Incomplete handover of information to Operations regarding the DR plan.</t>
  </si>
  <si>
    <t>Review current DR strategy wth Ops and define next steps.</t>
  </si>
  <si>
    <t>2/1 - Lowered Risk level.1/11 - MCS - Project workstreams are concerned that EY has not communicated a standard as it relates to RPO/RTO and other DR/Business Continuity metrics.  Decisions are being made at the project workstream level that may not meet business stakeholder expectations.</t>
  </si>
  <si>
    <t>General Lack of DR standards</t>
  </si>
  <si>
    <t>Incomplete or insuffiecient documentation being handed over to Operations. Resulting in increased recovery times in the event of a disaster.</t>
  </si>
  <si>
    <t>01-Feb: Daren said this item can be closed. Project just beginning; Group Management workshop scheduled for next week which will provide the answers Daren needs.
06-Jan: Bob C. confirmed that Daren needs to provide the details for this item. He heard from Anthony Harper that this is 99% mitigated, but Daren will be able to provide more information.</t>
  </si>
  <si>
    <t>1-Feb: Project just beginning; Group Management workshop scheduled for next week which will provide the answers Daren needs.</t>
  </si>
  <si>
    <t>Legal Holds
How would Q&amp;RM apply a legal hold on data (including mail or / documentation / content created from a member of staff who has left the firm? What technology is available to support this Q&amp;RM requirement? Could a global process exist?
It is not known if SharePoint (out of the box) can accommodate the Q&amp;RM high level requirements</t>
  </si>
  <si>
    <t>DA - Brett / Susan</t>
  </si>
  <si>
    <t>Siggi Hauer</t>
  </si>
  <si>
    <t xml:space="preserve">Need to finalise the list of countries that will require exchange to be deployed (currently 28) in order to finalise design decisions. Also what the corresponding DR sites are if DR is required in all instances (prev. DP1)
1-Feb: This is the same as D92 and D93. Close this item. </t>
  </si>
  <si>
    <t>Current assumption is we will go with defaults unless directed otherwise (prev DP2)
1-Feb: Same as D80 and D82. Close here.</t>
  </si>
  <si>
    <t>How many mailboxes can be lost in case of corruption. This decision will drive the backup/non-backup decision (prev DP3)
1-Feb: included in D81 around backups; close here.</t>
  </si>
  <si>
    <t>D61 - update with comment on what the decision was and then close.</t>
  </si>
  <si>
    <t>02.01.01</t>
  </si>
  <si>
    <t>Is the data classification for mail still mixed - i.e... That drive the requirement for the data protection measures that require in-country deployments for exchange (prev DP11)
1-Feb: Al and Adrian said this has been confirmed; can close.</t>
  </si>
  <si>
    <t>Al Grljevic / Adrian Mickleson</t>
  </si>
  <si>
    <t xml:space="preserve">MS have expressed that JT has given them a different steer to the scope of the CR discussed in Secaucus. The plan has been to bring in delivery dates in order to achieve build completion in the 1sr GDC as early as 21/12/11 (prevDP13)
1-Feb: this decision was confirmed; going ahead. Per Al and Adrian on weekly RAID call. </t>
  </si>
  <si>
    <t>Adrian Mickleson / Nick Wood / Klara Neginsky</t>
  </si>
  <si>
    <t>Need a designated team to review the SharePoint Open Items List</t>
  </si>
  <si>
    <t xml:space="preserve">2nd Feb - Further work is required by IT Services on this one prior to a decision being required. 
(SC/JR) to formulate high level requirements for review by Steering Group for further discussion"
</t>
  </si>
  <si>
    <t>SJ Meeting on Ring Fencing procedures now arranged for 1st Feb
1-Feb: Susan following up with SP; Steve will update this item.
2nd Feb - Meeting held and confirmation obtained that this only affects the SharePoint work stream - specifically engaging / managing clients.  This therefore is a Q&amp;RM requirements that will be fed into the appropriate work stream by S. Chakerian.</t>
  </si>
  <si>
    <t>Adrian Mickleson/Nick Wood</t>
  </si>
  <si>
    <t>Date Opened</t>
  </si>
  <si>
    <r>
      <t xml:space="preserve">Identify the role of the leadership team and the expectations of them - discuss and engage with them.
Formalise the briefing mechanism through key sytakeholder engagement
</t>
    </r>
    <r>
      <rPr>
        <sz val="9"/>
        <rFont val="EYInterstate Light"/>
      </rPr>
      <t xml:space="preserve">Develop a story for Lync and Outlook with a story to engage with the business
Engagement by Bob Reiner with John Murphy - also confirmed as Exec Sponsor
</t>
    </r>
  </si>
  <si>
    <r>
      <rPr>
        <b/>
        <sz val="9"/>
        <color theme="1"/>
        <rFont val="EYInterstate Light"/>
      </rPr>
      <t>Generic process decision on accessing Lotus Notes apps</t>
    </r>
    <r>
      <rPr>
        <sz val="9"/>
        <color theme="1"/>
        <rFont val="EYInterstate Light"/>
      </rPr>
      <t xml:space="preserve">
Agree approach to enable access to 50k+ Lotus Notes databases, other than complete delegation. </t>
    </r>
  </si>
  <si>
    <r>
      <rPr>
        <b/>
        <sz val="9"/>
        <color theme="1"/>
        <rFont val="EYInterstate Light"/>
      </rPr>
      <t>Trash retention period.</t>
    </r>
    <r>
      <rPr>
        <sz val="9"/>
        <color theme="1"/>
        <rFont val="EYInterstate Light"/>
      </rPr>
      <t xml:space="preserve"> 
Due to moving to the "cloud" , 30 days is the default setting.</t>
    </r>
  </si>
  <si>
    <t>The "Activated" Lync &amp; Outlook clients remain untested pending a decision upon the mode of activation &amp; the delivery of a backend infrastructure environment. Entry into a "Technical Pilot" with untested "activated" Lync &amp; Outlook Clients presents a risk.</t>
  </si>
  <si>
    <t>Tim Brinkman</t>
  </si>
  <si>
    <t>GCL5 availability for dormant/activated Lync/Outlook Client testing. The dormant Lync/Outlook Client testing will need to be revisited &amp; run against GCL5 in addition to the Activated Client testing if it has been confirmed that GCL5 will be the Go-Live Loadset. Even if the Program goes live with GCL4 the requirement to test against GCL5 remains, pending its introduction.</t>
  </si>
  <si>
    <t>Upon completion of GCL5 development &amp; testing, start a test project to test the Lync &amp; Outlook Dormant and Activated Client Packages against GCL5</t>
  </si>
  <si>
    <t>Industry standard ratios for Lotus Notes Migrations indicates that we will end up with ~990 target applications.  The assumption for resourcing, budget and planning purposes is that ~600 wil lbe built by the A&amp;DM factory before tailing off to a very long tail.  Many of the remaining ~390 applications will either be not required (natural end of life), or will be picked up and replatformed by BAU demand work undertaken by CBS/Markets as part of their normal annual activities.</t>
  </si>
  <si>
    <t>Increased cost and timelines</t>
  </si>
  <si>
    <t>If the business wishes to conduct UAT themselves, there will be a need for program resource to facilitiate the identification of UAT participants and the provision of training, support, materials etc. Alternatively if the business wishes the program to conduct UAT on its behalf, additional test resources must be planned for, approved, and recruited appropriately, with commensurate impact on timelines and budget</t>
  </si>
  <si>
    <t>Lack of decision from FSG on UAT participation by end of January</t>
  </si>
  <si>
    <t>Lack of clearly defined expectations between the program and the business sponsors</t>
  </si>
  <si>
    <t>Lack of communicated schedule for DCC delivery</t>
  </si>
  <si>
    <t>Requirement to provide the business with a schedule for Lync &amp; Outlook deployment</t>
  </si>
  <si>
    <t>Use program QA resources to execute UAT based on scripts signed off by Business Deployment and Business Change</t>
  </si>
  <si>
    <t>Push for publication of schedule by DCC team</t>
  </si>
  <si>
    <t>Decision to deploy Lync and Outlook packages dormantly without testing of activation process</t>
  </si>
  <si>
    <t>GCL5 compatibility with both the cloud &amp; On Prem Lync and Outlook/Exchange infrastructure is untested &amp; unvalidated. Retesting GCL5 after Lync &amp; Outlook Go-Live could present significant cost &amp; delay to the deployment of GCL5 and may have engineering impacts on the Lync &amp; Outlook/Exchange infrastructure. Impact on Program Scope &amp; compatibility with new Global Core Loadset</t>
  </si>
  <si>
    <t>Decision to deploy Lync and Outlook packages dormantly without testing on GCL5 environment</t>
  </si>
  <si>
    <t>The Dormant Lync Client has been deployed to 150K users and the Dormant Outlook Client will be similarly deployed over the next few months. Without a tested/validated "Activation Strategy" the impacts of activating these clients is unknown. Activation impacts to "On Prem" users are unassessed. There will be an impact on the deployment timeline if we cannot get authorisation to deploy untested packages</t>
  </si>
  <si>
    <t>Activation of dormant Lync client results in unforeseen adverse impacts to users</t>
  </si>
  <si>
    <t>Deployment of dormant Lync/Outlook client on GCL5 environment results in unforeseen adverse impacts to users</t>
  </si>
  <si>
    <t>Martin Kremmer is working on creating a list of BU testers who would be able to assist with with Outlook Dormant testing. Need a list of at least 70 if not 100 BU testers for a valid test.  Martin Kremmer to identfy BU resources.</t>
  </si>
  <si>
    <t>Paul Neave, O365 team</t>
  </si>
  <si>
    <t>Martin Versteeg</t>
  </si>
  <si>
    <t>06-Feb: Confirmed that GCL5 will support Lotus Notes Sametime 8.5.3 per email from Brett van Gelder dated 18/01/12
04-Jan: Adrian and Al said that GCL5 will support Lotus Notes Sametime. Change text from will NOT. This is a valid statement. Laura hasn't marked valid yet; need to check on remainder of statement.
04-Oct-11: Added by R Bouji</t>
  </si>
  <si>
    <t>That the Dormant Deployment Project Team will be responsible for deploying the latest Microsoft Updates for both Lync and Outlook Dormant Client Packages until activation</t>
  </si>
  <si>
    <t>FSG/ Business Deployment Lead</t>
  </si>
  <si>
    <t xml:space="preserve">Adrian Mickleson </t>
  </si>
  <si>
    <t>None - Business and IT Service Delivery resources are needed for Phase 1</t>
  </si>
  <si>
    <t xml:space="preserve">None - To avoid numerous issues during delivery it is critical that we have a clear and unambiguous SoW between MS and EY </t>
  </si>
  <si>
    <t>None - Agreement needs to be reached between the IT SD teams and Cross-Org on where the resources required for the A&amp;DM Program will be sourced from</t>
  </si>
  <si>
    <t>1, Update Phase 1 project plans to take  analysis effort into account - complete
2. Monitor the effort expended vs. Planned for the remaining 10 applications - in progress (team are heavily dependant on knowing exactly what the Sharepoint Program will deliver and when)</t>
  </si>
  <si>
    <t>None - Team require access to perform analysis</t>
  </si>
  <si>
    <t>None - Without environements the delivery schedule will be impacted</t>
  </si>
  <si>
    <t>The discovery team are largely staffed with IT advisory resources for a finite period of time.
As the Rediscovery project is now expected to complete June 2012, there is a need to extend the resources of the team. If the resources can't be extended, we will lose them. 
We will have to identify and onboard new resources, therefore affecting the timelines.</t>
  </si>
  <si>
    <t>Identify replacement applications</t>
  </si>
  <si>
    <t>Identify and onboard replacement resources</t>
  </si>
  <si>
    <t>Additional office space procured at Fleet Street, London.</t>
  </si>
  <si>
    <t>Reprioritise work to accomodate the revised start-date.  The consequence is that the Engagement pack for the first three applications for Phase 1 will not be complete).  In addition there are a number of items that still need resolving in the SoW (i.e. who will provide the development environements, location of MS onshore resources.....)</t>
  </si>
  <si>
    <r>
      <rPr>
        <b/>
        <sz val="9"/>
        <color theme="1"/>
        <rFont val="EYInterstate Light"/>
      </rPr>
      <t xml:space="preserve">07-Feb: </t>
    </r>
    <r>
      <rPr>
        <sz val="9"/>
        <color theme="1"/>
        <rFont val="EYInterstate Light"/>
      </rPr>
      <t>Closed due to mitigating actions including comms manager taking responsibility for SAS deck.</t>
    </r>
    <r>
      <rPr>
        <b/>
        <sz val="9"/>
        <color theme="1"/>
        <rFont val="EYInterstate Light"/>
      </rPr>
      <t xml:space="preserve">
10-Jan: </t>
    </r>
    <r>
      <rPr>
        <sz val="9"/>
        <color theme="1"/>
        <rFont val="EYInterstate Light"/>
      </rPr>
      <t>Comms manager is taking over responsibility for developing the final version of the SAS deck.  First draft due this week.
19/12 - Final version of SAS deck has gone out to Alan and Bob.  Engagement has begun with Amerca's CFO, Asia Pac operations committee and ITS relations managers.  Means of engaging with EMEIA still to be identified.  Engagement with service lines will make use of the blue print.  
9/11 SAS initial draft of M&amp;C story will be presented at FSG for feedback. Jeremy establishing what else needs to be done to develop the story - by service line etc. Jackie Knight is working with Jeremy to establish a plan for engagement with Senior Area leadership.
3/11 - Discussion with leadership is dependent upon the SAS storry and agreement on the messages going forward. Awaiting SAS material.
19/10 - Reduce priority to Moderate.</t>
    </r>
  </si>
  <si>
    <t>History of EY portfolio management and business and IT engagement</t>
  </si>
  <si>
    <t>8-Feb-12 - Closed.
Requirement that the SCCM team clear backloged reporting queue of reporting in the SCCM environment</t>
  </si>
  <si>
    <t>Agreement to move forward with next test phases with the understanding of possible delays to reporting information.</t>
  </si>
  <si>
    <t>To be determined via new Support model needed to support Sharepoint</t>
  </si>
  <si>
    <t>Other</t>
  </si>
  <si>
    <t>Currently GAAIT replacement, while nominally within the scope of the SharePoint Research Tools workstream, is being conducted largely as an independent project with direction being provided by Assurance and with architecture engagement both outside of the context of the M&amp;C program.
There is lack of consistent governance (program, business and architectural) in an area where there is potential significant investment and architectural impact. There is also long term implication for our "single global content management system" strategy depending on how this is executed.</t>
  </si>
  <si>
    <t>We need a decision on whether GAAIT (and Ovitas work) are part of M&amp;C or not and if they are they need to be properly re-absorbed into our governance structures. If not Brett would like to know so that he can ensure that Enterprise Architecture is differently engaged than is currently the case. (linked to I110)</t>
  </si>
  <si>
    <t>There is a risk that the testing environments will be unavailable for when we need to start testing.</t>
  </si>
  <si>
    <t xml:space="preserve"> If cannot get test environment available, will impact schedule.</t>
  </si>
  <si>
    <t>Inability to specify and provision in the next month (from 8-Feb)</t>
  </si>
  <si>
    <t xml:space="preserve">Purchase representative hardware and accept that it's not going to be fully representative of the full design. </t>
  </si>
  <si>
    <t xml:space="preserve">To gain agreement on the architecture and then go to the procurement process; agreement from project and ops sides. </t>
  </si>
  <si>
    <t>Will extend the timeline for the Exchange. Will dictate the goes we can use  for UAT and pilot and will dictate the countries we can migrate to. Will impact the ability to encrypt  internal e-mail.</t>
  </si>
  <si>
    <t xml:space="preserve">The timelines within the AD RMS SOW. </t>
  </si>
  <si>
    <t xml:space="preserve">Put in place a workaround for testing ensuring that AD RMS is prioritised in the test environment
 </t>
  </si>
  <si>
    <t>Could go live without the abliity to encrypt internal e-mail, if that is acceptable.</t>
  </si>
  <si>
    <t xml:space="preserve">Msft 365 has recommended that we don't use Riverbed, as they believe this will cause siginificant problems. </t>
  </si>
  <si>
    <t xml:space="preserve">The user experience could be impacted if we are unable to use optimization. </t>
  </si>
  <si>
    <t xml:space="preserve">Once we've installed Riverbed, if we find it does not work. Working under assumption that Riverbed will work. </t>
  </si>
  <si>
    <t xml:space="preserve">Run unoptimized if they don't work; we are contractually bound to remove the Riverbed devices if they are found to cause a problem. </t>
  </si>
  <si>
    <t>1. In discussions with Riverbed, trying to find reference clients who have used it with O365. 
2. Test Riverbed with Exchange.</t>
  </si>
  <si>
    <t xml:space="preserve">Investigate further as to what this actually is. </t>
  </si>
  <si>
    <t>I115</t>
  </si>
  <si>
    <t>I116</t>
  </si>
  <si>
    <t>I117</t>
  </si>
  <si>
    <t>I118</t>
  </si>
  <si>
    <t>I119</t>
  </si>
  <si>
    <t>I120</t>
  </si>
  <si>
    <t>Paul Neave / James Harrup-Brook</t>
  </si>
  <si>
    <t>I111, I112</t>
  </si>
  <si>
    <t xml:space="preserve">8-Feb: per call with Paul and James, determined that 1. this item is an issue, and 2. it should be split out into the different streams since they are in different places, with different impacts, etc. Opened as I111 and I112 for Lync and Exchange and followed up with SP to see whether they have an issue around this or not. </t>
  </si>
  <si>
    <r>
      <t xml:space="preserve">A managed services RFP is being run to select vendor for services for Lync, </t>
    </r>
    <r>
      <rPr>
        <b/>
        <sz val="9"/>
        <rFont val="Arial"/>
        <family val="2"/>
      </rPr>
      <t xml:space="preserve">Exchange </t>
    </r>
    <r>
      <rPr>
        <sz val="9"/>
        <rFont val="Arial"/>
        <family val="2"/>
      </rPr>
      <t xml:space="preserve">and SharePoint. There is a risk that we may impact hardware order dates.
Decision had been taken to do prerequisite vendor workshops with 8 vendors to finalize RFP future state requirements. </t>
    </r>
  </si>
  <si>
    <r>
      <t xml:space="preserve">Managed services RFP to select vendor for services for </t>
    </r>
    <r>
      <rPr>
        <b/>
        <sz val="9"/>
        <rFont val="Arial"/>
        <family val="2"/>
      </rPr>
      <t xml:space="preserve">Lync. </t>
    </r>
    <r>
      <rPr>
        <sz val="9"/>
        <rFont val="Arial"/>
        <family val="2"/>
      </rPr>
      <t xml:space="preserve">This is affecting hardware order datesThere is a risk that we may impact hardware order dates.
Decision had been taken to do prerequisite vendor workshops with 8 vendors to finalize RFP future state requirements. </t>
    </r>
  </si>
  <si>
    <t xml:space="preserve">Any requirement for email archiving will impact timelines and cost. 
</t>
  </si>
  <si>
    <t>8-Feb: The current solution is no e-mail archiving.</t>
  </si>
  <si>
    <t xml:space="preserve">As the current solution is that there will not be e-mail archiving, the team is working toward this end. There is a risk then that should there be a need for e-mail archiving, we would need to create a solution. 
</t>
  </si>
  <si>
    <t>If there is a legal requirement for archiving of e-mail, will trigger.</t>
  </si>
  <si>
    <t xml:space="preserve">There is a risk that the managed services RFP for hosted services may include options based on cloud technology. Therefore, network requirements must be provided to the network team in a timely manner. 
</t>
  </si>
  <si>
    <t>As we are almost certainly going to the cloud, there is an issue that end users will not have as rich of a Lync experience based on their local bandwidth capabilities.  
Will impact timeline and budget.</t>
  </si>
  <si>
    <r>
      <t>08-Feb: Syntax outdated as we are now 99% sure going to the cloud. Close from a risk perspective and open as an issue (I113) since the impact is certain - that users won't have as rich a Lync experience based on local bandwidth capabilities. 
04-Jan: Changed date in the desription from 28-Oct to 14-Feb (per Al on call). Review mid-Feb.
14/12 - continuing with working assumption of on-prem.
23/11 - should get the green light Friday; review next week.
09/11 - Adrian should have answer end of this week. Review next week.
05/10 - This will be clarified by week ending 28-October. Greg will also reach out to Mike O'Donnell for clarity. Greg's action closed 19/10.
22/09 - Greg, Adrian and Brett to restate the risk: what was the original intention with this item? May even need to close this and start a new one.
14/09 - Changed owner from Daren to Adrian. Change probability from High to Low. Impact to stay at High. Move review date out one month.
31/08 - Daren caught up with Steve Yeomans; should clear this up and the enterprise plan, too. 2 year plan for WAN optimization. 
17/08 - Adrian's RFP will determine what will happen with regards to network requirements. Will decide which option (inhouse, 3rd party, hybrid) by 2nd or 3rd week of Sept. If go to external environment, 6 months lead time.
10/08 - Peter met with team and they are still on track.  Adrian to restate risk.
3/08 Steve reports that IAM and GWAN teams are now invited to Raid call. Meeting scheduled next week to start to sync GWAN and M&amp;C plans.
27/07 - Program started, Steve Betts to invite Steve Yeomans to next week's call.
06/07 - The Network program has kicked off.  Meeting Scheduled with Brendan and team.  
15/06</t>
    </r>
    <r>
      <rPr>
        <b/>
        <sz val="9"/>
        <color theme="1"/>
        <rFont val="EYInterstate Light"/>
      </rPr>
      <t xml:space="preserve"> </t>
    </r>
    <r>
      <rPr>
        <sz val="9"/>
        <color theme="1"/>
        <rFont val="EYInterstate Light"/>
      </rPr>
      <t>- Working on DCC rollout program to see how it will affect user migration mapping (ongoing discussion).  Network requirements will come from envisioning sessions.
18/05 - Work with Steve on high-level requirements/dependencies. 
27/04 - Adrian will follow-up with Peter. 11/05 - Action to Al: Set meeting to discuss offline. This is related to SharePoint and internal, more general network concerns (as compared to R5).</t>
    </r>
  </si>
  <si>
    <t>We have not undertaken an impact assessment that looks at the anticipated required bandwidth from each location with Outlook users to the anticipated site for the relevant Exchange server(s) to determine and/or confirm that adequate bandwidth is available (or will be available) for deployment.</t>
  </si>
  <si>
    <t>8-Feb: per call with Paul and James, this is an issue. Opened as I114. Paul said they are currently trying to get this assessment started.</t>
  </si>
  <si>
    <t>8-Feb: Opened as I114. 
25-Jan: Opened, as identified by Brett and Al. Action is with Paul, Nick and John to complete the exercise to review all country connections to the MPLS cloud.</t>
  </si>
  <si>
    <t>Additional infrastructure / additional costs / resource requirements</t>
  </si>
  <si>
    <t>8-Feb: Ted emailed, "Yes, RMS will be the solution used for encryption so this item can be closed."
8-Feb: James and Paul believe this item can be closed; AD RMS has been id'd as the tool and if implement AD RMS won't be doing encrypted mail. Laura em'd Ted to double check on closure suggestion.
26-Jan: Changed owner to Ted from Bob Cooney.
06-Jan - This item did not previously have a required risk resolution date;  added 1-May as that date.
05/10 - This will form part of discussion at the planning workshops scheduled to commence 10/10. Re-visit after these w/c 17/10
15/06 - this will be explored during the envisioning sessions with MS.  Revisit after sessions.</t>
  </si>
  <si>
    <t>8-Feb: Ted, Paul, James said we will be using AD RMS and if implement AD RMS won't be doing encrypted e-mail. Close.</t>
  </si>
  <si>
    <t>Delays confirming future state of each application - in-turn this will delay the A&amp;DM Program Archiving, Decommmisioning and Replatforming applications.</t>
  </si>
  <si>
    <t>No response received from IT Service Delivery leads</t>
  </si>
  <si>
    <t>No responses received from IT Service Delivery Leads</t>
  </si>
  <si>
    <t>Host briefing sessions to provide support to the IT Service Delivery teams - in progress</t>
  </si>
  <si>
    <t>None - the decision on the future state of each application needs to be confirmed by the IT Service Delivery Leads on behalf of the business</t>
  </si>
  <si>
    <t>Slippage of the user experience timeline</t>
  </si>
  <si>
    <t xml:space="preserve">It is not yet confirmed in which order the DCC program will stand up the MS Exchange infrastructure, or the schedule for doing so. The Unified Comms stream cannot roll out to users unless the infrastructure is provisioned and ready for deployment, and the deployment schedule is therefore dependent on DCC confirming infrastructure availability. </t>
  </si>
  <si>
    <t>02.08.01</t>
  </si>
  <si>
    <t xml:space="preserve">R92 (Riverbed) - Al to touch base with Alan to ensure he is explicitly aware of this risk and its implications. </t>
  </si>
  <si>
    <t>Issue 87 closed; Issue 86 updated.</t>
  </si>
  <si>
    <t>Columns have been populated; any missing information will be tracked through the Project Summary snapshots.</t>
  </si>
  <si>
    <t>Have reached the date and decision made.</t>
  </si>
  <si>
    <t>Adrian Mickleson / Al Grljevic / Steve Jelf</t>
  </si>
  <si>
    <t>The assumed Q&amp;RM recommendation is to enable external chat history from the servers. If this is validated, there will be implications to the design and the functional spec for Lync. The design would need to incorporate in-country infrastructure which doesn't currently exist and the program would need to plan accordingly. 
If "archiving of external chats" needs to be enabled from back end servers and this is a formal requirement from Q&amp;RM  specifically relating to countries where data cannot reside outside of country borders, further infrastruture will be required in those countries.</t>
  </si>
  <si>
    <t>02.08.02</t>
  </si>
  <si>
    <t>R93 (archiving of external chats): Steve to go to Q&amp;RM to ensure they understand this risk; then Al, Adrian and Steve to take to engineering to discuss costs.</t>
  </si>
  <si>
    <t>Steve / Adrian / Al</t>
  </si>
  <si>
    <t xml:space="preserve">R101: Daren to talk with GCL5 and make sure they what they are building today is what we are expecting. Provide team an update on this call next week. </t>
  </si>
  <si>
    <t>02.08.03</t>
  </si>
  <si>
    <t>02.08.04</t>
  </si>
  <si>
    <t xml:space="preserve">Neil Sahdev </t>
  </si>
  <si>
    <t xml:space="preserve">I91: Neil to officially socialize within IT Services that the project plan for IT Services assumes Dec 2017 completion, meaning the firm will be dependent on Notes beyond 2013. </t>
  </si>
  <si>
    <t xml:space="preserve">ADM schedule no longer reflects reality and will run longer than expected as the Phase 1 plan cannot be baselined until inbound dependency owners have firmed up their plans (namely provisioning of environments, UI guidelines, and O365 strategic architecture). </t>
  </si>
  <si>
    <t xml:space="preserve">There are still some concerns from our operations and security colleagues regarding the decision taken at the planning workshops to proceed with shared permissions rather than split permissions for Exchange. Meeting on 14/11/11 in order to more fully understand the choice and its consequences.. (prev DP15)
01-Feb: Laura emailed Klara and Nick to followup/confirm ability to close.
08-Feb: Klara said this is being discussed on this Friday's UC DA call. </t>
  </si>
  <si>
    <t>02.09.01</t>
  </si>
  <si>
    <t xml:space="preserve">This was D95,  but Al clarified that it is not a decision, but rather an action for the transition management team to resolve. Marked obsolete. </t>
  </si>
  <si>
    <t>Transition management team</t>
  </si>
  <si>
    <t>9-Feb: Al - this is not a decision, but an action for transition management team to resolve. Marked obsolete and added to actions log.</t>
  </si>
  <si>
    <t xml:space="preserve">There are some 400,000 groups in Lotus Notes. Need to understand what the requirement is to migrate these. There is significant effort involved in migrating them and further development needed to implement a mechanism to keep these groups synced during co-existence which is not in the group management scope being delivered by IAM. (prev DP9)
9-Feb: Al closed; this is a duplicate item, D83. </t>
  </si>
  <si>
    <t>Need confirmation of whether ON-prem exchange solution will be on SP2
9-Feb: Confirmed.</t>
  </si>
  <si>
    <t>9-Feb: Al confirmed that this decision has been made; will be on SP2.</t>
  </si>
  <si>
    <t>Need confirmation of approach to be taken to building out ON-Prem exchange. By EY, a vendor or with Microsoft
9-Feb: Have a signed contract with Microsoft.</t>
  </si>
  <si>
    <t>9-Feb: Al confirmed there is a signed contract with Msft. Close.</t>
  </si>
  <si>
    <t>The results of the BIS performed for mail need to be ratified.  With imperfect information an RTO of 12 hours was determined but with estimated "losses" of $13.52 per person per hour is this acceptable to the business?
The RTO is a design input for on premise solutions &amp; influences hosting / DCC direction.</t>
  </si>
  <si>
    <t>Martin Evans</t>
  </si>
  <si>
    <t>Nick Wood, Brett van Gelder</t>
  </si>
  <si>
    <t>Siggi and John</t>
  </si>
  <si>
    <t xml:space="preserve">Need to input the required settings as part of the discovery questionnire
Need to change the service to be delivered before Scope Lock
9-Feb: Paul - Closed; it will take a week to stand up this CR so will address when required, not for Day 1. </t>
  </si>
  <si>
    <t>DA</t>
  </si>
  <si>
    <t>UC (Rewa Bouji)</t>
  </si>
  <si>
    <t>Current assumption is that we are designing with no backup provision for mail in any location (prev DP4)
1-Feb: same as D81 - mark obsolete.</t>
  </si>
  <si>
    <t>(prevDP7)
1-Feb: included in other items, D94 and others. Obsolete.</t>
  </si>
  <si>
    <t>Are there any requirements beyond the Legal hold capabilities of exchange to capture and hold those VMs that have been delivered to the respective mbx, e.g is there anything associated with the user on legal hold leaving VM for others (prev DP10)
1-Feb: included in D85A. Obsolete.</t>
  </si>
  <si>
    <t>(prev DP12)
1-Feb: same as D80; obsolete.</t>
  </si>
  <si>
    <t>9-Feb: This is a duplicate of D96 (which is a more explicit item). Obsolete.</t>
  </si>
  <si>
    <t>Challenged by Q&amp;RM on behalf of the US firm. Microsoft have confirmed that this cannot be amended and as yet have resisted clients requests.
1-Feb: Adrian will raise with Q&amp;RM again (needs to go back to them); then can proceed.
10-Feb Steve J. - From a Q&amp;RM point of view, there are issues, but the decision fundamentally has been made / that is the service we signed up for , close.</t>
  </si>
  <si>
    <t>Lack of costings to ascertain if three integrated test environments can be built within the Test Environment budget</t>
  </si>
  <si>
    <t>Schedule Test Environment utilisation with enforced adherence to schedule</t>
  </si>
  <si>
    <t>Obtain costings on building three integrated test environments as opposed to two &amp; examinae budgetary impact</t>
  </si>
  <si>
    <t>Email Deprovisioning
Implementing a global process to decommission Exchange mailboxes when staff leave the firm. It is believed that there are a number of countries throughout Europe that have requirements indicating that data needs to be removed within 5 days or less of staffing leaving the firm.
Need consistent approach that says, when a person leaves, this is what happens to their mail</t>
  </si>
  <si>
    <t>Need to provide Resource Booking Attendant global settings for the O365 service if not the default
Confirmed we will go with default value.</t>
  </si>
  <si>
    <t>PIN - Repeat of D80? 10-Feb: obsolete as repeated.</t>
  </si>
  <si>
    <t>Currently producing recommendation to be approved by the DA technically and then signed off by the programme authority for cost impact (prev DP5)
10-Feb: closed on TF decisions call (Paul, Ant, Brett, Adrian, Al, Steve, James)</t>
  </si>
  <si>
    <t>DEC_012 Storage SAN/JBOD/RAID: SAN in large and medium siates and JBOD/RAID in small sites</t>
  </si>
  <si>
    <t>Currently producing recommendation to be approved by the DA technically and then signed off by the programme authority for cost impact (prev DP8)
10-Feb: closed on TF decisions call (Paul, Ant, Brett, Adrian, Al, Steve, James)</t>
  </si>
  <si>
    <r>
      <rPr>
        <b/>
        <sz val="9"/>
        <color theme="1"/>
        <rFont val="EYInterstate Light"/>
      </rPr>
      <t xml:space="preserve">Email Archive
Decision making group to follow-up with global Q&amp;RM to determine which countries need e-mail archiving.
</t>
    </r>
    <r>
      <rPr>
        <sz val="9"/>
        <color theme="1"/>
        <rFont val="EYInterstate Light"/>
      </rPr>
      <t xml:space="preserve">
Validated that there is no Q&amp;RM legal or regulatory requirement to implementing a global archiving solution, however do  believe that IT Services should prepare for some kind of archiving solution due to likely political pressure applied by Service Lines / Business Units or particular countries. 
For those countries that do have a archiving system in place today, due diligence is taking time to analyse the detail of legal / regulatory statements. It is thought that this would run into a number of weeks / months. Initial indications show that countries believe a legal position exists in retaining an email archive, however no strict evidence is being found confirming this is the case.
Decision required asap on (a) If a archiving solution(s)  are required and (b) exactly what is required for "day 1".  Target date reflects the fact that a recomendation should be put to the FSG for 28/29h Feb. </t>
    </r>
  </si>
  <si>
    <r>
      <rPr>
        <b/>
        <sz val="9"/>
        <color theme="1"/>
        <rFont val="EYInterstate Light"/>
      </rPr>
      <t>No Backups</t>
    </r>
    <r>
      <rPr>
        <sz val="9"/>
        <color theme="1"/>
        <rFont val="EYInterstate Light"/>
      </rPr>
      <t xml:space="preserve">
Q&amp;RM have agreed with the working assumption that no backups will be part of the overall messaging &amp; collaboration solution. 
</t>
    </r>
  </si>
  <si>
    <t xml:space="preserve">Validation required with FSG. Q&amp;RM have no issues with this proposal
1-Feb: moved date out 3 weeks; Al and Adrian to raise with FSG.
10-Feb: SJ - IT recommendation validated by Q&amp;RM. 
Decision making authority now required to rubber stamp this.
(Don’t believe this is a “Business decision”)
PIN - Likely that requirements from Senior mgt will require we design and cost a Backup solution for small sites where there is not DR site. Note this will result in a reduced service level for those countries.
10-Feb: closed this item as decision has been agreed; closed on TF decisions call (Paul, Adrian, Al, Ant, James, Steve, Brett)
</t>
  </si>
  <si>
    <t>Need to input the required settings as part of the discovery questionnire
Need to change the service to be delivered before Scope Lock
10-Feb - Adrian said this doesn't belong here; mark it obsolete; belongs with RFP team. (team agreed on 10-Feb TF decisions call)</t>
  </si>
  <si>
    <t>Need to input the required settings as part of the discovery questionnaire
9-Feb: Paul - Rewa Bouji - needs to come back to us after meeting with GRE as to whether we need to change from the technical recommendation I have so far.
10-Feb: team on TF decisions call (Al, Adrian, Steve, James, Paul, Brett, Ant) said it has been confirmed that we will go with the default value.</t>
  </si>
  <si>
    <t>DEC_012 PR/DR site Replication method - native DAG, WOC or SAN replication?
We are using native Exchange Plus wocification.</t>
  </si>
  <si>
    <t>Risks with no Required Resolution Date</t>
  </si>
  <si>
    <t>Issues with no Required Resolution Date</t>
  </si>
  <si>
    <t>Critical or High</t>
  </si>
  <si>
    <t>Days Open</t>
  </si>
  <si>
    <t>181+ days</t>
  </si>
  <si>
    <t>Risks: Past Required Resolution Date</t>
  </si>
  <si>
    <t>Risks due in the next week</t>
  </si>
  <si>
    <t>Risks with no required resolution date specified</t>
  </si>
  <si>
    <t>Risks missing other information</t>
  </si>
  <si>
    <t>Issues: Past Required Resolution Date</t>
  </si>
  <si>
    <t>Issues due in the next week</t>
  </si>
  <si>
    <t>Issues with no required resolution date specified</t>
  </si>
  <si>
    <t>Issues missing other information</t>
  </si>
  <si>
    <t>Assumptions not yet validated</t>
  </si>
  <si>
    <t>Assumptions to be revalidated in light of BPOS decision</t>
  </si>
  <si>
    <t>Pending Decisions</t>
  </si>
  <si>
    <t>Decisions to be revalidated in light of BPOS decision</t>
  </si>
  <si>
    <t>A21, A27</t>
  </si>
  <si>
    <t>A22, A23, A24, A30, A31, A35, A36, A40, A41, A42</t>
  </si>
  <si>
    <t>D108, D50, D51, D52, D53</t>
  </si>
  <si>
    <t>Risk #</t>
  </si>
  <si>
    <t>Missing Data</t>
  </si>
  <si>
    <t>Issue #</t>
  </si>
  <si>
    <t>Assumption #</t>
  </si>
  <si>
    <t>Decision #</t>
  </si>
  <si>
    <t>To be revalidated in light of the BPOS decision</t>
  </si>
  <si>
    <t>All Change Management risks fully updated.</t>
  </si>
  <si>
    <t>All Change Management issues fully updated.</t>
  </si>
  <si>
    <t>No Change Management assumptions in log.</t>
  </si>
  <si>
    <t>All columns</t>
  </si>
  <si>
    <t>Days until Due</t>
  </si>
  <si>
    <t>Due in the next week</t>
  </si>
  <si>
    <t>13-Feb: This is not affected by O365 decision; consider revalidated.</t>
  </si>
  <si>
    <t>No pending decisions; closed decisions have been revalidated.</t>
  </si>
  <si>
    <t>To be validated; fill in forum/individual, due date and next review date</t>
  </si>
  <si>
    <t>Paul Neave, O365 team, Transition management</t>
  </si>
  <si>
    <t>None - Need to ensure sufficient analysis time is allowed for in the plans</t>
  </si>
  <si>
    <t>14-Feb: Decision made to stand-down MSFT development team until key inbound dependancy dates are known (i.e. design of sharepoint components).  Risk can be closed.
07-Feb:  EY Phase 1 PM has documented all areas that need updating in the SoW (namely testing approach, environment provisioning, timelines, location of resources and roles and responsibililities)
18-Jan: Agreement reached with MS to document areas in the contract that need clarifying which will be discussed later in Jan'12
10-Jan: updated, filling in new columns. Added a req res date of 31-Jan.
30/08 - Engaged with MS to better understand their approach/timelines, etc.
18/05 - Deferred. Lower priority.
11/05 - Will clear this up one MS gets in and can answer our questions.
22/05 - Following a series of calls the MS delivery method for App Transformation and Data Migration is now known and understood.</t>
  </si>
  <si>
    <t>14-Feb: Decision made to stand-down MSFT development team until key inbound dependancy dates are known (i.e. design of sharepoint components).  Issue can be closed.
8-Feb: Neil would like this item inc in mng pack. SOW needs to be ironed out.
25-Jan: Neil opened. Nicola is working with Microsoft to mitigate. Msft is struggling to start by 6-Feb, as well. Review in 2 weeks.</t>
  </si>
  <si>
    <r>
      <t>15 Feb - Revised overall Change plans taking shape, and following the same process as other plans. Baselines are mandated for the end of the month (Feb) Therefore this issue is resolved.
01-Feb: Sophie to complete business change plan by Monday 5th March.
26-Jan: Meeting scheduled with Change Management (sophie B) 1st Feb  to walk through the last Change Management plsn</t>
    </r>
    <r>
      <rPr>
        <b/>
        <sz val="9"/>
        <color theme="1"/>
        <rFont val="EYInterstate Light"/>
      </rPr>
      <t xml:space="preserve">
</t>
    </r>
    <r>
      <rPr>
        <sz val="9"/>
        <color theme="1"/>
        <rFont val="EYInterstate Light"/>
      </rPr>
      <t xml:space="preserve">25-Jan: </t>
    </r>
    <r>
      <rPr>
        <b/>
        <sz val="9"/>
        <color theme="1"/>
        <rFont val="EYInterstate Light"/>
      </rPr>
      <t xml:space="preserve"> </t>
    </r>
    <r>
      <rPr>
        <sz val="9"/>
        <color theme="1"/>
        <rFont val="EYInterstate Light"/>
      </rPr>
      <t>Activity in progress but no further updates at this time.
06-Jan:  Update from S. Jelf - I would like this issue to remain open. The issue as yet has not been resolved, so would like to suggest it remains open, until the replanning exercise has completed and the Change schedule has been updated. Next review can be set to late Jan / early Feb to take a further check point. 
09-Dec: Sophie agreed with Steve J the overall business change milestone for M&amp;C will be reviewed late January/early February. No more action required. Action closed
06-Dec: Raised by S. Jelf Change Management plan has not been updated since Sept. Overall Change Management plan needs to be updated to reflect the current thinking / structure of the program and revised timelines. From this, other higher level plan (30 day confidence based plan) etc can the be derived. Meeting requested for w.,c 5th Dec to review and agree date when plan can reflect the current status</t>
    </r>
  </si>
  <si>
    <t xml:space="preserve">15-Feb: Decision made to stand-down Msft development team until key inbound dependency dates are known (i.e. design of SP components). This has been communicated, agreed. </t>
  </si>
  <si>
    <t xml:space="preserve">15-Feb: Guy said they are currently recruiting; work in hand. Due date and review 3 wks. 
11-Jan: Per Al, this was R1, it is an issue. Opened here. On call, added Guy as the item's owner. Priority = Critical. Review beginning of Feb; due date TBD after conversations at end of Jan. </t>
  </si>
  <si>
    <t>There are a number of workshops that need to run in parallel. Due to a limited number of leads per stream, these sessions need to run in series. 
Impact: delivery schedule and budget.</t>
  </si>
  <si>
    <t xml:space="preserve">The team has to live with this issue; if bring in new leads, schedule and budget will still be impacted due to the time it would take to bring them up to speed. There will have to be some type of CR against the schedule and budget at the appropriate time. </t>
  </si>
  <si>
    <t>15-Feb: added impact ratings and planned resolution. Per discussion on call, there is nothing really that can be done about this issue, but it does exist. Review in 3 months, potentially due in four, but this will probably be ongoing.
24-Jan: Laura added to log per Al.</t>
  </si>
  <si>
    <t>Lack of a decision-governing body within the programme. 
Impact: This introducing additional work and noise to the programme that would otherwise by managed externally is causing confusion and churn on the programme.</t>
  </si>
  <si>
    <t xml:space="preserve">Develop a decision-making plan to reduce this churn. </t>
  </si>
  <si>
    <t>15-Feb: Guy, Alan, John and others are working on a decision-making plan to reduce the churn on the program. Hoping to put together a group that would be available on a weekly basis to review decisions, impact if don't get decision, etc. Will continue to work offline, review 1st or 2nd week of March, potentially due thereafter. 
25-Jan: Laura added per Al.</t>
  </si>
  <si>
    <t>Previous planning cycles for TF Exchange / SP and Lync  had a working assumption (for Infr build out) which is no longer accurate and therefore plan schedules are no longer accurate.  This is hampering attempts at getting stream-lined cohesive plans in place in time for check points occurring weekly through February, leading up to the FSG 28/29th Feb</t>
  </si>
  <si>
    <t xml:space="preserve">15-Feb: This is no longer an issue; in light of O365 decision. Paul provided update that there are no Outlook configuration requirements until April, and UC has adjusted their plans. The Lync requirements are complete, too. At the requirements level, all complete. Close.
04-Jan: On call, Al said that this is now an issue. Closed as risk (79B) and moved here. He said the next review date will be mid-Feb. </t>
  </si>
  <si>
    <t>This is no longer an issue; in light of O365 decision. Paul provided update that there are no Outlook configuration requirements until April, and UC has adjusted their plans. The Lync requirements are complete, too. At the requirements level, all complete. Close.</t>
  </si>
  <si>
    <t>15-Feb: Nothing can be done about this issue. It is an issue, but the only option is to accept it. Therefore, close here, as there is no point reviewing it. 
11-Jan: changed ownership from Mark to Adrian (Mark not on this call). Looking to round off needs for all environments. Review 2 weeks. 
04-Jan: Michelle said there is a risk open that is related to this. She will close that risk and include it in this issue.
19/12/11 - Owner = Norm; team reqd Norm and Gerd be invited on the calls.
14/12 - Environment will be ready next week, but interim platform not close to what we need. 
07/12 - Working with Al and Mark to see what we can do. There are meetings over the next 24 hours. Review next week.
06/12 - Updated to be assigned to Guy.
22/11 - Issue opened.</t>
  </si>
  <si>
    <t xml:space="preserve">15-Feb: There is no resolution plan for this issue as nothing can be done about it. The only option is to accept it. Therefore, the team agreed to close this item in the log. Replanning is in progress at present, so this will be reflected accordingly. </t>
  </si>
  <si>
    <t>15-Feb: The team has received confirmation that there are no pilots required now ahead of service requirements (Outlook and Lync). Close!
25-Jan: Raised on call. Laura added; following up with Al for assistance clarifying the details.</t>
  </si>
  <si>
    <t>15-Feb: Confirmation that there are no pilots required ahead of service requirements (Lync and Outlook).</t>
  </si>
  <si>
    <t>15-Feb: Release 2 of GOOD due out June/July timeframe; we won't know until then whether it will work on cloud. Review in May; due date when it will cross the critical path - June 2012. (Note: due date updated - was 1-Dec-2011, but in light of cloud decision was no longer appropriate). 
31/01 - O365 does not support GOOD. Unless we get EWS for GOOD we will not be able to support Exchange Users on O365.
19/10 - Juan and Adrian watching this closely. Move to Medium and review early December.
03/10 - Met with Good, and they are committed to EWS however it will not be fully supported until May 2012. RIM will not support until end of 2012. Created action here to put a plan in place to validate impact (engineering testing to determine our tolerance). 
14/09 - Move to priority = high; this was only critical when BPOS was being considered. If vendor hosts Good/BB or if it remains on-premise, it's not really an issue. Meeting with Good scheduled for this Friday; review next week. (Brett added that the pricing may still remain an issue.)
07/09 - Call with Good is being scheduled for next week. Peter and Juan will attend.
31/08 - Juan still persuing / meeting with Good. Review after this meeting.
24/08 - See above; Adrian will discuss with Juan potential impacts of solutions.
17/08 - Same as I18 - working towards this with RFP (Adrian).
10/08 - no udpate.
27/07 - opened issue.</t>
  </si>
  <si>
    <t>15-Feb: This is a duplicate of Guy's issue, Issue 95. Team on call suggested close this item and keep the other open. 
24-Jan: Laura added to log per Al.</t>
  </si>
  <si>
    <t>Duplicate of I95; closed.</t>
  </si>
  <si>
    <t>15-Feb-2012: Martin confirmed have testers in Copenhagen. Close.
8-Feb-12 - Martin Kremmer has suggested using Denmark Advisory and TAS as BU testing audience.  Martin will validate with BU in Denmark and will report back in 48 hours from 8 Feb.
Requirement that the SCCM team clear backloged reporting queue of reporting in the SCCM environment</t>
  </si>
  <si>
    <t xml:space="preserve">Martin Kremmer confirmed there are testers in Copenhagen that we will use. Close. </t>
  </si>
  <si>
    <t>15-Feb: It has been decided that we will not be ordering hardware since we are going the vendor route for Lync. Close.
8-Feb: Opened from R38. Currently looking at which services to be offered, which to put in the cloud. This is impacting hardware order dates. Looking at how else it is impacting the program.</t>
  </si>
  <si>
    <t>15-Feb: Not ordering hardware since going the vendor route. Close.</t>
  </si>
  <si>
    <t xml:space="preserve">15-Feb: Did the RFP for Exchange, and this is not an issue. Close. 
8-Feb: Opened from R38. Currently looking at which services to offer. </t>
  </si>
  <si>
    <t>15-Feb: Did RFP activity for Exchange; this is not an issue. Close.</t>
  </si>
  <si>
    <t>15-Feb: Al said they are reviewing this weekly with the engineering team to determine areas with Low, Medium and High bandwidth. Review mid-March. 
8-Feb: opened from R9. This risk was outdated as the cloud decision has been made.</t>
  </si>
  <si>
    <t xml:space="preserve">08-Feb: Paul and James suggested this can be closed since the subsequent Riverbed risk has been opened (R92). Al and those on the 15-Feb RAID call agreed; close here. 
06/07 - move to Low since BPOS is off the table.
22/06 - review in 2 weeks.
01/06 - discussed with John, no issue.  If plan is received this Friday, should be able to decrease impact level.
25/05 - weekly meeting with Brendan's group. They have ongoing transformation program for GWAN optimization. If don't go BPOS, would want to jump on as soon as possible. John brought up a dependency concern with regards to DCC. To be discussed further off-line. (John)
18/05 - PM designated: Steven Bates Meeting earlier this week, high level expectation still 6 mos to deliver. In next two weeks will look at feasibility of 6 mos. Action: Work with Steve to get the dependencies/requirements for the high-level program pertaining to GWAN decision.
1/05 - Brendan not on call; dependent on BPOS. This (compared to R9) is BPOS-related network concern as opposed to more general, internal network stuff.
27/04 - Brendan to provide update tomorrow. He has provided a high-level plan.
</t>
  </si>
  <si>
    <t xml:space="preserve">This is duplicate of newer items around Riverbed/bandwidth (R92). Close here. </t>
  </si>
  <si>
    <t>SAML will  not be needed for SP O365 and no workarounds are needed.  The OOB solution will meet the needs.</t>
  </si>
  <si>
    <t>D190</t>
  </si>
  <si>
    <t>D191</t>
  </si>
  <si>
    <t>D192</t>
  </si>
  <si>
    <t>D193</t>
  </si>
  <si>
    <t>D194</t>
  </si>
  <si>
    <t>D195</t>
  </si>
  <si>
    <t>D196</t>
  </si>
  <si>
    <t>D197</t>
  </si>
  <si>
    <t>D198</t>
  </si>
  <si>
    <t>D199</t>
  </si>
  <si>
    <t>Revalidated in light of cloud decision</t>
  </si>
  <si>
    <t>Decisions 1-186 to be revalidated in light of the cloud decision. Include date in column K; decisions after 18-Jan should already take into account the cloud decision.</t>
  </si>
  <si>
    <t>Wk 31-Oct</t>
  </si>
  <si>
    <t>Critical Assumptions</t>
  </si>
  <si>
    <t>Critical Risks</t>
  </si>
  <si>
    <t>Assumptions (Total)</t>
  </si>
  <si>
    <t>Issues (Total)</t>
  </si>
  <si>
    <t>Risks (Total)</t>
  </si>
  <si>
    <t>R102B</t>
  </si>
  <si>
    <t>R102A</t>
  </si>
  <si>
    <t>We don't have confirmation of which countries are going on-prem. 
As part of DCC and Q&amp;RM review it has been decided that data from countries other than the US should not be migrated to the Secaucus data centre. Secaucus Data Centre will be used to host (a) Global Applications (e.g. GFIS) (b) any applications, global or otherwise, containing US client work papers. If a BIA highlights that DR is necessary for any of these applications, the DR site will be Dallas (i.e. relevant data will remain within the US). Toronto data room will be used to host any data originating from Canada and MECASA and Buenos Aires data room will be used to host any data originating from SASA. To host data that could originate from outside of the US into the Secaucus data centre (for example, when moving application data into a new or existing Global Application hosted in Secaucus) would be dependent on the full agreement from Q&amp;RM and GCO.
M&amp;C Program will need to enter into discussions with Q&amp;RM and GCO for all data that is not explicitly US in order for the solution to be hosted in Secaucus. If not hosted in Secaucus it is not clear that service continuity or operational capabilities are in place in either Toronto or Buenos Aires to provide the level of service that would be expected from Secaucus causing significant potential timing and cost impact.</t>
  </si>
  <si>
    <t>James Harrup-Brook (Lync) / Paul Neave (Exchange)</t>
  </si>
  <si>
    <t>Kenny Phipps (Lead PM for GCL5)</t>
  </si>
  <si>
    <t>O365 Feb 12 team</t>
  </si>
  <si>
    <t>Decided in the O365 session w/o 12-Feb in Cleveland.</t>
  </si>
  <si>
    <t>Subscribe and Deliver is an On-Premises solution.</t>
  </si>
  <si>
    <t>External Facing content would not be stored in Office 365 due to cost of partner licenses.  Office 365 partner access to be used only for non client partners (working with a specific vendor for collaboration).</t>
  </si>
  <si>
    <t>Delivery Engine is an On Premise solution due to FAST integration and that it will be architected as either a Windows Service or a SharePoint Service Application, neither of which is supported in Office 365 dedicated.</t>
  </si>
  <si>
    <t>Amount of customization will be high for front end components and would have to be duplicated between the cloud and on premises. Since limited code can be implement on a bi-weekly basis will take considerable time to implement all Subscribe and Deliver customizations to the cloud.</t>
  </si>
  <si>
    <t>Since the data is EY Sensitive it could live in the Extranet and secured similarly to EY Delivers (would have to confirm the data classification with the businiess).  Content would not have to be moved between On Premises Intranet and Extranet if all data was in the Extranet</t>
  </si>
  <si>
    <t>D200</t>
  </si>
  <si>
    <t>D201</t>
  </si>
  <si>
    <t>D202</t>
  </si>
  <si>
    <t>D203</t>
  </si>
  <si>
    <t>D204</t>
  </si>
  <si>
    <t>D205</t>
  </si>
  <si>
    <t>Create this detailed breakdown once receive detailed plan from Msft.</t>
  </si>
  <si>
    <t>All A&amp;DM risks fully updated.</t>
  </si>
  <si>
    <t>Alan Guthrie/Bob Reiner</t>
  </si>
  <si>
    <t>All unvalidated Tech Foundation assumptions are fully updated. No items to be revalidated.</t>
  </si>
  <si>
    <t>All unvalidated A&amp;DM assumptions are fully updated. No items to be revalidated.</t>
  </si>
  <si>
    <t xml:space="preserve">20-Feb JC - My assumption is cloud but we need to finish the negotiations with the vendor.
9-Feb James H.-All project planning, visibility of risks and issues and further decisions are dependent on this decision. </t>
  </si>
  <si>
    <t>02.20.01</t>
  </si>
  <si>
    <t xml:space="preserve">D83: John Costello confirmed D83 that there will be a 5GB mail file limit; he said there is a question about partners getting 25GB and requested Al send himself (John) and Siggi the cost for this vs the 5 GB. </t>
  </si>
  <si>
    <t>Updated.</t>
  </si>
  <si>
    <t>21-Feb: This is outstanding; Michelle confirmed can close.</t>
  </si>
  <si>
    <t>Devide strategy is confused and lack of confidence that timelines are going to be met.
21-Feb: Al confirmed this can be closed.</t>
  </si>
  <si>
    <t>Business Change &amp; Deployment - Sophie Boiron &amp; Martin Kremmer (Rewa and Martin)</t>
  </si>
  <si>
    <t>There is a limited understand within the Delivery team of how the coexistence of BES/GOOD will work on cloud and on-premise.
Clarification for TF of the SharePoint service offering in the cloud vs. what is required on-premise.
21-Feb: Al confirmed that this action has been covered as part of the risks/issues (I19)</t>
  </si>
  <si>
    <t>GNP - Brendan Millard (Steve Yeomans)</t>
  </si>
  <si>
    <t xml:space="preserve">It is not yet confirmed how three-way look up will work across O365, Exchange On-Premise and Lotus Notes. </t>
  </si>
  <si>
    <t>Unknown</t>
  </si>
  <si>
    <t>Work with MSFT to determine approach to three-way look up</t>
  </si>
  <si>
    <t>If three-way look up is not possible, there will be significant end user impacts that will need to be communicated and managed</t>
  </si>
  <si>
    <t>We took action without knowing the People Strategy.  We took requirements and design solutions.</t>
  </si>
  <si>
    <t xml:space="preserve">Decisions/directions could be set that would change or alter approaches and strategy that could affect Fusion.  </t>
  </si>
  <si>
    <t>Unclear responsibilities</t>
  </si>
  <si>
    <t>Synchronization between cloud and on-prem is not currently confirmed</t>
  </si>
  <si>
    <t>We will do a POC to determine solution options.  We will put this on the Roadmap for the cloud to turn on managed metadata services.</t>
  </si>
  <si>
    <t>FALSE</t>
  </si>
  <si>
    <t>We may not be able to use a vendor for Managed Metadata as they are not approved in the cloud.</t>
  </si>
  <si>
    <t>Plan to be defined.</t>
  </si>
  <si>
    <t>Gregory Van Valkenburgh</t>
  </si>
  <si>
    <t>People Profile synchronization between the cloud and on-prem needs to be assessed</t>
  </si>
  <si>
    <t>Currently analyzing the implication of building separate solutions</t>
  </si>
  <si>
    <t>Newsgator / Nuedesic (not approved in the cloud) decision is taking longer then expected.</t>
  </si>
  <si>
    <t>We need firm decisions on Time, Budget and Scope in order to finalize the Re-Plan</t>
  </si>
  <si>
    <t>Lack of clarity on coexistence challenges as a result of O365</t>
  </si>
  <si>
    <t>20th Feb</t>
  </si>
  <si>
    <t xml:space="preserve">20th Feb - Confirmation obtained that process is fit for purpose, however a separate process is required "Sensitive" databases plus databases that are hosted in "red box" (where data cannot be moved outside of country borders) countries. 
31st Jan - Q&amp;RM have tentatively accepted recommendation, Awaiting formal confirmation from S. Chakerian. 
 "23rd Jan
Single frame risk profile received from ADM work stream.
(NS / MS) Work stream to confirm what out of scope for this process (Partners servers / applications, Legal counsel data / applications etc) and what the suggested process will be for these applications. 
SC - Process needs to be validated / with Infosec / and certain Q&amp;RM members.(which SC will complete). </t>
  </si>
  <si>
    <t>Agreement to cancel the weekly Functional Stakeholder call and reschedule for every other week.</t>
  </si>
  <si>
    <t>List of languages supported are as follows, from a note from Laura</t>
  </si>
  <si>
    <t>IAM (Sirisha)</t>
  </si>
  <si>
    <t>Testing environments inc the coordination activities are yet to be agreed/defined. This may impact our ability to get from EYDEV to EYQA</t>
  </si>
  <si>
    <t xml:space="preserve">ID Sync – Off Prem Lync and New Exchange Mail accounts 
cannot be tested in the EY environments, and thus  the risk is  we need M&amp;C to provide a strategy to test this capability prior to going live (with the Off Prem capability).
</t>
  </si>
  <si>
    <t>R107</t>
  </si>
  <si>
    <t>R108</t>
  </si>
  <si>
    <t>R109</t>
  </si>
  <si>
    <t>R110</t>
  </si>
  <si>
    <t>R111</t>
  </si>
  <si>
    <t>R112</t>
  </si>
  <si>
    <t>R113</t>
  </si>
  <si>
    <t>R114</t>
  </si>
  <si>
    <t>R115</t>
  </si>
  <si>
    <t>R116</t>
  </si>
  <si>
    <t>current</t>
  </si>
  <si>
    <t>MSFT team stood down</t>
  </si>
  <si>
    <t>Decision made to offboard all ITA and IBM resources and two contractors from the A&amp;DM Program leaving only a skeleton Phase 1 and Rediscovery team in place (no overall leads).  As a consequence all delivery plans have slipped - impact to the business:
 - First application replatforms won't now be delivered until Q2'13 (was Q4'12)
 - Application decommissions won't now commence until Q4'12 (was Q2'12) therefore delaying financial incentives
 - The delivery factories won't now come onboard until early 2013 (was Jul'12) therefore extending the end-date of the overall program</t>
  </si>
  <si>
    <t>Agree priority of the A&amp;DM Program relative to other initiatives to determine when and how to resource the team to enable delivery to recommence at scale</t>
  </si>
  <si>
    <t>22-Feb: Brett and Michelle agreed on the call that the growing number of multiple instances is an issue.
5/10 - assessment will continue throughout the program
21/09 - assessment will continue throughout the program.</t>
  </si>
  <si>
    <t>Recreating the current "siloed" approach to knowledge tools, rather than creating an integrated solution that can be leveraged firm-wide.  With GSS and EYD starting SharePoint initiatives, we now have a growing number of separate solutions.</t>
  </si>
  <si>
    <t>I121</t>
  </si>
  <si>
    <t>I122</t>
  </si>
  <si>
    <t>I123</t>
  </si>
  <si>
    <t>I124</t>
  </si>
  <si>
    <t>I125</t>
  </si>
  <si>
    <t>I126</t>
  </si>
  <si>
    <t>I127</t>
  </si>
  <si>
    <t>I128</t>
  </si>
  <si>
    <t>I129</t>
  </si>
  <si>
    <t>I130</t>
  </si>
  <si>
    <t>Guy Morgan / Alan Guthrie</t>
  </si>
  <si>
    <t>Former mitigation plan (from R18): Strong cross-service line/stakeholder governance model
Involving stakeholders in early strategy and feasibility sessions to encourage thinking ahead.
Working with vendors and researching best practices to understand the art of the possible
Starting with defined business requirements to understand WHAT functionality must be included before discussing how</t>
  </si>
  <si>
    <t>22-Feb: Now an issue, I121.</t>
  </si>
  <si>
    <t>Due to the lack of a new vision and inability to change, recreating the current "siloed" approach to knowledge tools, rather than creating an integrated solution that can be leveraged firm-wide.  With GSS and EYD starting SharePoint initiatives, we now have a growing number of separate solutions.
Additional cost of point solutions will may with SP.</t>
  </si>
  <si>
    <t>22-Feb: continue to monitor; next review date 3-4 weeks. 
31-Jan: Reassess as workstream leaders are assigned.</t>
  </si>
  <si>
    <t>input: A72</t>
  </si>
  <si>
    <t>Input/Output Refernce</t>
  </si>
  <si>
    <t>input: A75</t>
  </si>
  <si>
    <t>02.22.01</t>
  </si>
  <si>
    <t>R97: Rewa to reword the risk description to reflect the conversation with Brett on the call around the crux of the matter: EY needs to review the assumptions made around migration in light of the O365 changes.</t>
  </si>
  <si>
    <t>Add'l info in Comments column of risk tab</t>
  </si>
  <si>
    <t>22-Feb: discussion scheduled for FSG meeting 28-29 Feb. Review thereafter.
25-Jan: Michelle said this is sort of on-going; they are taking it up in planning at present. Review mid-Feb; hope to have a Req. Res. Date by end of Feb.
18-Jan: Opened this item; FAST, EYD and MC are all tracking this item in their logs. This was discovered by the SP &amp; EM DA.</t>
  </si>
  <si>
    <t>Complete replan and sign-off</t>
  </si>
  <si>
    <t>22-Feb: leave open until plan is signed off; should be in two weeks (due and review).
7-Feb: Meetings scheduled next week to discuss O365 implications for the workstreams.
25-Jan: Re-planning effort currently underway, targeted for 2-20 release
17-Jan: Have started \re-planning effort
11 - Jan Opened item. Next week starting to plan the approach to re-planning. 2 weeks to review; once approach determined will close.</t>
  </si>
  <si>
    <t>The EY implementation of O365 development standards don't exist for cloud based solutions.  This covers integration, interaction, UX etc.  Work will begin on Phase 1 Feb 6th and there is a risk that re-work will be required to conform with the standards that are under development.</t>
  </si>
  <si>
    <t>22-Feb: Michelle wrote a note to Alan, no response as of yet, and had a discussion with Guy. Need Guy and Alan's help with this right away.</t>
  </si>
  <si>
    <t>Guy / Alan</t>
  </si>
  <si>
    <t>22-Feb: on RAID call discussed I110, hoping to get more info at FSG meeting next week.</t>
  </si>
  <si>
    <t>Alan / Guy</t>
  </si>
  <si>
    <t>Targeting final decision by 15-March</t>
  </si>
  <si>
    <t>James Harrup-Brook</t>
  </si>
  <si>
    <t>Submitting a plan based on 'sample' plan provided by vendor during the RFP process, plans based on high level assumptions and without detailed discovery</t>
  </si>
  <si>
    <t>J Harrup-Brook / Steve Jelf</t>
  </si>
  <si>
    <t>Commutate this fact to PMO, revise plan when discovery completed</t>
  </si>
  <si>
    <t>Infra. Strategy not confirmed, affects all assumed EY tasks and Functional Spec as these were based on assumptions that infra. Would be on prem</t>
  </si>
  <si>
    <t>Deep dive with all on all EY tasks, revisit assumptions, communicated with vendors if allowed</t>
  </si>
  <si>
    <t>Allows for scope creep until these docs are agreed, which in turn delays the project.</t>
  </si>
  <si>
    <t>There is currently NO Environment Manager managing the Coordination of Activities within EYDEV, EYQA, EYUA.</t>
  </si>
  <si>
    <t>Multiple streams could be attempting to Test during the same time.</t>
  </si>
  <si>
    <t>No Off Prem Test Environment, this ID Sync cannot test (currently) the Off Prem Solution prior to going live.</t>
  </si>
  <si>
    <t>May not be able to Mail Enable New Exchange Accounts of New Lync Accounts</t>
  </si>
  <si>
    <t>Confirm ation that this solution cannot be Tested Off Prem, prior to Production rollout.</t>
  </si>
  <si>
    <t>We are unable to estimate when deployment will be complete for all users, how many users will be migrated in each wave, nor what support volumes the Operations team will need to support during migration and over what timescale</t>
  </si>
  <si>
    <t>Work with MSFT to determine approach to migration and work with Business Deployment, Change Management, Transition Management and Operations to develop Impact assessment and revalidation approach for current migration assumptions</t>
  </si>
  <si>
    <t>Each individual's Sametime groups will not be moved as part of the Lync go live</t>
  </si>
  <si>
    <t>Confirmed as revalidated by Ian Bourne, 27-Feb.</t>
  </si>
  <si>
    <t>Produce a Vision and Scope document for each workstream: A&amp;DM, Change, SharePoint, Tech Foundation and Unified Comms.</t>
  </si>
  <si>
    <t>27-Feb: Ian said we agreed each stream should have a scope doc (including Tech Foundation, Change, and A&amp;DM). Laura sent note to leads about the modification to previous decision. Decision edited from: "Only produce a Vision and Scope document for Fusion and Unified Comms workstreams."</t>
  </si>
  <si>
    <t>workstream leads</t>
  </si>
  <si>
    <t xml:space="preserve">Each workstream, in conjunction with the PMO, will validate hours and expenses; process to be communicated in the very near future. </t>
  </si>
  <si>
    <t>Only active data will need to be converted
27-Feb-2012: obsolete. Laura and Ian reviewed; new process in place. Opened D192 to represent the new process, which will be confirmed in the very near future.</t>
  </si>
  <si>
    <t xml:space="preserve">07-Oct-2011: BvG:Note that "community data" could include Quickr as well as a range of Lotus Connections data
27-Feb-2012: Obsolete. New process in place; opened D193 to represent the new decision around the Change Control process. </t>
  </si>
  <si>
    <t xml:space="preserve">All Changes will now be managed through the defined and agreed Change Control process. The process document may be found here. </t>
  </si>
  <si>
    <t xml:space="preserve">27-Feb: This item was opened as a result of D14 being marked obsolete (described an outdated change control process). </t>
  </si>
  <si>
    <t>07-Oct-2011: BvG:Duplicate of #19 above 
23-Feb LM: cant find D19 that applies to PM tool 
27-Feb-2012: Revalidated by Ian Bourne.</t>
  </si>
  <si>
    <t xml:space="preserve">27-Feb-2012: This item is no longer accurate, marked obsolete (per Ian Bourne). The vision has been altered as a result of the O365 decision and replanning is underway. </t>
  </si>
  <si>
    <t xml:space="preserve">Face to face meetings for Functional Stakeholder Group will be scheduled and managed on an on-going basis. </t>
  </si>
  <si>
    <t>27-Feb-2012: Laura and Ian adjusted item from, "Next face to face meeting for functional stakeholders: 15-16 Nov LONDON. Jan (US TBD)"</t>
  </si>
  <si>
    <t>27-Feb-2012: confirmed as revalidated by Ian Bourne.</t>
  </si>
  <si>
    <t>27-Feb-2012: Ian Bourne confirmed; added PMO to the list as it too has its own charge code.</t>
  </si>
  <si>
    <t>Each workstream (SharePoint, Technical Foundation, Application &amp; Data Migration, Unified Communications, Change Management, PMO) will have its own charge code</t>
  </si>
  <si>
    <t>Ian Bourne / Laura Murphy</t>
  </si>
  <si>
    <t xml:space="preserve">We will have one RAID for the entire Program … </t>
  </si>
  <si>
    <r>
      <rPr>
        <b/>
        <sz val="9"/>
        <color theme="1"/>
        <rFont val="EYInterstate Light"/>
      </rPr>
      <t xml:space="preserve">"Ethical Walls" aka "ring fencing" </t>
    </r>
    <r>
      <rPr>
        <sz val="9"/>
        <color theme="1"/>
        <rFont val="EYInterstate Light"/>
      </rPr>
      <t xml:space="preserve">
QRM to confirm if  "Ethical Walls" or "ring fencing" currently exists. (enabling virtual or physical separation of data between certain parts of the business)
For example, should EY professionals working on both sides of a deal be separated logically from an IT point of view?</t>
    </r>
  </si>
  <si>
    <t>In progress</t>
  </si>
  <si>
    <t xml:space="preserve">27-Feb-2012: Laura em'd Chris for clarification. As there is no context with this item, Chris does not recall to what is refers. Requested it be marked obsolete. </t>
  </si>
  <si>
    <t xml:space="preserve">It is not known whether O365 and On-prem migrations will run concurrently, whether O365 users will be migrated first and On-prem second, or vice versa. A negotiation between DCC, TF Exchange, UC and Business deployment is required to agree the order of migration so that the infrastructure provision aligns to the deployment strategy. </t>
  </si>
  <si>
    <t>As long as the deployment strategy is missing, assumptions will have to be made about the order of provision for hardware. For on-prem countries this raises the risk that hardware provision is prioritised for countries who do not wish to migrate in earlier phases, or that hardware is not available early enough for countries who want to be part of the earlier migration waves</t>
  </si>
  <si>
    <t>Martin Kremmer (Deployment strategy), Paul Neave (TF Exchange)</t>
  </si>
  <si>
    <t>Assumptions pre-dating the O365 decision about migration strategy are challenged as a result of O365 and the parallel running of the DCC program</t>
  </si>
  <si>
    <t>Assumptions pre-dating the O365 decision about migration velocity are challenged for a variety of reasons (see right). Based on this, the overall migration timeline, based on 10,000 users per weekend, over broadly 17 weekends (excluding "firebreaks"), is no longer valid</t>
  </si>
  <si>
    <t>Current Transition and Business Deployment planning assumptions for the Outlook migration schedule are challenged by:
- absence of a deployment schedule - we cannot yet revalidate assumptions held to date about weekend-only migrations in order to provide MS with a deployment schedule to determine how many users can be migrated, and against what schedule (weekday, weekend, or both)
- MS migration "ramp" does not align with previous UC/TF assumptions of 10k users per weekend
- MS's past experience of other migrations point to constraints posed by support capacity on migration volumes, and it is as yet unclear what EY's ability to handle migration volumes would be
- MS has highlighted that none of their customers has ever attempted to undertake weekend-only migrations and has provided many reasons for this which challenge our initial weekend-only migration assumptions
- Questions around network bandwidth are unresolved with respect to one-off initial download of new mailboxes by newly provisioned users, and are also likely to limit the number of users that can be migrated.</t>
  </si>
  <si>
    <t>Need to undertand how internal / external collaboration with clients will work - Open with Blue print team</t>
  </si>
  <si>
    <t>Need a decision on the business team to engage with on Managing Accounts / Engaging Clients - using blueprint process</t>
  </si>
  <si>
    <t>28/02/12: RB: JT confirmed ok to close
6-Feb: Juan is waiting on a final confirmation on a few loose ends from James, and will then consider this closed.  From a DA perspective, the document has been reviewed and approved.
Although the functional spec is missing some pieces that we should have been able to add via the CR process (for example, Alcatel integration and details for Enterprise video), that has proved challenging.
18/01/12 - Lync Functional specification now delivered by Microsoft, under review by UC DA members. Lync configuration requirements due to complete end January 2012
11/11 - R Bouji - BA now assigned to develop Lync functional configuration requirements, working to a deadline of mid-December. Need for functional specification not raised to R Bouji prior to risk being logged. RB to seek clarification from Lync TF team.
1/11 - MCS - The Lync-Planning meeting agendas included information about data needed to develop the functional specification document. This was provided to EY on or about 10/3; As of 11/01, this data has not been sent to Microsoft.</t>
  </si>
  <si>
    <t>JT: The functional spec has been approved by the project team and UC Design Authority.  Although there are some small gaps that might be addressed in the form of a CR, the team was fairly satisfied with the deliverable so I think this one can be closed.</t>
  </si>
  <si>
    <t>FPG</t>
  </si>
  <si>
    <t>If multiple templates (My Sites) are chosen for each Service Line it is not a concern for the technical team</t>
  </si>
  <si>
    <t xml:space="preserve">The solutions for SP need to be designed to work on multiple devices </t>
  </si>
  <si>
    <t>Not a clear understanding of how the process currently being used on Blueprint integrates with standard IT methodology. Not a clear understanding of plan and dates being driven to verify that they support the infrastructure and other plans currently underway. 
May not be able to achieve cost savings and strategic alignment of the Program.</t>
  </si>
  <si>
    <t>29-Feb:  To be discussed during M&amp;C Transition planning mtg in Secaucus.  31-Jan: Added to list of decisions needed by the new Target Operate Model
17-Jan: Issue updated.
04-Jan: Reviewed this as Assumption#33 - Michelle said it is now an issue; opened an action for Michelle to populate the remaining data related to this item.</t>
  </si>
  <si>
    <t>29-Feb:  To be discussed at the M&amp;C Transition Planning mtg in Secaucus.  31-Jan: Added to list of decisions needed by the newTarget Operate Model
25-Jan: Mike has meeting tomorrow with Binu and Mark around infrastructure 
17-Jan: In process of integrating with operating model plan.
11-Jan: no owner of Tier 4 long term activities. Mike has put in charge to run this down for Alan overall. Focused on application side of SP. Review when Mike on call next week. 
04-Jan: Michelle said this is still open due to external influences. The team said it should be assigned to Mike Laci instead of Guy. Mike not on these calls so maintained Guy's name, as well. Review next week.
19/12/11 - Guy took an action on the dec and assumptions review call to e-mail Chris d'Arcy, copying Alan and John. (LM emd reminder)
12/12 - Opened at the infrastructure meeting</t>
  </si>
  <si>
    <t xml:space="preserve">Nick Coburn </t>
  </si>
  <si>
    <t>Current M&amp;C replanning at project level</t>
  </si>
  <si>
    <t xml:space="preserve">There is a risk that revised project timelines may impact the timeline of TOM design. If we do this too early we may not get buy in and could potentially create rework later in the process. </t>
  </si>
  <si>
    <t>Complex deployment</t>
  </si>
  <si>
    <t>The complex deployment process for all aspects of the program may impact the design and adoption of the TOM. We will need to maintain Notes support not only for LN DBs but also for mail given the nature of the deployment and the cutover approach.</t>
  </si>
  <si>
    <t>Nick Coburn</t>
  </si>
  <si>
    <t>The deployment approach for Outlook and SharePoint could significantly increased the cost associated with both internal and external support.</t>
  </si>
  <si>
    <t>Blaine Pardoe</t>
  </si>
  <si>
    <t xml:space="preserve">The knowledge proliferation efforts required by M&amp;C are larger and more complex than for any previous technology initiative.  It requires us to do things differently to ensure people are fully prepared for the transition. </t>
  </si>
  <si>
    <t>24/02: ACTION - On next call review with B. Pardoe &amp; clarify / re-word the risk</t>
  </si>
  <si>
    <t>IT Services budgets have been exceeded for the fiscal year</t>
  </si>
  <si>
    <t xml:space="preserve">Impacts to the budget may negatively impact our work on TOM and other change activities.  </t>
  </si>
  <si>
    <t>If RFP lead time &gt; 4 months</t>
  </si>
  <si>
    <t>Defer start-dates of the Portfolio teams however this will defer the business benefits (i.e. decommissioning legacy apps)</t>
  </si>
  <si>
    <t>Christian Driver</t>
  </si>
  <si>
    <t>The A&amp;DM delivery timeline is being heavily impacted by other projects and programs (i.e. Sharepoint, DCC, GCL5...) which means that the Program is not being delivered using the best approach</t>
  </si>
  <si>
    <t>Agree priority of the A&amp;DM Program relative to other initiatives to determine approach to take</t>
  </si>
  <si>
    <r>
      <t xml:space="preserve">Validated by Alan on review call 19-Dec; agreed by team. Norm looking for sizing of this; will talk to Michelle about it. 
</t>
    </r>
    <r>
      <rPr>
        <b/>
        <sz val="9"/>
        <color theme="1"/>
        <rFont val="EYInterstate Light"/>
      </rPr>
      <t xml:space="preserve">Revalidated following O365 decision:  </t>
    </r>
    <r>
      <rPr>
        <b/>
        <sz val="9"/>
        <color rgb="FFFF0000"/>
        <rFont val="EYInterstate Light"/>
      </rPr>
      <t>(add name and date here once the item has been revalidated)</t>
    </r>
  </si>
  <si>
    <r>
      <t xml:space="preserve">Validated by Alan and Guy on 19-Dec review call. Team agreed.
</t>
    </r>
    <r>
      <rPr>
        <b/>
        <sz val="9"/>
        <color theme="1"/>
        <rFont val="EYInterstate Light"/>
      </rPr>
      <t xml:space="preserve">Revalidated following O365 decision:  </t>
    </r>
    <r>
      <rPr>
        <b/>
        <sz val="9"/>
        <color rgb="FFFF0000"/>
        <rFont val="EYInterstate Light"/>
      </rPr>
      <t>(add name and date here once the item has been revalidated)</t>
    </r>
  </si>
  <si>
    <r>
      <t xml:space="preserve">04-Jan: Michelle said this hs been validated; was from a meeting in December 2010. All docs have been updated accordingly.
</t>
    </r>
    <r>
      <rPr>
        <b/>
        <sz val="9"/>
        <color theme="1"/>
        <rFont val="EYInterstate Light"/>
      </rPr>
      <t xml:space="preserve">Revalidated following O365 decision:  </t>
    </r>
    <r>
      <rPr>
        <b/>
        <sz val="9"/>
        <color rgb="FFFF0000"/>
        <rFont val="EYInterstate Light"/>
      </rPr>
      <t>(add name and date here once the item has been revalidated)</t>
    </r>
  </si>
  <si>
    <r>
      <t xml:space="preserve">1/4/2012 - Michelle stated on call that this is true. Has been validated.
</t>
    </r>
    <r>
      <rPr>
        <b/>
        <sz val="9"/>
        <color theme="1"/>
        <rFont val="EYInterstate Light"/>
      </rPr>
      <t xml:space="preserve">Revalidated following O365 decision:  </t>
    </r>
    <r>
      <rPr>
        <b/>
        <sz val="9"/>
        <color rgb="FFFF0000"/>
        <rFont val="EYInterstate Light"/>
      </rPr>
      <t>(add name and date here once the item has been revalidated)</t>
    </r>
  </si>
  <si>
    <r>
      <t xml:space="preserve">04-Jan: Michelle confirmed that this is true. List as validated/close.
</t>
    </r>
    <r>
      <rPr>
        <b/>
        <sz val="9"/>
        <color theme="1"/>
        <rFont val="EYInterstate Light"/>
      </rPr>
      <t xml:space="preserve">Revalidated following O365 decision:  </t>
    </r>
    <r>
      <rPr>
        <b/>
        <sz val="9"/>
        <color rgb="FFFF0000"/>
        <rFont val="EYInterstate Light"/>
      </rPr>
      <t>(add name and date here once the item has been revalidated)</t>
    </r>
  </si>
  <si>
    <r>
      <t xml:space="preserve">04-Jan: Michelle said this is true and has been validated. Plans have been updated accordingly.
07-Oct-2011: BvG: Development of standards etc. under the direction of Enterprise Architecture
</t>
    </r>
    <r>
      <rPr>
        <b/>
        <sz val="9"/>
        <color theme="1"/>
        <rFont val="EYInterstate Light"/>
      </rPr>
      <t xml:space="preserve">Revalidated following O365 decision:  </t>
    </r>
    <r>
      <rPr>
        <b/>
        <sz val="9"/>
        <color rgb="FFFF0000"/>
        <rFont val="EYInterstate Light"/>
      </rPr>
      <t>(add name and date here once the item has been revalidated)</t>
    </r>
  </si>
  <si>
    <r>
      <t xml:space="preserve">04-Jan: Michelle said this is true and had been validated. Plans have been updated accordingly.
</t>
    </r>
    <r>
      <rPr>
        <b/>
        <sz val="9"/>
        <color theme="1"/>
        <rFont val="EYInterstate Light"/>
      </rPr>
      <t xml:space="preserve">Revalidated following O365 decision:  </t>
    </r>
    <r>
      <rPr>
        <b/>
        <sz val="9"/>
        <color rgb="FFFF0000"/>
        <rFont val="EYInterstate Light"/>
      </rPr>
      <t>(add name and date here once the item has been revalidated)</t>
    </r>
  </si>
  <si>
    <r>
      <t xml:space="preserve">04-Jan: Adrian confirmed this has been validated, for all countries including Japan.
</t>
    </r>
    <r>
      <rPr>
        <b/>
        <sz val="9"/>
        <color theme="1"/>
        <rFont val="EYInterstate Light"/>
      </rPr>
      <t xml:space="preserve">Revalidated following O365 decision:  </t>
    </r>
    <r>
      <rPr>
        <b/>
        <sz val="9"/>
        <color rgb="FFFF0000"/>
        <rFont val="EYInterstate Light"/>
      </rPr>
      <t>James Harrup-Brook, 28/02/12</t>
    </r>
  </si>
  <si>
    <r>
      <t xml:space="preserve">04-Jan: Al and Adrian confirmed that this has been validated.
</t>
    </r>
    <r>
      <rPr>
        <b/>
        <sz val="9"/>
        <color theme="1"/>
        <rFont val="EYInterstate Light"/>
      </rPr>
      <t xml:space="preserve">Revalidated following O365 decision:  </t>
    </r>
    <r>
      <rPr>
        <b/>
        <sz val="9"/>
        <color rgb="FFFF0000"/>
        <rFont val="EYInterstate Light"/>
      </rPr>
      <t>Paul Neave, 27/02/12</t>
    </r>
  </si>
  <si>
    <r>
      <t xml:space="preserve">21/02/12: RB: All plug in candidates will be subject to UC impact assessment process and taken to Lync &amp; Outlook decision-making body to determine whether they will be Day 1 integrations. UC will not deliver the integration but will manage dependencies of individual projects set up to deliver the plugins if approved for Day 1 integration. This approach has been agreed by program lead and therefore assumption is now obsolete
04-Jan: Al and Adrian confirmed that this has been validated.
04-Oct-11: Added by R Bouji
</t>
    </r>
    <r>
      <rPr>
        <b/>
        <sz val="9"/>
        <color theme="1"/>
        <rFont val="EYInterstate Light"/>
      </rPr>
      <t xml:space="preserve">Revalidated following O365 decision:  </t>
    </r>
    <r>
      <rPr>
        <b/>
        <sz val="9"/>
        <color rgb="FFFF0000"/>
        <rFont val="EYInterstate Light"/>
      </rPr>
      <t>(add name and date here once the item has been revalidated)</t>
    </r>
  </si>
  <si>
    <r>
      <t xml:space="preserve">Users will be able to operate Lync and Sametime simultaneously, (ie the two applications can co-exist on the users' desktop without adverse impact on performance of either application) however Lync users cannot communicate with users on Sametime, nor can Sametime users communicate with users on Lync. There is co-existence between the two applications, but </t>
    </r>
    <r>
      <rPr>
        <b/>
        <sz val="9"/>
        <color theme="1"/>
        <rFont val="EYInterstate Light"/>
      </rPr>
      <t>no interoperability</t>
    </r>
    <r>
      <rPr>
        <sz val="9"/>
        <color theme="1"/>
        <rFont val="EYInterstate Light"/>
      </rPr>
      <t>. Once all users have had Lync activated on their desktops and are "live", Sametime will be globally disabled</t>
    </r>
  </si>
  <si>
    <r>
      <t xml:space="preserve">04-jan: Adrian confirmed that this is valid. 
01-Nov-11: Added by R Bouji. A Mickleson confirmed to UC &amp; TF leads that UC must migrate users before GCL5 can be rolled out to those users
</t>
    </r>
    <r>
      <rPr>
        <b/>
        <sz val="9"/>
        <color theme="1"/>
        <rFont val="EYInterstate Light"/>
      </rPr>
      <t xml:space="preserve">Revalidated following O365 decision:  </t>
    </r>
    <r>
      <rPr>
        <b/>
        <sz val="9"/>
        <color rgb="FFFF0000"/>
        <rFont val="EYInterstate Light"/>
      </rPr>
      <t>(add name and date here once the item has been revalidated)</t>
    </r>
  </si>
  <si>
    <r>
      <t xml:space="preserve">21/02/12: RB: Awaiting response from Paul Neave on revalidation
04-Jan: Adrian confirmed that this is valid.
</t>
    </r>
    <r>
      <rPr>
        <b/>
        <sz val="9"/>
        <color theme="1"/>
        <rFont val="EYInterstate Light"/>
      </rPr>
      <t xml:space="preserve">Revalidated following O365 decision:  </t>
    </r>
    <r>
      <rPr>
        <b/>
        <sz val="9"/>
        <color rgb="FFFF0000"/>
        <rFont val="EYInterstate Light"/>
      </rPr>
      <t>Paul Neave, 221/02/12</t>
    </r>
  </si>
  <si>
    <t>21/02/12: RB: Output to R97
14/02/12: RB: Needs to be confirmed with MSFT what the maximum number of migrations can be per window for O365, and to confirm with Transition Management what the maximum number of migrations can be for On-prem
18/01/12 - RB Needs to be confirmed with TF and Transition Management to determine what network impact will be if weekday vs weekend</t>
  </si>
  <si>
    <t>06/02/12: RB - confirmed via email from Martin Kremmer that CRM not in scope for Day 1
18/01/12: RB - Martin Kremmer seeking clarification from Bob Reiner by Jan 27th
28-Oct-11: Added by RB. N Wood confirmed that CRM integration is not built into current design/planning.</t>
  </si>
  <si>
    <t>21/02/12: RB - TF Exchange team still working through the three way co-existence that will be required to ensure three way free/busy and any limitations there may be. RB has raised R96
14/02/12: RB: Needs to be confirmed with MSFT what co-existence constraints will exist as part of O365
18/01/12: To be validated pending O365 impact assessment and detailed discussions with Binary Tree
04-Oct-11: Added by RB</t>
  </si>
  <si>
    <r>
      <t xml:space="preserve">04-Jan: Adrian confirmed that this has been validated.
04-Oct-11: RB: Superseded by Decision #52. A Mickleson confirmed this outcome from FSG mtg in Washington
</t>
    </r>
    <r>
      <rPr>
        <b/>
        <sz val="9"/>
        <color theme="1"/>
        <rFont val="EYInterstate Light"/>
      </rPr>
      <t xml:space="preserve">Revalidated following O365 decision:  </t>
    </r>
    <r>
      <rPr>
        <b/>
        <sz val="9"/>
        <color rgb="FFFF0000"/>
        <rFont val="EYInterstate Light"/>
      </rPr>
      <t>James Harrup-Brook, 28/02/12</t>
    </r>
  </si>
  <si>
    <r>
      <t xml:space="preserve">04-Jan: Al and Adrian confirmed that this has been validated.
04-Oct-11: Added by RB
</t>
    </r>
    <r>
      <rPr>
        <b/>
        <sz val="9"/>
        <color theme="1"/>
        <rFont val="EYInterstate Light"/>
      </rPr>
      <t xml:space="preserve">Revalidated following O365 decision:  </t>
    </r>
    <r>
      <rPr>
        <b/>
        <sz val="9"/>
        <color rgb="FFFF0000"/>
        <rFont val="EYInterstate Light"/>
      </rPr>
      <t>James Harrup-Brook, 28/02/12</t>
    </r>
  </si>
  <si>
    <r>
      <t xml:space="preserve">21/02/12: RB: Output to R97
05-Jan: Al and Adrian confirmed this is valid.
04-Oct-11: Added by RB
</t>
    </r>
    <r>
      <rPr>
        <b/>
        <sz val="9"/>
        <color theme="1"/>
        <rFont val="EYInterstate Light"/>
      </rPr>
      <t xml:space="preserve">Revalidated following O365 decision:  </t>
    </r>
    <r>
      <rPr>
        <b/>
        <sz val="9"/>
        <color rgb="FFFF0000"/>
        <rFont val="EYInterstate Light"/>
      </rPr>
      <t>(add name and date here once the item has been revalidated)</t>
    </r>
  </si>
  <si>
    <t>new req for O365</t>
  </si>
  <si>
    <t>none</t>
  </si>
  <si>
    <t xml:space="preserve">Updated vision and scope req to facilitate new req. </t>
  </si>
  <si>
    <t xml:space="preserve">Although we will work with both M&amp;C and the Vendor, there are no known mitigations plans for what we currently to not know. Therefore we need to accept the risk.
</t>
  </si>
  <si>
    <t>Feedback from M&amp;C that additional changes are required.</t>
  </si>
  <si>
    <t>IAM Program Manager</t>
  </si>
  <si>
    <t>R106B</t>
  </si>
  <si>
    <t>Proximity, Risk Trigger, Response, Contingency Plan, Mitigation Plan, Escalation level, Req. Risk Resolution Date</t>
  </si>
  <si>
    <t>Al / Jean-Michel</t>
  </si>
  <si>
    <t>Rewa/Martin/Paul</t>
  </si>
  <si>
    <t>All Unified Comms Issues have been fully updated.</t>
  </si>
  <si>
    <t>29 Feb: Issue is reducing, there is an unknown element. blurprint is being worked on. this only applies to SP. 8-Feb: Paul and James updated all columns on this item. Norm Beard said this is still a risk for timeline, impacting SP. There is a workshop in Cleveland next week with discussion sched.on environment management. Review 2 wks. 
05/12 - Risk opened.</t>
  </si>
  <si>
    <t xml:space="preserve">29 Feb: Complete by integration solution.  SAW in hand and delivered. 08-Feb: Ted said they rcvd the updated SOW (inc. O365) last Fri. Looking to complete reviews end of this week/early next week. Al confirmed more information on the pilot will emerge in the next 7-9 days, review 2 wks. This will either be closed (Look/See pilot) or moved further out. 
26-Jan: Changed Ass. to to Ted from Bob C. 
18-Jan: This may be reframed in light of O365 decision to come next week. Will change timeline dramatically. Workshops next week; review in 2 weeks. 
11-Jan: added Ken/Bob as assigned to. Ken working on SOW from msft (in draft). It was decided yesterday this will be put on hold until BPOS decision is made. Update provided by Al that an interim SOW will be put in place this week of next. Ant is working with John Bruce to get a headstart. Review next week.
14/12 - Need determination after workshops on whether it is only initially Exchange or including SharePoint. </t>
  </si>
  <si>
    <t>Assumptions about migration velocity pre-dating the decision to consider a cloud solution for Lync are challenged for a variety of reasons (see right). Based on this, the overall migration timeline, based on ~40,000 users per weekend, over 4 weekends, is no longer valid</t>
  </si>
  <si>
    <t>Current Transition and Business Deployment planning assumptions for the Lync migration schedule are challenged by:
- Lync cloud vendor not yet selected, therefore unable to provide any migration guidelines or indications of possible constraints to current plan/assumptions
- absence of a deployment schedule or validation of weekend-only migrations assumed to date
- operations have already challenged the migration of tens of thousands of users over a single weekend as being unsupportable by the current helpdesk capability
- Questions around network bandwidth are unresolved with respect to the number of users that can be migrated.</t>
  </si>
  <si>
    <t>Work with TF Lync team to determine approach to migration and work with Business Deployment, Change Management, Transition Management and Operations to develop Impact assessment and revalidation approach for current migration assumptions</t>
  </si>
  <si>
    <t>05/03/12: RB: Further discussion needed with TF Lync team, Business Deployment, and Transition Management, on how to resolve this. Will be difficult to validate planning assumptions until Lync vendor is known and available to engage in detailed migration planning discussions</t>
  </si>
  <si>
    <t>O365 decision has raised new challenges to the migration that are still now being discovered and which relate to our legacy provisioning of user accounts</t>
  </si>
  <si>
    <t>There is a risk that multiple accounts will be created for users in the new Exchange environment as a result of multiple legacy accounts being migrated to the AD. This creates a risk of errors in the migration of mailfile data to the incorrect account in the O365 Exchange environment which will impact end users during the migration</t>
  </si>
  <si>
    <t>End users (estimated to be around 5,000 at this time) will experience issues logging onto their mail files and may raise help desk queries to try and resolve these</t>
  </si>
  <si>
    <t>Neil Langston</t>
  </si>
  <si>
    <t>Working with the Migration Lead, IAM program team and Microsoft to determine approach to resolution</t>
  </si>
  <si>
    <t>05/03/12: RB: Risk logged</t>
  </si>
  <si>
    <t>Increase in program cost and resource needs, delays to the go-live date if the applications cannot be delivered for integration in time for the current Live deployment date</t>
  </si>
  <si>
    <t>Decision by the business to include delivery of Mail-integrated apps into UC's scope</t>
  </si>
  <si>
    <r>
      <t>There is a risk that the business expects the UC stream to deliver the integration of legacy mail-integrated applications as part of the delivery of Outlook. The UC program is working with business application owners to explain that if they require a legacy mail-integrated tool to be compatible with Outlook,</t>
    </r>
    <r>
      <rPr>
        <b/>
        <sz val="9"/>
        <color theme="1"/>
        <rFont val="EYInterstate Light"/>
      </rPr>
      <t xml:space="preserve"> they will need to initiate - and pay for - a project to do this</t>
    </r>
    <r>
      <rPr>
        <sz val="9"/>
        <color theme="1"/>
        <rFont val="EYInterstate Light"/>
      </rPr>
      <t>. It is not clear from conversations we have had with the business to date that they have budgeted for resource or project spend in FY13 to support this activity. If the application(s) is(are) required for Day 1 and the business will not accept Outlook deployment without it(them) being integrated, there is a risk that the program will need to deliver these and absorb the cost of doing so. This is not currently in scope or budgeted for.</t>
    </r>
  </si>
  <si>
    <t>Confirm at replan; may be impacted</t>
  </si>
  <si>
    <t>Decision in the past; No impact as result of cloud</t>
  </si>
  <si>
    <t>Decision in the past - Need to confirm at Replan; No impact based on cloud decision</t>
  </si>
  <si>
    <t>07-Oct-2011: BvG:Communities likely including at least some Quickr content, e.g., AACE content
Confirm at replan; No impact based on cloud decision</t>
  </si>
  <si>
    <t>Confirm at replan; No impact based on cloud decision</t>
  </si>
  <si>
    <t>Confirm at replan; No longer true due to GAAIT need for an Ovitas like solution</t>
  </si>
  <si>
    <t>Confirm at replan; Impacted - no longer true</t>
  </si>
  <si>
    <t>decision in the past No impact based on cloud decision</t>
  </si>
  <si>
    <t>Louis Lorton was provided as the lead (prev DP16); No impact based on cloud decision</t>
  </si>
  <si>
    <t>(prev DP17) No impact based on cloud decision</t>
  </si>
  <si>
    <t>(Prev DP 18) No impact based on cloud decision</t>
  </si>
  <si>
    <t>Paul Neave and TF team - still valid; marked revalidated.</t>
  </si>
  <si>
    <r>
      <t xml:space="preserve">DEC_010 </t>
    </r>
    <r>
      <rPr>
        <b/>
        <sz val="9"/>
        <color theme="1"/>
        <rFont val="EYInterstate Light"/>
      </rPr>
      <t>BPOS</t>
    </r>
    <r>
      <rPr>
        <sz val="9"/>
        <color theme="1"/>
        <rFont val="EYInterstate Light"/>
      </rPr>
      <t>/Non-BPOS
We are going with O365</t>
    </r>
  </si>
  <si>
    <t>R117</t>
  </si>
  <si>
    <t>R118</t>
  </si>
  <si>
    <t>R119</t>
  </si>
  <si>
    <t>R120</t>
  </si>
  <si>
    <t>R121</t>
  </si>
  <si>
    <t>R122</t>
  </si>
  <si>
    <t>R123</t>
  </si>
  <si>
    <t>R124</t>
  </si>
  <si>
    <t>R125</t>
  </si>
  <si>
    <t>R126</t>
  </si>
  <si>
    <t>D75A</t>
  </si>
  <si>
    <t>D75B</t>
  </si>
  <si>
    <t>05/03 - Laura emailed Michelle to determine whether this has been resolved, or if not what the current status/priority is. 
05/12 - Risk opened.</t>
  </si>
  <si>
    <t>Final decisions around GDCs and in-country locations; Impact to technical pilot for Exchange on-prem and to giving list of names to DCC.
Massive impact on Hardware deployment plan. What is the decision on Market Drivers?
PN – Without a decision on this we risk impacts on being  able to finalise and deploy the On-premise Exchange solution. It will also delay the completion of testing across On-Prem and Cloud environments and identification of any performance and/or network bottlenecks. Delay will also impact the finalisation of the Managed service (Microland )negotiations on how many Users they are supporting and  could  threaten the viability of  this as an option .</t>
  </si>
  <si>
    <t xml:space="preserve">In which countries are we prepared to go wihtout DR sites? 
Implications: without a DR site, we would have backups, which implies additional cost and that we won't be able to state an RTO/RPO.
PN – Without a decision on this we risk impacts on  being able to finalise and deploy the On-premise Excjhnage solution wherever there is still doubt as to whether there is going to be a DR site. It will also delay the completion of testing across On-Prem and Cloud environments and identification of any performance and/or network bottlenecks. Delay will also impact the finalisation of the Managed service (Microland )negotiations on how many sites they are supporting and  could threaten the viability of  this as an option .
</t>
  </si>
  <si>
    <t xml:space="preserve">Decision on Lync topology, i.e. cloud. All vendor responses estimate 6 more months from contract signature to pilot.
All project planning, visibility of risks and issues and further decisions are dependant on this decision. 
</t>
  </si>
  <si>
    <t xml:space="preserve">5-Mar: CIS – BB restriction does not apply
We need to plan for exchange servers in Moscow for Russia
20-Feb JC - Siggi?
9-Feb: Paul suggested this go to Siggi and John as per the on-going discussion around on-prem locations.
</t>
  </si>
  <si>
    <t>05-Mar: Decision is for the product owner to ensure that their product works with exchange
22/02/12: RB: 1) Outlook Config settings due  to complete 20/04. Recommended Day 1 Plug in list due to complete 20/04. Decision required  by 11 May (not clear who decision-making body would be however). 
20-Feb JC - Ok - would like to see both the feature and integration list so we can ok. 
14/02/12: RB: Engineering &amp; Application Management likely to complete impact assessment by mid-March. RB to prepare presentation to summarise approach to agreeing Day 1 mail-integrated application scope for stakeholders, intention for scope to be agreed by end April
31/01/12: R Bouji - Engineering can no longer meet end Feb deadline - awaiting revised date. Also need to determine whether FSG is appropriate decision-making authority. To be discussed with AG and MK
18/01/12: R Bouji - Awaiting outcome of engineering impact assessment due end February, for presentation to FSG and final decision on Day 1 configuration</t>
  </si>
  <si>
    <t xml:space="preserve">5-Mar: Paul – The numbers for the On-Prem came from the BIA assessment confirmation received from Arlan Singer on 16th Nov 11 (see Here)
We no longer stick to the two parameters  RTO/RPO 
20-Feb JC - Where did these numebrs from from for On Prem?
PIN – currently we are designing the On-Prem solution in accordance with the BIA
 – This will increase the bandwidth required between the locations significantly. It also will not be achieved if we only have one site with a backup (See D81).
</t>
  </si>
  <si>
    <t xml:space="preserve">With the adoption of O365 and the constraints of the current agreement around the migration scheduling i.e. being constrained to weekdays and across 9 months with a specified ramp. In order to finalise the Migration infrastructure sizing for On-Prem we need to know the intended Migration strategy. Are we now going to adopt this approach? How many days in a week we are expecting to be migrating and how many Users per week, month etc. The decision will impact the number of servers/workstations we need to stand up to support migration which could vary between 10s and 100s depending on the decision.
</t>
  </si>
  <si>
    <t>Executive Sponsors</t>
  </si>
  <si>
    <t>Adoption of Microsoft O365 cloud</t>
  </si>
  <si>
    <t>Added in retrospect - to provide a reference</t>
  </si>
  <si>
    <t>People &amp; Communities technical teams are running out of work. Remaining work is dependent upon Social Features decision</t>
  </si>
  <si>
    <t>UX views have added functionality not previously discussed with the business</t>
  </si>
  <si>
    <t xml:space="preserve">Need clear direction on the languages to be supported on the content </t>
  </si>
  <si>
    <t>Need clear direction on the languages to be supported on the user interfaces</t>
  </si>
  <si>
    <t>I131</t>
  </si>
  <si>
    <t>I132</t>
  </si>
  <si>
    <t>I133</t>
  </si>
  <si>
    <t>Norman Beard</t>
  </si>
  <si>
    <t>The initial EY FAST Software license contains less licenses than the Dec infrastructure meeting had estimated</t>
  </si>
  <si>
    <t>Need to review and action appropriately</t>
  </si>
  <si>
    <t>Estimated license counts not accurate enough</t>
  </si>
  <si>
    <t>Current FAST Notes connector does not meet the business requirement (or Security requirements)</t>
  </si>
  <si>
    <t>Management of 'best bets' on the cloud</t>
  </si>
  <si>
    <t>No clarity on how to promote taxonomy values between development, testing, staging etc</t>
  </si>
  <si>
    <t xml:space="preserve">No clarity on  how to blend the EYD content types into taxonomy </t>
  </si>
  <si>
    <t>External environment may not be ready for go-live</t>
  </si>
  <si>
    <t xml:space="preserve">Lack of clarity on the approach for the Content management workstream </t>
  </si>
  <si>
    <t>External and internal experience for GAAIT is not defined</t>
  </si>
  <si>
    <t>Business availability to continue requirements work in other areas due to blueprint activities</t>
  </si>
  <si>
    <t>The amount of time required to complete DTU Phase #1 may be longer than the requested Phase #1 go-live date (soce and resource availability)</t>
  </si>
  <si>
    <t>Frog user experience deliverables may not achieve desired goals</t>
  </si>
  <si>
    <t>I137</t>
  </si>
  <si>
    <t>I139</t>
  </si>
  <si>
    <t>I140</t>
  </si>
  <si>
    <t>I141</t>
  </si>
  <si>
    <t>I142</t>
  </si>
  <si>
    <t>I143</t>
  </si>
  <si>
    <t>I144</t>
  </si>
  <si>
    <t>I145</t>
  </si>
  <si>
    <t>I146</t>
  </si>
  <si>
    <t>I147</t>
  </si>
  <si>
    <t>I148</t>
  </si>
  <si>
    <t>I149</t>
  </si>
  <si>
    <t>5-Mar: Plan on premise; Al confirmed this is closed. Team is planning for on-premise.
20-Feb JC - Siggi is working on this.
1-Feb: Need confirmation from Siggi.</t>
  </si>
  <si>
    <t>Decision: Plan for Germany on-premise.
Include Germany in O365 migration counts or not? 
QRM view is Germany cannot have data hosted by a 3rd party though John disagrees with their interpretation.
Without this decision in place will have difficulty in defining the Outlook Exchange deployment plan.</t>
  </si>
  <si>
    <t>D184A</t>
  </si>
  <si>
    <t>D184B</t>
  </si>
  <si>
    <t>Siggi Hauer / John Costello</t>
  </si>
  <si>
    <r>
      <rPr>
        <b/>
        <sz val="9"/>
        <color theme="1"/>
        <rFont val="EYInterstate Light"/>
      </rPr>
      <t xml:space="preserve">Decision: We no longer stick to the two parameters RTO/RPO. 
</t>
    </r>
    <r>
      <rPr>
        <sz val="9"/>
        <color theme="1"/>
        <rFont val="EYInterstate Light"/>
      </rPr>
      <t>Acknowledgement for on-premises RTO (24 hrs)/RPO (2 hrs) for the Exchange on-prem design with DR site.
Exchange online agreed: the recovery time objective for Exchange on Premises.  O365 is engineered to 2 hour RTO &amp; 45min RPO</t>
    </r>
  </si>
  <si>
    <t>John Costello / Siggi Hauer</t>
  </si>
  <si>
    <r>
      <t xml:space="preserve">Decision needed on exact configuration of Day 1 Exchange feature set and whether this will include any mail-integrated applications. Discovery and analysis currently underway within Unified Comms stream, and impact assessment work to be conducted by Engineering and in consultation with Microsoft where any O365 impact/constraint may be identified. Presentation to FSG for decision targeted for mid March latest to finalise specification and communicate to stakeholders on Day 1 feature set
</t>
    </r>
    <r>
      <rPr>
        <b/>
        <sz val="9"/>
        <color theme="1"/>
        <rFont val="EYInterstate Light"/>
      </rPr>
      <t>5-Mar: Decision is for the product owner to ensure that their product works with Exchange</t>
    </r>
  </si>
  <si>
    <r>
      <rPr>
        <b/>
        <sz val="9"/>
        <color theme="1"/>
        <rFont val="EYInterstate Light"/>
      </rPr>
      <t xml:space="preserve">Agreement is not to migrate static groups. We should limit  which users are allowed to create static groups.  The approach used for GLMS should be replicated to avoid duplication of groups.  </t>
    </r>
    <r>
      <rPr>
        <sz val="9"/>
        <color theme="1"/>
        <rFont val="EYInterstate Light"/>
      </rPr>
      <t xml:space="preserve">
Decision needs to made as to whether existing static email groups (distribution lists) will be migrated to the new Exchange AD or not. If yes, the MMD Self-service portal will continue to be developed, but the process of asking thousands of users to nominate groups for migration is inherently risky and time-consuming. The portal is being built on the assumption that static group migration will be required but this is not IT's preferred option. There also needs to be a decision made as to what will happen to legacy group management tools and whether they will be replaced by IAM's new GroupID tool, or GLMS, or have the option of either.</t>
    </r>
  </si>
  <si>
    <t>06/03/12: RB: Jeremy Brown confirmed decision in standup meeting with AG. Risk closed
29 feb: still no clarity, going into FSG. 27/02/12: RB: No update
22/02/12: RB: No update. Action with Guy and Alan
14/02/12: RB: Lack of clarity on decision-making forum for UC hampering confirmation of this decision. Awaiting feedback from Guy and Al on approach to creating UC sponsor group
8-Feb: Martin said yes that business users will participate; Rewa just waiting for sponsorship approval. Review next week. 
25/01/12 - M Kremmer stated he expects business users to conduct UAT, managed by the Program - awaiting confirmation that this has been validated by BR/FSG
18/01/12 - Investigating with MK whether this decision can be made by the Business Sponsor instead of the FSG to try and speed up decision making process
11/01/12 - Was scheduled for decision at next FSG meeting, to be presented by AM, however meeting shortened and cut from the agenda. QA need to know by end of Jan to start ramping up resources and planning. Await update on next FSG meeting and agenda
14/12-  On agenda to go to FSG meeting for decision in January. Gearing towards TF.
30/11 - On next FSG agenda (this past one was cancelled); review 14/
23/11 - Adrian said this is on the agenda for next Tues; review next wk.
08/11: R Bouji raised this to A Mickleson for escalation to the FSG. Adrian Mickleson to seek decision from the FSG on 15 November during the F2F sessions. Next steps to follow decision</t>
  </si>
  <si>
    <t>Martin Kremmer (Deployment schedule andstrategy), Paul Neave/John Murray (bandwidth), Mike Laci (Operational support model)</t>
  </si>
  <si>
    <t>Martin Kremmer (Deployment schedule andstrategy), James Harrup-Brooke/John Murray (bandwidth), Mike Laci (Operational support model)</t>
  </si>
  <si>
    <t>06/03/12: RB: Jeremy Brown confirmed on behalf of FSG that business users will execute UAT
20-Feb JC - Discussion point for FSG
14/02/12: RB: Awaiting update from MK
25/01/12: R Bouji: MK indicated that business users will participate - awaiting confirmation of validation with BR/FSG
18/01/12: R Bouji: Pending discussions with Martin Kremmer on alternative decision making route
11/01 Update from R Bouji: Was scheduled for decision at next FSG meeting, however the meeting has been shortened and it is not yet clear when this will reappear on the agenda. QA need to know by end of Jan to start ramping up resources and planning. Await update on next FSG meeting and agenda
19-Dec update from Nicky that this has been bumped from the FSG agenda 2X; hoping to get it in next meeting.
Adrian Mickleson to raise this to the FSG on 15 November for a decision (prev DP25) 
ADM (MS):  We are creating a "UAT pack" with guides and templates for what needs to be created and undertaken along with a schedule of effort and when it needs to take place.  For each application, this will be provided to the business immediately after initiation of the project.  We will facilitate the UAT process and provide guidance, but do not believe that we should be "in-sourced" to conduct the UAT for the business.  We HAVE NOT allowd budget for the in-sourcing of UAT, or have resources lined up to conduct these activities.</t>
  </si>
  <si>
    <t>5-Mar: got positive references from vendors using Riverbed; close.
8-Feb: added due date 1.5 mos, review date = 1 mo. This item is hugely critical; Al said we are months away from understanding how to address it. Action opened for Al to make Alan explicitly aware of this risk. 
25-Jan: Brett raised this item. We need to know from Msft whether riverbed will work. The alternative (plan b) is to buy more network; not a real plan b. We will raise this as a risk in the management pack.</t>
  </si>
  <si>
    <t>Received positive feedback/references from Msft clients using Riverbed with O365. Close.</t>
  </si>
  <si>
    <r>
      <rPr>
        <b/>
        <sz val="9"/>
        <color theme="1"/>
        <rFont val="EYInterstate Light"/>
      </rPr>
      <t xml:space="preserve">Introduce environment that will allow us to do testing. </t>
    </r>
    <r>
      <rPr>
        <sz val="9"/>
        <color theme="1"/>
        <rFont val="EYInterstate Light"/>
      </rPr>
      <t xml:space="preserve">
Strategy workshops are required to decide the mode of activation of the Dormant Outlook &amp; Lync clients. Testing the "Activation" Approach would follow production of "Activated Client Functional Specification" Documents for nboth the Outlook &amp; Lync clients. Will GCL5 be inscope for the client activation - if so it will also need to be tested for the dormant clients &amp; deployed across the entire user base.</t>
    </r>
  </si>
  <si>
    <t>03. Action/Mitigation Plan Defined</t>
  </si>
  <si>
    <t>Adrian Mickleson / Steve Jelf</t>
  </si>
  <si>
    <t>1. Steve Jelf to obtain final Q&amp;RM position.
2. (Adrian) Align with arch. RFP (ensure vendors have capability)</t>
  </si>
  <si>
    <t>05-Mar: This is not a risk, but a decision. Could be an issue depending on decision (ie if we decide need email archiving). Track as decision; if need be, open as an issue. 
08-Feb: Changed syntax; this item was very outdated. Corrected year on the due date from 2011 to 2012. Desc used to read: "The timing of the implementation of the required Archiving solution to integrate with Exchange Online services.
The German firm have a mail archive solution where we keep full copies of a users Notes mail file (up to 10 years of data) on a small set of Domino servers attached to lots of storage (45TB and growing).
This in essence is a home grown mail archiving solution for Germany. There is a looming end of support date for the storage system that will hit us end of March 2012 ish."
06/07 - Brett said there is no global reason for global archiving.  Reduce risk to Low. 
22/06 - RFP is being circulated for review / confirmation.
01/06 - 1 week behind in releasing draft of RFP.  Internal meeting planned for Friday to review and complete.
25/05 - Need vendor decision by July at latest; working on RFP; will work with internal decision makers and vendors to drive down time frame.
18/05 - Need to gain idea of timescale of suppliers and look at how coordinates with our plan.
11/05 - This risk is based on the approach determined by Issue 1. Leave as is for this week.
27/04 - Progressing successfully;  archive solution should be ready very quickly, next week. Checking to ensure all requirements are gathered. R10 combined here and closed.</t>
  </si>
  <si>
    <t>06.  Deferred</t>
  </si>
  <si>
    <t xml:space="preserve">Track through decisions (already open, D80). Marked as Deferred, depending on the decision that is made, may need to open an issue (do so from this item and update status accordingly). </t>
  </si>
  <si>
    <t>6-Mar: Added mitigation strategy: to introduce environment that will allow us to test. Changed review and date date from 28-Feb to mid and late April. (when environ. will be ready)
16-Feb: Daren said this is really assigned to James and Paul. Owner has to be from our call (Al/Adrian). Waiting for contingency plan from James and Paul.
15-Feb: Laura em'd Daren for update, per Al's suggestion.
8-Feb: Declared Daren as the owner and assignee and invited him onto the call. Seek update from him next week when he joins.</t>
  </si>
  <si>
    <t xml:space="preserve">06-Mar: Due date added. Review date set out a month.The storage risk may go away with the GAAIT replacement solution. Sits with Adrian now; Steve Jelf will have to take through Q&amp;RM gate, as well. 
06/07 - no update.
11/05 - No update, but requirement is captured in the Archiving RFP.
27/04 - No update at this time.
</t>
  </si>
  <si>
    <r>
      <rPr>
        <b/>
        <sz val="9"/>
        <color theme="1"/>
        <rFont val="EYInterstate Light"/>
      </rPr>
      <t>Confirmed with Russia that the blackberry restriction does not apply. Plan for Exchange servers in Moscow for Russia.</t>
    </r>
    <r>
      <rPr>
        <sz val="9"/>
        <color theme="1"/>
        <rFont val="EYInterstate Light"/>
      </rPr>
      <t xml:space="preserve">
Russia has a requirement for mandatory Govt software to run on Blackberry Servers. To ensure the BB service this will require On-prem exchange for Russia. Need to confirm that the requirement still stands and OnPrem is required in Russia</t>
    </r>
  </si>
  <si>
    <t>Brendan Millard</t>
  </si>
  <si>
    <t>6-Mar: This needs to be challenged with Brendan Millard; Laura em'd him the item for his awareness. John Murray's work will due to finish in June; would like to review mid-June with due beg-July.</t>
  </si>
  <si>
    <t>Adrian, Al, Mark, others</t>
  </si>
  <si>
    <t xml:space="preserve">6-Mar: Review end of March (Lync vendor decision)
27-Feb Rob: I believe the assumption was raised in December. Nevertheless, as result of the O365 contract, the assumption is not valid anymore. I don't know whether a CR has formally been raised.
For Lync and Exchange on Premise final decisions have not been made yet. I assume that for these parts the assumption is still valid.
23-Feb: LM followed up with Rob
04-Jan: Review end of January (decision process slated for then)
</t>
  </si>
  <si>
    <r>
      <t>Availability / time-line of the development VM boxes (config &amp; software) and the deployment environments (development, QA, Production) for iteration 2.
1. Ver 2 - Developer Workstations - 20 Apr (was Nov 22 '11)
2. Ver 2 - Component Integrated Development Environment - 20 Apr (was Dec 1 '11)
3. Ver 2 - Deployment Integrated Development Environment - 20-Apr (was Dec 1 '11)
4. QA Environments (Intranet, Extranet, Security) - 20-Apr (was Dec 1 '11)</t>
    </r>
    <r>
      <rPr>
        <sz val="9"/>
        <color theme="1"/>
        <rFont val="EYInterstate Light"/>
      </rPr>
      <t xml:space="preserve">
5. Staging Environments (Intranet, Extranet) - 
2-Aug-2012
6. UAT Environments (Intranet, Extranet) - 2-Aug-2012
</t>
    </r>
  </si>
  <si>
    <t>6-Mar: This is the same as R3, which was closed in honor of D80 (pending decision on email archiving). Closed here. 
19/10 - Assign to Adrian, Tech Fdtn, priority = Low.
11/10 - R Bouji - Meeting with N Wood, B van Gelder, and J Schoemaker 7 Oct. D Mulligan currently completing discovery work, N Wood will validate and handover to R Bouji. R Bouji to arrange meeting with J Robert ans S Chakerian to discuss outcomes of analysis and determine next steps with Q&amp;RM and the Global Messaging Policy Group which is being formed.
04/10 - R Bouji - Discovery/analysis of local archiving solutions currently in place underway within Engineering/Ops. Awaiting provision of list. R Bouji will then follow up with global and in-country owners to determine archiving requirements in Exchange/Outlook environment. May also be impacted by planning and design workshop outputs; due date remains end of October for the moment
28/09 - Met with J Schoemaker 26/09 to understand scope of impact assessment underway on archiving. Agreed that this is one of many areas where analysis and requirements gathering needs to be undertaken as part of the UC requirements scope, and not in a piecemeal fashion. Meeting to be held between UC &amp; TF program teams, AE and Application Management 29/09 to agree next steps. Likely that design decisions out of the MSFT workshops weeks of 10-24 Oct may help provide structure for addressing this and a variety of other business requirements
22/09 - Remove "Online Services" from description as this applies to Exchange in general now. 
21/09 - Per Mark, changed stream from TF &gt; UC and ownership from Adrian/Mark &gt; Rewa. Rewa provided this update: An impact assessment is currently being undertaken by the Application Management team to understand where these requirements might exist, and if so, what solution(s) will be required to meet them. This will also need to be fed into the design work with Microsoft. Update in two weeks.
14/09 - Have statement from Q&amp;RM that there will be no requirement going forward for the archiving of e-mail. Nick and Brett reviewed initial discovery work on Monday and while they have further questions, it looks like there might be only 2-3 areas to discuss with Q&amp;RM. Hoping to finalize discovery this week and work with Q&amp;RM next week to arrive at final conclusions. Review in 2 weeks. 
07/09 - Brett: We will not implement email archiving solution unless we discover something that makes us change mind. Brett concerned that we are not effectively managing this. Discovery will drive the next step; review next week. 
10/08 - Received feedback from Q&amp;RM - investigate if there is a direct impact for migrating email that may require archiving but it is not because of legal requirements. Don’t archive unless something tells us we have to - reduce risk to high and review in 4 weeks.
27/07 - Update will be provided next week.  There is a legal requirement so communicating with Q&amp;RM for additionall information.
06/07 - If there are additional archiving requirements a report needs to be sent back to QRM.  RFP in process and being reviewed.
29/06 - Q&amp;RM have revised requirement, confirm there is no requirement to journal emails to archive. Need to confirm whether deferal of an archiving solution will impact the firms' abilities to remain compliant in local geographies, subject to confirmation following further investigation (Base line investigation and report back to team).
15/06 - Draft of RFP in process, plan for RFP submittal in mid August. Environment up and piloted by end of year.  EYD has reqs to be included in the RFP - Jeff Kocsis.
01/06 - 1 week behind in releasing draft of RFP.  Internal meeting planned for Friday to review and complete.
25/05 - Have run 2 workshops with one more Friday to gather requirements for RFP. Adrian working with Mark Reade and representatives from all major groups. Vendor selection needs to happen in July at latest. Need to determine which individuals will make the vendor decision and drive down dates (July) really hard with them and the vendor. Work toward technical RFP.
18/05 - Did not hold follow-up from last week. Refinement of high level reqs 4 days behind. Concern expressed regarding origin of requirements not representing all groups (e.g., Enterprise Arch.). Adrian and Nick meeting tomorrow, will work to determine timebox; will circulate and get others involved thereafter.
11/05 - The SWOT - completed. High level pricing estimation - completed. High Level Requirements for Request for Information - completed. Short-list - Agreed. Now proceeding direct to RFP (no RFI required). Conversation regarding EA involvement and budgeting ensued. Action: Adrian, Martin, Brett and Peter to discuss off-line.
04/05 - 5 potential vendors, working through SWOT analysis; high level requirements underway; have made a conservative estimate of 6 mos for RFI, but once select a vendor will confirm a timline with them. Aiming for end of June to reduce the priority on this issue.
20/04 - It has been agreed to kick off investigation of the Archiving solution. KI to include in one of the work streams. Verify what the budget is and where that is covered.
19/04 - initial vendor analysis commenced
04/04 - Initial meeting with Bob Wasserman to commence vendor analysis
Discuss with Klara what has been done to date on this issue and who is driving this discussion.</t>
  </si>
  <si>
    <t xml:space="preserve">This is the same as R3, which was closed in honor of D80 (pending decision on email archiving). Closed here. </t>
  </si>
  <si>
    <t>D80 (R3)</t>
  </si>
  <si>
    <t>6-Mar: Closed this issue; will track from the decision on the same topic, D92.
15-Feb: Work in progress (working with Siggi and John); open in decisions, as well. will be 1-1.5 months before we understand this. Review 1 month.
11-Jan: Brett said we have the Q&amp;RM report that says with exception of India, others in the red box will be on-premises. Al took an action to provide Adrian a list of countries building in or not building in (this will prob. come from Bob Reiner). Review beg. February.
04-Jan: Review next week; this is mostly resolved but we need Adrian's update (might be just about 8 remaining countries now)
23/11 - Adrian suggested we push review out 2 weeks as more clarity is sought around this. The next round of discussed are scheduled for this Thursday.
26/10 - Adrian said this is complex and at this point sits in hands of Q&amp;RM and Brett. Next review date mid November.
19/10 - Adrian has questions around this. Laura to schedule meeting for Adrian and Brett to discuss.
05/10 - Brett provided updated description/impact. Assign to Mark/Paul to take it forward. Action created to engage with Q&amp;RM for Lync, Outlook and SharePoint to determine exactly which data are restricted from the Secaucus data centre. 
22/09 - There is an assumption that Secaucus in the data centre for the Americas. There are 16-28 countries that will now require data to be maintained in-country. EA, Strategy and Q&amp;RM are working through the implications to clarify what planning is needed to move forward. 
14/09 - Brett sent updated description to Adrian. Action for Adrian to update accordingly. Brett has a colleague who is chairing activities to clarify with Q&amp;RM a far more detailed approach. We won't know the impact until following these activities. 
07/09 - A number of discussions going on in Enterprise Architecture to determine what the implications are. Follow-up next week to see if we've determined anything further (Brett). 
31/08 - Opened by Juan.</t>
  </si>
  <si>
    <t xml:space="preserve">This is being tracked through D92. </t>
  </si>
  <si>
    <t xml:space="preserve">6-Mar: Issue closed; Al is following up through pending decision D92. </t>
  </si>
  <si>
    <t>Need decision on commitment to forming governance body (business, IT, operations)</t>
  </si>
  <si>
    <t xml:space="preserve">Blending into I78 since the issue is really the same - need for environments for testing. </t>
  </si>
  <si>
    <t xml:space="preserve">6-Mar: closed, blending into I78,
17-Feb: LM em'd Mark for update.
06/12 - Issue opened. </t>
  </si>
  <si>
    <t>6-Mar: This item was opened because there wasn't a list of the # of resources a vendor would need. Have gotten this information together now (per Al and Adrian). Close.
15-Feb: Waiting on detailed plan from Msft re: cloud, Lync vendor, etc.; until we have this, don't know what we need vendors for, how long we need them, etc. Review mid-March. Laura em'd Al for details.
24-Jan: Laura added to log per Al.</t>
  </si>
  <si>
    <t>This item was opened because there wasn't a list of the # of resources a vendor would need. Have gotten this information together now (per Al and Adrian)</t>
  </si>
  <si>
    <t xml:space="preserve">6-Mar: Added Due date 20-Mar, NRD 20-Mar. Need to ask Rewa if has received enough (anticipate closure on time in 2 wks).
18-Jan: Daren has a group management workshop scheduled for the week of 6-Feb. Adrian worried about alignment for this; date may be at risk. Preference is to keep this date; next week's meeting will determine. Ken and Adrian have an action to discuss next Tuesday. Update next week. 
11-Jan: This item opened following weekly call; Issue 71 split in two. A Group Management workshop is currently being scheduled, impact assessment being undertaken, Msft 365 wll bring changes and will need to look at that with regards to Imanami. Review next week. </t>
  </si>
  <si>
    <t>7 Feb:  Replanning in progress.  Eric Wahl to meet on 3/7 to discuss further.  
29-Feb:  This will be decided next week after the output FSG mtg.  Slippage will be quantified next week as well.  22-Feb: The UX timeline moving out about 2 wks; this has been escalated for Change Control. Keep open until have it signed off. 
07-Feb: Slippage on identifying participants from TAX, escalated to Bob Reiner. Mitigation plan being discussed with frog.
31-Jan: Risk opened</t>
  </si>
  <si>
    <t>7 Feb:  This Risk will be throughout the project.</t>
  </si>
  <si>
    <t>Increase in Costs to the program.</t>
  </si>
  <si>
    <t>Assess overall needs to evaluate license requirements</t>
  </si>
  <si>
    <t xml:space="preserve">More FAST infrastructure requirements than current licenses purchased </t>
  </si>
  <si>
    <t>Travis Clayton</t>
  </si>
  <si>
    <t>FAST does not have the same tools for search management as Autonomy. Need to determine how FAST will be managed.</t>
  </si>
  <si>
    <t>Requirements for a customized FAST management interface.</t>
  </si>
  <si>
    <t>FAST does not have the same interface as Autonomy.</t>
  </si>
  <si>
    <t>Stevens Sebastian</t>
  </si>
  <si>
    <t>Andy Walsh</t>
  </si>
  <si>
    <t>Search Admin  Reqs are defined for FAST mgmt.</t>
  </si>
  <si>
    <t>Impact to Testing cycle</t>
  </si>
  <si>
    <t>Export to Excel and then re-import into various environments</t>
  </si>
  <si>
    <t>Tom Beerley</t>
  </si>
  <si>
    <t xml:space="preserve">7 Feb:  Added and updated Risk. </t>
  </si>
  <si>
    <t>Unable to populate taxonomy information across the environments</t>
  </si>
  <si>
    <t>More than one Metdata Model</t>
  </si>
  <si>
    <t>Lee Eichelberger</t>
  </si>
  <si>
    <t>Confirm with WSL's if external requirements need to be delivered in Release 1.</t>
  </si>
  <si>
    <t>Client facing DTU is confirmed to be in scope in Release 1.</t>
  </si>
  <si>
    <t>Internal capabilities only will be in Release 1</t>
  </si>
  <si>
    <t>Ritesh Verma</t>
  </si>
  <si>
    <t>Business does not accept user experience.</t>
  </si>
  <si>
    <t>Disconnect between Blueprint and Frog current SOW.</t>
  </si>
  <si>
    <t>Changed priorities in M&amp;C Program since Frog SOW was signed.</t>
  </si>
  <si>
    <t>Scope creep on Frog's engagement</t>
  </si>
  <si>
    <t>7 Feb:  Added Issue.  Currently replanning activity.</t>
  </si>
  <si>
    <t>Frog 'quick hits' contain new functionality and changes to previously defined functionality (SA/Dev assessment to confirm if quick hits creates custom coding) (BA review to confirm if new Reqs have come in from Frog assessments)</t>
  </si>
  <si>
    <t>Cheryl Faust</t>
  </si>
  <si>
    <t>7 Feb:  Added Issue.  Currently replanning activity. 3/6 WSL mtg to discuss further.</t>
  </si>
  <si>
    <t>Cem Aykan</t>
  </si>
  <si>
    <t xml:space="preserve">POC to evaluate </t>
  </si>
  <si>
    <t>Review with Governance Team</t>
  </si>
  <si>
    <t>Implementation of Social features product is unlikely to be available for Calendar year 2012 deployment</t>
  </si>
  <si>
    <t xml:space="preserve">7 Feb:  Added Issue.  A mtg will be scheduled to discuss timing and expectations around Release 1.  </t>
  </si>
  <si>
    <t>Not being able to have DTU included in Release 1.</t>
  </si>
  <si>
    <t>7 Feb: Added and updated Risk.  This will be discussed on 3/7 mtg with the business.</t>
  </si>
  <si>
    <t xml:space="preserve">GAAIT POC activity is underway prior to Requirements elaboration.  </t>
  </si>
  <si>
    <t>User Experience on Assurance Technical Solution is not acceptable</t>
  </si>
  <si>
    <t>Team members unable to represetn end user needs.</t>
  </si>
  <si>
    <t>External Requirements not clearly defined</t>
  </si>
  <si>
    <t>Integration points across the Program</t>
  </si>
  <si>
    <t>Separate SP development ahead of SP Program.</t>
  </si>
  <si>
    <t xml:space="preserve"> Unclear deployment and environment setup processes.</t>
  </si>
  <si>
    <t>Best Bets may not be approved for the Cloud</t>
  </si>
  <si>
    <t>Impact to the expected User Experience</t>
  </si>
  <si>
    <t>HDL process does not allow for Best Hits in the cloud</t>
  </si>
  <si>
    <t>Release 1 will not include Frog deliverables.</t>
  </si>
  <si>
    <t>Assessment in process</t>
  </si>
  <si>
    <t>WSL to define</t>
  </si>
  <si>
    <t>Define Integration with Executive Sponsors.</t>
  </si>
  <si>
    <t>Adjusting Priority</t>
  </si>
  <si>
    <t>Contingency plan</t>
  </si>
  <si>
    <t>Contingency plan, Mitigation plan</t>
  </si>
  <si>
    <t>Norm Beard</t>
  </si>
  <si>
    <t>Escalation Level</t>
  </si>
  <si>
    <t>R127</t>
  </si>
  <si>
    <t>R128</t>
  </si>
  <si>
    <t>R129</t>
  </si>
  <si>
    <t>R130</t>
  </si>
  <si>
    <t>Prioritise and stabilise demand for SharePoint environments - demand from SPE has been subject to constant change and additional requests.
Need SPE to accept normalised dates for environment hand-off; these are dates that align with Foundation ability to design/build/deploy. Verification of design and configuration will reduce the number of changes requested and can deliver in less time.</t>
  </si>
  <si>
    <t xml:space="preserve">Projects expecting to consume SharePoint environments need to agree to a 6-12 week rolling revision plan for environment changes to avoid constant reiteration and delay, this to include verification of requirements and designs before environment builds.
Normalisation of "required by" dates received from SPE have been proposed to align with a framework of change/release windows for environments once handed off to SPE. </t>
  </si>
  <si>
    <t xml:space="preserve">An EY SharePoint Governance body needs to be established and empowered to make decisions affecting the consumption and operation of SharePoint following O365 iteration of design. 
This will require a goverance body to be set up comprising IT/Ops/InfoSec/S&amp;I/M&amp;C representation to own SharePoint specific decisions throughout the build, delivery and beyond to operate SharePoint as a service. </t>
  </si>
  <si>
    <t>Extranet- Confirm strategy for external authentication and content management. 
This is required before Extranet design can be re-factored into the existing EY SharePoint Infrastructure and Design document submitted by Msft.</t>
  </si>
  <si>
    <t xml:space="preserve">SPE  need to confirm scope and business requirements for client collaboration (ECMA). 
Requirements for client collaboration are not confirmed and are needed to allow the effective design for client collaboration in the refactored design. </t>
  </si>
  <si>
    <t>SharePoint enablement (requirements)</t>
  </si>
  <si>
    <t>IAM/InfoSec</t>
  </si>
  <si>
    <t>SharePoint enablement</t>
  </si>
  <si>
    <t>SharePoint Enablement</t>
  </si>
  <si>
    <t>D206</t>
  </si>
  <si>
    <t>D207</t>
  </si>
  <si>
    <t>D208</t>
  </si>
  <si>
    <t>D209</t>
  </si>
  <si>
    <t>D210</t>
  </si>
  <si>
    <t>D211</t>
  </si>
  <si>
    <t>D212</t>
  </si>
  <si>
    <t>D213</t>
  </si>
  <si>
    <t>D214</t>
  </si>
  <si>
    <t>D215</t>
  </si>
  <si>
    <t>D216</t>
  </si>
  <si>
    <t>D217</t>
  </si>
  <si>
    <t>D218</t>
  </si>
  <si>
    <t>D219</t>
  </si>
  <si>
    <t>D220</t>
  </si>
  <si>
    <t>Confirmation of lead times for Storage</t>
  </si>
  <si>
    <t>Are IAM dependencies going to be met?</t>
  </si>
  <si>
    <t>Are DCC contracted for buildout for Exchange?</t>
  </si>
  <si>
    <t>Is Good EWS going to be delivered?
What is the future service model for Exchange - who does what, up to OS, Storage, application</t>
  </si>
  <si>
    <t>related to I19?</t>
  </si>
  <si>
    <t>IT Service Delivery Leads are flagging that their teams do not have both the bandwidth and a charge code to review / validate the Rediscovery reports</t>
  </si>
  <si>
    <t xml:space="preserve">07-Mar: Risk now closed as item has been raised as an issue (#140)
22-Feb: inc. in man. Pack again; waiting on Operating Model decision.
15-Feb: include in management pack. 
8-Feb: Risk raised; Neil reqd this item go into the mng pack. Will impact when the team can do the work and thus has financial implications, as well. </t>
  </si>
  <si>
    <t>The deployment of the first application replatforms from the portfolio teams would be delayed</t>
  </si>
  <si>
    <t>Based on the time is has taken to finalise other M&amp;C RFPs the lead time to procure vendor(s) required for the A&amp;DM Portfolio Teams may not be sufficient for work commence 1st Jul'12.  If this was the case then the delivery date of the target application would be impacted.</t>
  </si>
  <si>
    <t>Gain agreement to the A&amp;DM Operating Model (Issue 141) then work with Procurement to initiate the RFP process</t>
  </si>
  <si>
    <t xml:space="preserve">06-Mar: Risk closed as scope of Phase 1 has been restructured to take into account the availability of the business SMEs
29/Feb :action pending planning meeting shed for Monday 5th March.
22/Feb: inc. in man. pack; still waiting to hear back on Operating Model.
15-Feb: Neil reqd we include in man. pack again.
08-Feb: Neil reqd we include this in the management pack.
07-Feb: The A&amp;DM Operating Model needs to be agreed by the CLT to determine exactly which activities will be performed by the A&amp;DM and IT SD teams
10-Jan: updated with new column data; added a required risk res date (prev blank) of 31-Jan.
02/11 - Candidate applications for Phase 1 being received from the Assurance organisation; currently being reviewed against entry criteria
18/05 - Deferred. Lower priority.
11/05 - No applications identified yet, thus no users. Leave as is until identify the 15 apps (SOW was updated to specify the identification of 15 apps that already have requirements). 
22/11 - Phase 1 project team are defining a 'calendar of events' to be sent to the business which will outline the support required over the coming months (incl. UAT)
14/12 - 1st draft 'calendar of events' sent to business reps for first few applications - awaiting confirmation to understand if they can meet the demands
</t>
  </si>
  <si>
    <t>UC</t>
  </si>
  <si>
    <t>Agreement on the Master Data Management direction for the period between now and when the E&amp;Y Enterprise Data Warehouse solution will be available</t>
  </si>
  <si>
    <t>Enterprise Architecture and Information Architecture</t>
  </si>
  <si>
    <t>We need a decision on the ADM Operating Model and Resourcing Strategy.  i.e. Will Markets/CBS be given the budget and be tasked with resourcing and delivery 200 additional applications/year, or will it sit within the Cross-Org team (with the indistrialised delivery model).</t>
  </si>
  <si>
    <t>07/03 - Risk closed as replanning being managed as a BAU activity
29/02 - Replanning underway following decision to offboard 2 Phase 1 BA resources
22/02 - Since two members of the Phase 1 BA team are being offboarded due to budget reasons the delivery dates are being impacted.  It is therefore likely that candidate applications will be descoped from Phase 1 as they can no longer be delivered within the timelines requested by the business.
14/02 - Same status as 07/02/12
07/02 - Phase 1 BA team are heavily dependant on knowing exactly what the Sharepoint Program will deliver and when to baseline the 15 applications
23/11 - Push out 1 month for next review.</t>
  </si>
  <si>
    <t>06-Mar: Recently onboarded Rediscovery PM now working with Operations and Q&amp;RM to agree accesses required to these applications
22-Feb: Confirmation received from Q&amp;RM ref gaining access to applications without sensitive data or not in the 'red box' countries; process to be defined for accessing these types of applications
15-Feb: Steve - Susan was documenting her statement around what will be in and out of scope for access. Neil will update further. 
18-Jan: This was due to be addressed at the Q&amp;RM Steering Group scheduled 26th Jan'12 however it has now been cancelled. Steve provided update that he spoke with Susan yesterday and this is being moved forward outside of the Steering Group. Should gain clarity by the end of the week. 
11-Jan: Operations agreed which data they need in order to get the access. Review in two weeks (for probable ability to close). 
10-Jan - opened by Neil.
30 Jan - QRM meeting to make decision cancelled, chasing up outside of normal channels but no decision made yet.</t>
  </si>
  <si>
    <t>06/03 - Risk closed as replanning is being managed as a BAU activity
29/02 - Replanning underway since understanding many inbound depenencies will not be delivered many months later than planned
22/02: The dates which the environments are needed by may change depending on the current Phase 1 replan
07-Feb: Phase 1 solution and infrastructure architect teams are working with TF to better understand what information they need to provision environments</t>
  </si>
  <si>
    <t xml:space="preserve">06-Mar: Risk closed as decision (D75B) raised to track agreement to both the A&amp;DM Operating Model and Resourcing Strategy
22-Feb: inc. in man. pack; still waiting to hear on Operating Model.
15-Feb: Neil reqd we include in man. pack again; need decision.
08-Feb: This corresponds with above (R26); need agreement on operating model. Neil would like this raised in mng. pack as well.
07-Feb: Awaiting decision
25-Jan: Awaiting decision from CLT ref preferred resourcing strategy for the Program. Neil sent Mike Laci latest deck (Mike involved on Operating Model team). Neil requested this go to the weekly Management Pack for Guy/Alan.
18-Jan: Portfolio 1 and 2 start dates 1-July; plan has been updated accordingly. Alan working with Mo to determine where the resolution will come from. Review next week. 
10-Jan: updated all columns, added risk res date of 31-Jan. </t>
  </si>
  <si>
    <t>06-Mar-2012: Request for decision raised Q4'11 - now impacting the initiation of the RFP for vendors for portfolio teams (refer to Issue 141)</t>
  </si>
  <si>
    <t>06/03 - Issue closed as replanning of both Phase 1 and Rediscovery projects being managed as BAU
29/02 - Change request summarising the resource reduction and the associated schedule and cost impact presented during CCB held 24/02/12 - the CR is currently awaiting approval by Alan and Bob
22/02 - Detailed impact assessment sent by Martin and Neil to Guy Morgan (highlighting impacts to Program); rev next week.</t>
  </si>
  <si>
    <t>06/03 - Issue closed as priority of A&amp;DM relative to other Programs being reviewed by CLT / IT SD leads as part of FY13 planning</t>
  </si>
  <si>
    <t>Agree priority of the review of the Rediscovery reports with the IT SD leads and CLT vs. other programs</t>
  </si>
  <si>
    <t>06-Mar: Issues closed as replanning being managed as a BAU activity
29-Feb: Replanning underway following confirmation that many inbound dependancies won't be available for a significant amount of time later than required
08-Feb: description updated, as PM is now onboarded; Phase 1 issue now around dependencies.
07-Feb: Phase 1 plan cannot be baselined until inbound dependancy owners have firmed up their plans (namely provisioning of environments, UI guidelines and O365 strategic architecture)
18th Jan: Replacement Phase 1 PM onboarded (Nicola Cooper); targeting to have draft Phase 1 plan in place by 3rd Feb'12
06th - Jan : Current ADM schedule is out of date and needs to be revised as no current PM resource is available to drive phase 1 forwards</t>
  </si>
  <si>
    <t>06/03 - Issue closed as replanning (incl. alignment of dependancies) being managed as a BAU activity
29/02 - Session scheduled with the Sharepoint Program for Friday 02/03/12 to understand both their scope and timelines to validate the applications currently in scope of Phase 1
07-Feb: Following further clarifications from the Sharepoint Program ref their scope some more applications are likely to be descoped from Phase 1; team are currently reviewing each to 're-baseline' the applications against the latest information provided by the Sharepoint program, review 2 wks.
11-Jan: have been able to replace some candidates; now lost 2, and are thus down to 13 candidates for P1. The risk is that they may find some that come off the list. Review 6-Feb. 
10-Jan: updated all columns (Neil/Laura)
7/12/11 - Issue opened. On call: move review date to 11-January.</t>
  </si>
  <si>
    <t>06-Mar: Issue closed as restaffing of the Rediscovery team being managed as a BAU activity
29-Feb: Two candidates interviewed to join the Rediscovery team as permanent resources - Rediscovery PM to now decide whether to make an offer to them
22-Feb: Decision made to offboard remaining 2 ITA resources who were progressing with the data analysis (due to budget reasons) - as a result the Rediscovery team now only comprises of a PM (who joined 21/02/12 and 3 offshore technicians); review next week.
15-Feb: continuing to review CVs; review next week. 
08-Feb: Search for backfil for data analysts continue
07-Feb: Backfil identified for PM role; search continues for backfil for data analysts
25-Jan: Opened as issue from R87. 25-Jan: 3 x ITA resources expected to leave end-Jan'12/early-Feb'12.  2 x resources (1 PM and 1 data analyst) required to backfill however no suitable candidates identified so far. As of 30-Jan, will not have a PM for Rediscovery; the stream will be running without a dedicated PM for 3 weeks. Someone is coming to help with the handover, and the team will absorb the workload.</t>
  </si>
  <si>
    <t>The IT SD teams are not reviewing the Rediscovery reports as they don't have the bandwidth or budget therefore delaying applications from being decommissioned or archived</t>
  </si>
  <si>
    <t>CLT to agree A&amp;DM Operating Model</t>
  </si>
  <si>
    <t>The Rediscovery project team need access to Lotus applications to perform analysis</t>
  </si>
  <si>
    <t>The A&amp;DM Operating Model is yet to be agreed and communicated to all IT Service Delivery Leads - until agreed the following activities are being impacted :
 - The A&amp;DM resourcing strategy cannot be baselined therefore impacting the initiation of the RFP for vendor(s) for portfolio teams who are due to start 1st Jul'12
 - The Phase 1 project team are being challenged by some IT SD teams ref who should deliver the replatformed applications</t>
  </si>
  <si>
    <t>Risk 26 &amp; Risk 67</t>
  </si>
  <si>
    <t>Risk 102</t>
  </si>
  <si>
    <t>7th March - This issue is now being closed. 
"Get to Green" plan  now being driven by A. Guthrie, and plans now baselined. although confidence levels are low.  "Get to Green" plan will deliver increased confidence. 
29th Feb - During the last checkpoint meeting 23rd Feb, it was again mandated that there WILL be a baseline plan in place for all workstreams (including Lync) by 1st March.  As of Monday 5th March, all plans will be subject to Change Control processes. Email sent to all work stream leads outlning process. 
15-Feb (on call): Al, Guy, Steve discussed on call; Alan agreed there won't be a baseline plan by the 28-29 Feb. There won't be a plan until mid-March; Al requested next review date of 3rd week of March. 
15th Feb - CheckPoint meeting held with Alan on 9th Feb.  Broad understanding now in place with A. Guthrie on what current state is. Further checkpoint email to be sent 17th Feb and a follow on checkpoint meeting scheduled for 23rd Feb. A. Guthrie has mandated that all plans must be baselined by the end Feb without exception, and then modified only under change control processes. - This has significant risk as in certain streams not enough information (ie no vendor selected) will be available at the end of the month to produce detailed enough plans. 
31st Jan - Early awareness of current state provided to Alan Guthrie - further status update to be send 6th Feb. 
23rd Jan - Requirement is to have detailed plans, assumptions, decisions and a resource plan being fed through for all streams during various check point meetings in Feb being set up with Alan Guthrie and then a final version being presented to the FSG on 28th / 29th Feb.
17th Jan - Added Issue of Lync hosting not confirmed which is having similar impact to the validity of the Lync Plan. 
11-Jan: impact assessment for O365 for SP around the 2nd week of Feb, if get Msft eng sorted by then. Review Feb.
06th- Jan - Detail of decision is required prior to further workshops being held to understand impact to time / cost / scope and overall quality. TF Exchange SharePoint, UC and SharePoint plans are currently are in need of revalidation</t>
  </si>
  <si>
    <t xml:space="preserve">21-Feb: Ian: related to a recent change that Bob has put into place around SP and also impacts who Michelle mow has to interact with; Michelle to confirm and update.
25-Jan: On a call in which the issue of customization came up, it was decided that there will be people from the business to be responsible; Bob is working to name these individuals. Laura and Ian will discuss off-line and follow-up with Alan or Bob.
11 - Jan Opened item. On call, selected Bob as the owner, came up on call with Alan. Trying to identify business person to be accountable for each area. This will make it clearer who is making what decision. </t>
  </si>
  <si>
    <t>Al, Adrian and Mark provided the update.</t>
  </si>
  <si>
    <t>It is assumed that there is enough capacity and space in the global data centres for the installation of the required infrastructure for the M&amp;C program</t>
  </si>
  <si>
    <t>7-Mar: It has been confirmed that Frankfurt will be the only data center; mark validated per Al, Adrian, and Mark. This came out of A2.</t>
  </si>
  <si>
    <t>It is confirmed that Frankfurt will be the only data center for the installation of the required infrastructure for the M&amp;C program.</t>
  </si>
  <si>
    <t>6-Mar: It has been confirmed that Frankfurt will be the only data center (decision D210); assumption valid - there is sufficient capacity.</t>
  </si>
  <si>
    <t>7-Mar: Nick emailed that this item can be closed as it has been superceded by R108.
24/02: ACTION - Nick to re-word the risk</t>
  </si>
  <si>
    <t>superceded by R108; track there (per Nick Coburn)</t>
  </si>
  <si>
    <t xml:space="preserve">We will need to support Lotus Notes for a significant period of time following deployment of Exchange and SharePoint and this will potentially increase support costs for FY13. </t>
  </si>
  <si>
    <t>Will be validated via Service Design approach and better understanding of external support costs from external vendors for Cloud and On Premise.</t>
  </si>
  <si>
    <t>7-Mar: Nick provided additional detail for this item. R107 closed as it is accounted for in this item.</t>
  </si>
  <si>
    <t>IT Services may become disengaged and disenfranchised with the change management process. Service Design will need to be reviewed for each time we define the Service Transition Plan.</t>
  </si>
  <si>
    <t>Will need to revisit once all plans are baselined and following 30 day 'get to green' approach to assess if our current plan timeline remains valid.</t>
  </si>
  <si>
    <t>7-Mar: Nick provided additional detail for this item.</t>
  </si>
  <si>
    <t>7-Mar: LM reqd update, per Al. Paul said there is no update; this is now underway with John Murray. Looking at mid-April completion date. 
6-Mar: added due date of 25-Apr. Nrd: mid-April. This will start to come together following call with Steve Yeomans tomorrow.
15-Feb: This is linked to Riverbed; testing will occur in the next 1.5 months; also gathering information from current Riverbed clients. Should have additional information late next week; review 2 wks. 
8-Feb: opened from R91. Paul said they are currently trying to initiate this impact assessment.
Risk was opened 25-Jan, as identified by Brett and Al. The action is with Paul, Nick and John to complete the exercise to review all country connections to the MPLS cloud.</t>
  </si>
  <si>
    <t>Michelle / Norm</t>
  </si>
  <si>
    <t>Ant / Afzaal / Klara</t>
  </si>
  <si>
    <t>Fareed Naeem / Jeremy Brown</t>
  </si>
  <si>
    <t xml:space="preserve">Program
7-Mar: Al and Mark had a conversation around this item; will be part of blueprints. Decision will need to come first from Fareed Naeem and then Jeremy Brown. </t>
  </si>
  <si>
    <t>6-Mar Steve: Q&amp;RM have now confirmed that this request / requirement no longer exists. No saving of external chats are required.
29th Feb :- Q&amp;RM Chair reaching out to key participants of the Legal Exec Committee to recommend that this requirement is no longer worth pursuing given the impact. Awaiting feedback.
20th Feb ; - Risk Probability downgraded to Doubtful based on further conversations. 
15th Feb: Q&amp;RM briefed. Risk reduced - however further work required in providing a view on costs / effort and impact.
8-Feb: Need to ensure that Q&amp;RM understand this risk. Action opened for Steve to go to Q&amp;RM to ensure they are aware of this, then Al, Adrian and Steve will take it to the engineering team to discuss costs. Review next week.  
8-Feb: there are still a lot of questions around this item as the team is still unsure whether this is needed. Currently seeking more info.
1st Feb: Meeting to be arranged by Claire Love (Susan Chakerian's PA) Not yet set up. 
 25-Jan: Steve opened on call.
It has been proposed that "archiving of external chats" needs to be enabled from back end servers. However if this is a format requirement from Q&amp;RM  specifically relating to countries where data cannot reside outside of country borders, further infrastructure will be required in those countries. It is believed that this has not been factored into solutions design or budget at this point</t>
  </si>
  <si>
    <t>Steve Jelf: Q&amp;RM confirmed that this request / requirement no longer exists. No saving of external chats are required.</t>
  </si>
  <si>
    <r>
      <t xml:space="preserve">7-Mar: Steve Jelf: </t>
    </r>
    <r>
      <rPr>
        <b/>
        <sz val="9"/>
        <color theme="1"/>
        <rFont val="EYInterstate Light"/>
      </rPr>
      <t>Q&amp;RM confirmed that this request / requirement no longer exists. No saving of external chats are required.</t>
    </r>
    <r>
      <rPr>
        <sz val="9"/>
        <color theme="1"/>
        <rFont val="EYInterstate Light"/>
      </rPr>
      <t xml:space="preserve">
Due to a previous Q&amp;RM recommendation, the current Instant Messaging client (Sametime)  saving facility is disabled. 
Q&amp;RM have re-validated this previous recommendation and concluded that the risk profile  has not changed. 
It is however now assumed that chats with external parties will be enabled in the future state (from the server end).  This presents additional challenge
</t>
    </r>
  </si>
  <si>
    <t xml:space="preserve">7-mar: Steve Jelf: Q&amp;RM confirmed that this request / requirement no longer exists. No saving of external chats are required. Also closed corresponding risk, R93. 
29th Feb :- Q&amp;RM Chair reaching out to key participants of the Legal Exec Committee to recommend that this requirement is no longer worth pursuing given the impact. Awaiting feedback.
22nd Feb - Email highlighting high level impact sent to Q&amp;RM. SC to brief Legal Exec Comittee.  It is thought that this requirement may be dropped when impact is fully understood. 
2nd Feb - Recomendation made by Q&amp;RM.
A) Saving of chats (internal or external) should be disabled from the users (Lync Client) perspective. 
B) "Archiving" of External client chats should be configured / scoped into the design at the server (Tech Foundation) side. However a key risk is outstanding in that if this is the case, does additional H/W need to be put on premise for countries that have a restricted in moving data outside of country borders.
Furthermore, Legal discliamers should not be configured for Internal chat, but should be enabled for External Chats. (Q&amp;RM to confirm wording of disclaimer).
10-Feb SJ - This is significant .It affects the Lync functional spec, and overall Infrastructure build of Lync. We may need Infrastructure build out for On Prem locations as well as amendments to any cloud offering chosen. . 
Still awaiting formal decision from Q&amp;RM.  Escalated again 9th Feb. Once formal recommendation made by Q&amp;RM,  Architecture team will require to investigate likely costs. Costs vs Risk decision then needs to be taken.
</t>
  </si>
  <si>
    <t xml:space="preserve">6th March - Accepted that no technical solution exists. Outstanding decision required by Americas area as to if voicemail forrwarding and speech translation to text should be disabled. All other areas have accepted the risk.
22nd Feb - It is confirmed that no technical solution exists out of the box or via RMS 3rd party tools to meet the business requirement. 
Further request made to confirm if a product does exist on the market to cater for our "auto delete" requirements. Q&amp;RM have been asked to make a decision assuming no further tools are available to meet the requirement. Further info expected 9th March.
(SJ) to set up a further meeting with IIT Services engineering architects to review what exact configurations can be made, reporting back to SC on this., The aim will then be to confirm a configuration for the enabling of legal disclaimers for external related chats.
1-Feb: Nick, Juan and Klara working on a deck around this. Need Nick to tell us whether Msft can meet the need or what 3rd party tools are available. Adrian will chase this as a first step and come back to Steve.
9-Feb James H.-Unable to clarify the scope with vendor (if cloud is chosen) until decision is made.
10-Feb SJ - Either the technology will support the requirements, or not. 
Awaiting technical validation, prior to cycling back to Q&amp;RM.
(Don’t believe this will be a business decision at this point).   
</t>
  </si>
  <si>
    <r>
      <rPr>
        <b/>
        <sz val="9"/>
        <color theme="1"/>
        <rFont val="EYInterstate Light"/>
      </rPr>
      <t xml:space="preserve">Lync Voicemails. 
6-Mar: Accepted that no technical solution exists. Outstanding decision required by Americas area as to if voicemail forrwarding and speech translation to text should be disabled. All other areas have accepted the risk.
</t>
    </r>
    <r>
      <rPr>
        <sz val="9"/>
        <color theme="1"/>
        <rFont val="EYInterstate Light"/>
      </rPr>
      <t xml:space="preserve">
Enabling either voicemail forwarding or translation of speech to text presents a risks in that messages cannot be tracked and automatically deleted after a defined period of time. Requirements Q&amp;RM direction
</t>
    </r>
  </si>
  <si>
    <t>Being tracked in Issue 19.</t>
  </si>
  <si>
    <t>This item had been closed due to positive references from current clients.</t>
  </si>
  <si>
    <t>6-Mar: Steve - Q&amp;RM - no longer a requirement.</t>
  </si>
  <si>
    <t>Being actively managed through D83 and TF subsequent actions. This has been completed 5-Mar.</t>
  </si>
  <si>
    <t>Klara Neginsky</t>
  </si>
  <si>
    <t>In the case that there is a break/error in the communication between the designated Domain Controllers for O365, O365 requires a "fall back" route to establish a connection with another DC within the EY Environment to maintain the service. 
The fall back could be to any DC anywhere in the world, potentially exposing security weaknesses in the EY network and impacting on the performance experience for Users using cloud services.</t>
  </si>
  <si>
    <t>Set up "secure DCs" within the GDCs as the fall back route for O365 DCs</t>
  </si>
  <si>
    <t>9th March</t>
  </si>
  <si>
    <t xml:space="preserve">Task </t>
  </si>
  <si>
    <r>
      <t xml:space="preserve">5-Mar: The Programme needs to asses risk of whether  it is feasible to run On-prem and Cloud migration in parallel.
The migration approach needs to happen throughout the week.  
</t>
    </r>
    <r>
      <rPr>
        <b/>
        <sz val="9"/>
        <color rgb="FFFF0000"/>
        <rFont val="EYInterstate Light"/>
      </rPr>
      <t>The programme needs to define the approach that is least risk to the organisation</t>
    </r>
  </si>
  <si>
    <t xml:space="preserve">08-Mar: O365 development standards sent by Norm Beard to Neil Sahdev on 08/03/12
22-Feb: M&amp;C Program is the leader program and thus must develop standards and practices (create where they don't exist). Confirm that this is what is being sought by A&amp;DM (in opening this item). Ed is working on this; review in March. Updated syntax per Brett; rather than "no standards exist" &gt; "the EY implementation of O365 devel. standards..."
15-Feb: on call, team said this belongs to SP. LM em'd michelle for details. </t>
  </si>
  <si>
    <r>
      <t xml:space="preserve">Disconnect between the current need for engagement with the business/application owners </t>
    </r>
    <r>
      <rPr>
        <b/>
        <sz val="9"/>
        <rFont val="Arial"/>
        <family val="2"/>
      </rPr>
      <t>and</t>
    </r>
    <r>
      <rPr>
        <sz val="9"/>
        <rFont val="Arial"/>
        <family val="2"/>
      </rPr>
      <t xml:space="preserve"> the model agreed with the ITSD leads. This is impacting UC and A&amp;DM timelines. Model is agreed, but no resources to be provided until new FY</t>
    </r>
  </si>
  <si>
    <t>Short terms agreement to be instituted. Utilise program BA's with aircover from ITSD leads</t>
  </si>
  <si>
    <t xml:space="preserve">06-March - Martin K: Issue closed as all areas are now engaged and it's part of the CH and Deployment plan to engage furhter at a local level.
22-Feb: Currently under discussions about whether change network required to be in place for Lync deployment phase 1. This will remain an issue if have to setup for Lync. This ties in with the Lync vendor work; Brett said there have been some issues with the RFP. Due date ammended from 28-Nov-2012 to 7-Mar-2012 (optimistic target). Review next week.
05-Feb: Engaged with Asia on the propose local network required despite lack of clarity on deployment dates.  Further engagement with other areas in progress.
26-Jan: Issue re-opened after discussion on I40 being sp
10-Jan: closed this item into Issue 40. 
19/12 - Change/deployment currently putting a plan together to enagage comprehensively at area level starting Feburary.
14/12 -Had meetings with IT relationship managers and there is a call with LIz King tonight to agree on the next steps. Nothing is formally in place.  
07/12 - Jackie: had 1st meeting with AsiaPac, working to confirm that Japan IT reps are appropriate, still struggling with EMEIA. The main issue is getting sign-off on baseline requirements. FSG tomorrow afternoon - will detail the problem. Review next week.
30/11 - jackie said have session scheduled with AsiaPac for 5-December. Have some engagement from Americas/EMEIA, but still looking for representatives. Have someone lined up in Japan. Review next week.
24/11: On going discussion with the business team including the business deployment lead on best approach to engage with the business. Initial engagement with AsiaPac on 5th Dec to discuss M&amp;C and gain insight re how to engage with the team in Asia. Jeremy/Adrian and Bob presenting.
9/11 - Call with Sarah Freeman (did change for CRM in ASiaPac) to discuss what they had done. Follow-on call on 10/11 with Sarah and Rebecca Chan (AsiaPac rep for IT). Jackie has drafted a Business engagement process, running through that with Adrian &amp; Rewa. Critical impacts identified. Jackie working with Jeremy to agree what is needed from SAS work on M&amp;C story to then follow-on to the schedule of engagement with Area leads. 
8/11 Relationship Area managers meeting M&amp;C (engagement meeting)14/12 Sophie/Jackie following up on next steps (keeping in mind the deployment approach being developped)
02/11 - Rewa has been in touch with Guy. Review in 2 weeks.
26/10 - Review next week.
25/10 - Bob and Jeremy are keen to create the picture of the future before engaging with senior Area representatives.  A process is now in place, starting with Microsoft and SAS engagement to develelp the picture/story of future ways of workng for Outlook &amp; Lync.
+R1521/10 - Adrian and Jackie have sougght contacts in each area/country. 
19/10 - Al requested action to Adrian to update the impact of this item.
</t>
  </si>
  <si>
    <r>
      <t xml:space="preserve">8th March- General acceptance provided on this (30 day period) . It is thought that this setting could be changed based on a justified / approved Change Request -awaiting on confirmation from Nick Wood. (email sent 8th March)
c20th Feb - Discussed with SC 21st Feb. Email being sent to members of the LEC to confirm a standard 30 day policy is likely to exist across all countries. Awaiting feedback from SC on this. 
10-Feb:  SJ - Q&amp;RM direction required (escalated again 9th Feb).
Paul Neave should confirm how critical a decision is, however it is believed that this needs to be fed into the “scope lock” phase- due to finalise early March. 
PIN – the opposite is also true -  there are countries who also expect to retain mailboxes for leavers
</t>
    </r>
    <r>
      <rPr>
        <b/>
        <sz val="9"/>
        <color theme="1"/>
        <rFont val="EYInterstate Light"/>
      </rPr>
      <t>10-Feb: Steve to go back to Susan (Q&amp;RM): Our default position is 30 days, but we can move it to 5 if we need to. Our recommendation is not to leave it any longer than 30 days because of the cost implications.</t>
    </r>
  </si>
  <si>
    <t>9 Feb:  This is a duplicate issue (I133).  This item will be closed and activity will be tracked under I133.</t>
  </si>
  <si>
    <t>Kevin Smyth / Eric Wahl</t>
  </si>
  <si>
    <t>7 Feb:  Added Issue.  Currently replanning activity. Eric and Kevin to set direction as part of the replanning of UX.</t>
  </si>
  <si>
    <t>I150</t>
  </si>
  <si>
    <t>Eric and Kevin to discuss with Frog and Replan UX.</t>
  </si>
  <si>
    <t>No clarity on the whether we are developing a DTU solution or a generic S&amp;D solution</t>
  </si>
  <si>
    <t>Bob Reiner/ Alan Guthrie</t>
  </si>
  <si>
    <t>8-Mar : Issue added</t>
  </si>
  <si>
    <t>Lack of clarity on what is in the scope of governance and what is in the scope of WSL's responsibility</t>
  </si>
  <si>
    <t>This program is the most technically complex we have undertaken. It requires leaders to understand this technology and to be able to articulate it to their customers. This is far beyond just support people.</t>
  </si>
  <si>
    <t>We will need Proliferation plans in place beyond just support.</t>
  </si>
  <si>
    <t>We will devise a knowledge proliferation plan.</t>
  </si>
  <si>
    <t>Unknown at this time</t>
  </si>
  <si>
    <t>Dependent on the budget process</t>
  </si>
  <si>
    <t>09/03/12: RB: Meeting scheduled for 21/03/12 to agree migration strategy and velocity, and determine how these will be agreed with Microsoft, Ops, and Business
27/02/12: RB: Risk added to distinguish between two distinct topics: challenged assumptions around migration velocity (R97) and challenged assumptions around migration strategy R105</t>
  </si>
  <si>
    <t>09/03/12: RB: Meeting scheduled for 21/03/12 to agree migration strategy and velocity, and determine how these will be agreed with Microsoft, Ops, and Business
06/03/12: RB: PN has provided a draft schedule to UC and this has been shared with Business Deployment. UC/BD will use this as the basis of the deployment plan pending further updates from DCC. As a result, risk downgraded to Minor
27/02/12: RB: Latest TF plan suggests country schedule ready end of March
08-Feb: removed "Lync" from the desc; this is only for Exchange. John/Alan are aware of the timelines and implications. Review in 1 mo. 
25/01/12 - Paul Neave meeting with DCC team on 30th for update.
18/01/12: Final deployment list still under discussion. Awaiting update
11/01/12: Rewa: Paul Neave sent an update earlier this week on his discussion with DCC Program. Still waiting on in-country builds. DCC team will have a dedicated PM coming on to assist with in-country buildouts, which will mitigate that portion of the risk. The open question is around what to do with the countries we don't have requirements for? Review 2 weeks. 
11/01: (RB) Paul Neave (TF) has now provided updated list of where in-country builds likely, and "Waves" for DCC delivery. This has been shared with Business Deployment Lead, and can be used as the basis for deployment planning. Still awaiting decision on "market driver"  country builds however, so keeping risk open
04-Jan: Leave open until next week; Michelle seeking confirmation that this can be closed.
14/12 - Will change after decision of whether to go BPOS.
30/11 - Added Adrian as the owner (instead of MIke O'Donnell). This is being managed as a dependency also; will have significant impact, most sits around RFP decision. Paul Neave working on impact assessment to determine cost of in-country builds. Review next week.
11/11 - R Bouji - P Neave confirmed that the DCC program is expecting to provide the final list of countries for deployment and a potential deployment schedule by end of the year. PN to provide update to RB when known</t>
  </si>
  <si>
    <t>09/03/12: RB: Meeting scheduled for 21/03/12 to agree migration strategy and velocity, and determine how these will be agreed with Microsoft, Ops, and Business
27/02/12: RB: Wording amended. Further discussion needed with Business Deployment, Transition Management, TF and MSFT to agree how to resolve these
22-Feb: Brett clarified: Msft does offer weekend migrations; the open question is that they have never had a client do only weekend migrations. EY had an assumption of weekend migrations in large part because we assumed we could do roll backs, which Msft has now told us with O365 they don't do rollbacks. EY needs to rethink assumptions on migration, thinking through the reasoning, Msft experience, etc. Rewa took an action to update the syntax of this item to reflect Brett's comments above.
21/02/12: RB: Added as output from Assumptions log. Assumption cannot be revalidated</t>
  </si>
  <si>
    <t xml:space="preserve">Risk became issue, opened as I150. </t>
  </si>
  <si>
    <t>Iain Matheson</t>
  </si>
  <si>
    <t>The integrity of the programme finances are suspect due to various historical factors such as a number of policy, system and staff handovers, bespoke complexities added, lack of clarity in Finance inputs etc.</t>
  </si>
  <si>
    <t>Alternative Financial model to be proposed and implementation plan developed by Fri 23rd Mar. Proposed parallel run through Apr with existing process/tools and final cut-over end Apr.</t>
  </si>
  <si>
    <t>9-Mar: Adrian will confirm this on next Wednesday 2pm call with IAM team.
7-Mar: Emd Ted, Mark, Adrian, Daren to determine who is responsible for gettng this closed off. 
6-Mar: using AD sync replication; CR currently underway. Review end of March; added Required Resolution Date of end of March. 
7-Feb: removed Brett from Assigned to (just Adrian); this falls to Adrian as at this time no progress will be made without the CR against SPF to get the re-factoring of the design done.
18-Jan: This needs to be redesigned for O365. The answer lies in a CR that needs to be implemented against the SPF design that has been completed based on the cloud decision. Some workshops next week; looking to nail down a second week of workshops for impact. The direction is for the Fusion Profiles team to work with SPF to address the design for Profile Sync. Adrian said that 8-February is the date when we will be able to look at this further. In the mean time, Michelle's team needs to assess impact on timing of their delivery. 
11-Jan: SP &gt; TF, ownership from Michelle/Greg &gt; Adrian and Brett. SP design complete for on-prem; Msft needs to adjust this for cloud, but this won't be until have a resource assigned. Travis has already been re-assigned. Action opened for Brett and Adrian to take this off-line. Review next week. 
11-Jan need to better understand the 0365 decision before we can move forward with addressing this item.      04-Jan: Michelle working with Norm L to get clarity on HR profile strategy. Review next week.
03/1  -  Proposal can't be evaluated pending details of Office 365 decision and architecture.
06/12 - Issue opened. Norm has devised an alternate solution concept using AD as a primary source for attributes. To be discussed during Fusion Enterprise Architecture meeting Wednesday December 7th. Review next week.</t>
  </si>
  <si>
    <t>Fareed Naeem</t>
  </si>
  <si>
    <t>9-Mar: CR0026 closed today.</t>
  </si>
  <si>
    <t>CR0026 for the re-design approved (to get the re-design underway to get to the final design)
CR approved.</t>
  </si>
  <si>
    <t>9-Mar: CR0026 closed today; as part of CR26, closed.</t>
  </si>
  <si>
    <t>3-way coexistence design: Microsoft will prime this work and O365 will underwrite that the design will work with O365. Part of CR 26 (9-Mar: CR approved)</t>
  </si>
  <si>
    <t>Need to recruit a significant number of additional resources into the program. Recruitment of skilled staff proving very difficult and will impact schedules.</t>
  </si>
  <si>
    <t>Nick Coburn / Mike Laci</t>
  </si>
  <si>
    <t xml:space="preserve">24/02: ACTION -  N.Coburn schedule a session for when in  US  to discuss  what the organisation would look like / people requirements. Pull together transition management capability and what would look like for M&amp;C. 
</t>
  </si>
  <si>
    <t xml:space="preserve">Onboard additiona Transition resources
</t>
  </si>
  <si>
    <t xml:space="preserve">Need to determine if a charge code should be established independent of current work streams. </t>
  </si>
  <si>
    <t>Estabish a charge code for Transtiion activity</t>
  </si>
  <si>
    <t>Discussing the need to realign the IT Transition group and Transition Mangers under a single group under M&amp;C or Cross-Org to better manage IT Transition as a service.</t>
  </si>
  <si>
    <t>Establish IT Transition as its own group under M&amp;C and Cross-Org</t>
  </si>
  <si>
    <t>02/03: ACTION - N. Coburn to have a first draft view by 16th March.</t>
  </si>
  <si>
    <t>We do not have the new technology (i.e. SharePoint available to IT Services personnel to use on a day-to-day basis.</t>
  </si>
  <si>
    <t>02/03: Action - B. Pardoe to raise on the Program Level RAID Log.</t>
  </si>
  <si>
    <t>Allow key IT Resources outside of M&amp;C to use M&amp;C Technologies on a day-to-day basis</t>
  </si>
  <si>
    <t>Lack of clarity on the SharePoint 15 adoption/features</t>
  </si>
  <si>
    <t>A tier A specific archiving solution will be constructed.  Note that it may not include all the data in Tier A
Tier A: We will build a Tier-A only specific archiving solution for //content and //communities only</t>
  </si>
  <si>
    <t>11_11_08.1.15 - "Tier A: We will build a Tier-A only specific archiving solution for //content and //communities only" 
O365 Hosted if aplicable for workloads, therefore need to revalidate
Travis 9-Mar: Need to re-validate what "archiving" means to EY. Although "Content" has a large user-base, it should still be considered an Application-Specific workload (i.e. vertical). Assuming verticals do not live in O365, it will require an on-premises archiving solution which is not considered in the "to-be" architecture. Assuming all community types live in O365, EY can take advantage of the O365 "Records Center" site collection which can grow to 400GB (at this threshold, this is a maximum of 300 based on latest service description). Need to re-visit the requirement for archiving and determine if the constraints still meet the requirement. Arch imp: YES</t>
  </si>
  <si>
    <t>Travis 9-Mar: This needs to be re-visited as the proposed solution in the workshops was to use an LDIF import over the WAN to Frankfurt. We need to validate this approach is still the direction and if it fits into the Office365 constraints. Arch impact: YES</t>
  </si>
  <si>
    <t>Travis 9-Mar: My understanding is this still holds. It makes sense to do a quick sync with the IAM work stream and validate.</t>
  </si>
  <si>
    <t>Travis 9-Mar: Conceptually this decision holds, but technically there are hurdles with the integration scenarios with Office365. If this is the vision, we need to wrap a maturity model around this capability/feature. This is has been impacted by Office365. Arch imp: YES</t>
  </si>
  <si>
    <t>9-Mar Travis: Assuming Tier A now wholly exists in Office365, DR capabilities are built into the Service. We need to validate the DR capability meets the requirement. Arch imp: YES</t>
  </si>
  <si>
    <t>Both CRs are beyond the dates for acceptance specified by MS (prevDP14) 9-Mar Travis: Confirmed.</t>
  </si>
  <si>
    <t>9-Mar Travis: Confirmed. EY has no restrictions on authoritative content residing in Office365.</t>
  </si>
  <si>
    <t>Authoritative content will be in all three Tiers.
EY has no restrictions on authoritative content residing in Office365.</t>
  </si>
  <si>
    <t>9-Mar Travis: Confirmed. BCS may not even be used for supplemental profile import depending on approach, but is supported by Office365 either way.</t>
  </si>
  <si>
    <t>Business Connectivity Services (BCS) will only be used for User Profiles in Tier A for the GHRDB connection. No other uses planned at this time
BCS may not even be used for supplemental profile import depending on approach, but is supported by Office365 either way.</t>
  </si>
  <si>
    <t>PN: PN - assumption for Exchange system is will have full redundancy at DR site
9-Mar Travis: Confirmed. DR footprint is TBD for SP Services beyond Tier A. Assumes deployment of DR infrastructure is diminished or not required for Tier A services.</t>
  </si>
  <si>
    <t>9-Mar Travis: Revalidate based on Office365 decision. Since cross-farm services design were originally intended to be part tier A, we need to confirm that the O365 environment can still host these as cross-farm services. Arch imp: YES</t>
  </si>
  <si>
    <t>9-Mar Travis:Confirmed. Need to revalidate target source for this migration. If these are going to the "Content" service/application, then that is outside of Office365. If these are going to "Communities", then need to consider implications to CKR migration strategy for Office365. Arch imp: YES</t>
  </si>
  <si>
    <t>9-Mar Travis: Confirmed. 
Scope - Tier B has yet to be defined. Use of base service offering remains aspirational.</t>
  </si>
  <si>
    <t>9-Mar Travis: Validate that this requirement can be achieved now that MySites are in Office365. Arch imp: YES</t>
  </si>
  <si>
    <t>9-Mar Travis: Confirmed.</t>
  </si>
  <si>
    <t>(prev DP6) Paul Neave and TF team - valid!
9-Mar Travis: Confirmed.</t>
  </si>
  <si>
    <t xml:space="preserve">MySites will only live in Office 365.
</t>
  </si>
  <si>
    <t>9-Mar Travis: Confirmed. MySites will only live in Office 365.
Previous questions: Decide whether My Sites will be in the additional locations (locations in addition to Frankfurt) to keep them close to users for performance reasons.</t>
  </si>
  <si>
    <t>Note: EY Directive not taken by MCS
9-Mar Travis: Confirmed.</t>
  </si>
  <si>
    <t>9-Mar Travis: Confirmed. An in-country SP design with local HA is in the current architecture description.</t>
  </si>
  <si>
    <t>9-Mar Travis: Confirmed. Single datacenter approach for Tier A and is reflected by moving Tier A to Office365.</t>
  </si>
  <si>
    <t>9-Mar Travis: Confirmed. No special encryption capability at FAST level. This is at the hardware level and outside the scope of the SharePoint architecture.</t>
  </si>
  <si>
    <t>9-Mar Travis: Confirmed. This is configuration.</t>
  </si>
  <si>
    <t>Paul Neave and TF team - still valid; marked revalidated. 9-Mar Travis: Confirmed.</t>
  </si>
  <si>
    <t>Paul Neave and TF team - still valid; marked revalidated. 9-Mar Travis: Confirmed. Validate how DR testing will be performed.</t>
  </si>
  <si>
    <t>Paul Neave &amp; TF team - still valid, marked revalidated.  9-Mar Travis: Confirmed.</t>
  </si>
  <si>
    <t>9-Mar Travis: Need to re-validate with IAM and O365 folks on the population and use of this attribute. What are the constraints? Is this still valid? Arch imp: YES</t>
  </si>
  <si>
    <t>9-Mar Travis: Confirmed. Assumes this is still the direction and has not been changed by the UX/Frog workstream. Impact would impact farm capacity and load, but is mitigated to some degree now that Mysites are deployed to Office365.</t>
  </si>
  <si>
    <t>9-Mar Travis: Confirmed. This is an opportunity to align with the co-existence strategy between SharePoint and these systems.</t>
  </si>
  <si>
    <t>9-Mar Travis: Need to validate approach with IAM and Office365 teams. Arch imp: YES</t>
  </si>
  <si>
    <t>9-Mar Travis: Need to re-confirm with Fusion that this is still the case. My understanding is there has been additional analysis done here that may impact the original sizing. Need to re-confirm with Pat Velderman. Arch imp: YES</t>
  </si>
  <si>
    <t>9-Mar Travis: Need to re-confirm content sources being indexed by FAST. Bring Pat Velderman and Steve N. into the fold on this one. I have recently heard rumblings of indexing Lotus Notes databases, so the strategy has shifted.</t>
  </si>
  <si>
    <t>9-Mar Travis: Confirmed. As far as I know, in-country deployments are meant to live in the DMZ as the requirement exists for collaborating on client data/assets.</t>
  </si>
  <si>
    <t>9-Mar Travis: Confirmed. Current design only includes a local HA solution with redundancy at web and app tiers.</t>
  </si>
  <si>
    <t>9-Mar Travis: Confirmed. This is still the direction as far as I know. Gerd is keen on the value proposition of RBS, but current thinking suggests it is not the right solution at the moment. This may change if more specialized workloads are deployed on Sharepoint like streaming media.</t>
  </si>
  <si>
    <t>9-Mar Travis: Office 365 is a one-data center approach.</t>
  </si>
  <si>
    <t>Office 365 is a one-data center approach.
SPF should assume that the benefits of a one-data center approach outweighs the risk of the cost of rework if design is developed to a one-data center approach</t>
  </si>
  <si>
    <t>Paul Neave - still valid; revalidated. 9-Mar Travis: Confirmed. This continues to be the direction and is what is being used to build out the non-production environments.</t>
  </si>
  <si>
    <t>9-Mar Travis: Confirmed. No change in direction on ECMA as far as I know.</t>
  </si>
  <si>
    <t>This item is being addressed as part of Blue print.</t>
  </si>
  <si>
    <t>Will be addressed as part of the replan</t>
  </si>
  <si>
    <t>Governance team in process</t>
  </si>
  <si>
    <t>Team is being reassinged to help until replan is complete.  WSL leaders engaged and realigning tasks</t>
  </si>
  <si>
    <t>To be determined as part of the replan</t>
  </si>
  <si>
    <t>Approach determined and the team is workign on the replan</t>
  </si>
  <si>
    <t>Use the quick hits  is yet to be determined.</t>
  </si>
  <si>
    <t>WSL engaged to meke sure this does not happen</t>
  </si>
  <si>
    <t>Replan in process</t>
  </si>
  <si>
    <t>Blue print to determine</t>
  </si>
  <si>
    <t xml:space="preserve">Verified with the Governance leader.  </t>
  </si>
  <si>
    <t>replan will address</t>
  </si>
  <si>
    <t>Will be addressed by the WSL</t>
  </si>
  <si>
    <t>9-Mar Travis: Confirmed. Check with Prokopios and Blueprinting effort on archiving requirements, but not currently part of scope.</t>
  </si>
  <si>
    <t>9-Mar Travis: Need to re-validate approach with blueprinting and FAST teams to ensure this meets the requirements and user experience needs.Arch imp: YES</t>
  </si>
  <si>
    <t>9-Mar Travis: This is the vision, but not necessarily the capability being delivered by the "To-Be" architecture in Phase 1/Release 1. This needs to be re-evaluated with the hybrid, O365 architecture. Arch imp: YES</t>
  </si>
  <si>
    <t>9-Mar-Travis: Confirmed. User Profile import approach should align with this.</t>
  </si>
  <si>
    <t>9-Mar Travis: Confirmed. Even if archiving becomes a requirement in SharePoint and SharePoint becomes the core, archiving repository for this capability, the tool will not be built by EY.</t>
  </si>
  <si>
    <t>9-Mar Travis: Confirmed. Office365 has a service management framework wrapped around it. EY operations will have to integrate these processes with their ITSM framework and processes.</t>
  </si>
  <si>
    <t>9-Mar Travis: Need to re-work Tier A definition based on Office365 decision. Some services and capabilities may shift out of Tier A based on O365 constraints, policies and procedures and technical limitations of on-premises integration points. Arch imp: YES</t>
  </si>
  <si>
    <t>9-Mar Travis: Office 365 does not support this many web apps. These services would either have to move to a different tier, outside of Office 365 or consolidated under the given set of O365 web apps assuming there are no constraints prohibiting these services.Arch imp: YES</t>
  </si>
  <si>
    <t>9-Mar Travis: Revalidate based on archiving requirements. These requirements are being reevaluated as part of D107 as well. (duplicate - marked obsolete.)</t>
  </si>
  <si>
    <t>9-Mar Travis: Revalidate data capacity and sizing requirements based on latest information. Arch imp: YES</t>
  </si>
  <si>
    <t>9-Mar Travis: Confirmed. Web Trends is supported in Office365.</t>
  </si>
  <si>
    <t>9-Mar Travis: Confirmed. The design for UX is being delivered by Frog, but not sure who is doing the implementation to a WSP. This is guidance to the implementers.</t>
  </si>
  <si>
    <t xml:space="preserve">Based on Office365, User Profile sync will occur in Office365. GHRDB data will be populated in AD via a process outside of user profile sync (IDSync).
</t>
  </si>
  <si>
    <t>9-Mar Travis: Invalid decision. Based on Office365, User Profile sync will occur in Office365. GHRDB data will be populated in AD via a process outside of user profile sync (IDSync).
Initially read: User Profiles and BCS: 
User profiles sync will live in Secaucus with GHRDB and BCS. UPRE will leverage that to replicate to the other two global data centers (Frankfurt and Singapore).</t>
  </si>
  <si>
    <t>9-Mar Travis: This may be invalidated with the Office365 decision because this was a solution for DR when the Tier A services lived in Frankfurt. This DR strategy may still be valid for other on-premises services, but that is TBD.</t>
  </si>
  <si>
    <t>9-Mar Travis: Confirmed. Long-term file shares may be migrated, but not in scope for initial phases/releases.</t>
  </si>
  <si>
    <t>9-Mar Travis: Confirmed. See D107 for archiving strategy.</t>
  </si>
  <si>
    <t>9-Mar Travis: Confirmed. This is not supported in Office365 in the current service description.</t>
  </si>
  <si>
    <t>9-Mar Travis: Confirmed. This still stands as far as I know. The decision can be revalidated with FAST team, Pat Velderman and Ed Dale if still valid decision.</t>
  </si>
  <si>
    <t>9-Mar Travis: Need to revalidate based on Office365 features and capabilities.</t>
  </si>
  <si>
    <t>See log: 23 items</t>
  </si>
  <si>
    <t xml:space="preserve">Mike/Ritesh </t>
  </si>
  <si>
    <t>Adrian working with Lindsey to secure an environments manager (Technopark).</t>
  </si>
  <si>
    <t>Work with engineering team to id areas of low, med, high bandwidth.</t>
  </si>
  <si>
    <t xml:space="preserve">9-Mar: Fareed and Mark setting up a call to discuss. 
6-Mar: Need decision on commitment to forming governance body (business, IT, operations); Al and Mark to discuss tomorrow. 
15-Feb: This will be revisited in Dallas (FSG); team on call recommended review after Dallas. 
25-Jan: Confirm Tech Foundation still has budget for this resource. 
11-Jan: Andy is working with Guy to determine what resources we'll need for SP governance.
07/12 - Workstreams are moving forward; if there is a governance change, will present a problem. Andy Walsh and enablement center working on this from business side (don't need Msft until business piece is there). Next step is to review with Andy what he presented at the FSG meeting. Keep this action with Guy.
05/12 - Issue opened. </t>
  </si>
  <si>
    <t>09-Mar: In Discovery doc for Messaing O365.
08/03/12 - Early feedback from Microsoft is the "secure Daces" option is not acceptable to O365. If this is the case EY will need to upgrade 418 DCs to NTLMv2 and remediate many applications in the process.
07/03/12 - Potential issue with the "secure DCs" as will include data currently not able to be managed outside the local country (Canada, Japan)</t>
  </si>
  <si>
    <t>12/03/12: RB: Confirmation received from R Cansick that process is for IT to make provision in country budgets for the total device spend. Whilst countries will pay for devices when purchased, these will be charged to the country itself, but then cross-charged back to IT via the settlements process. Provision of $10m has been made in M&amp;C budget for FY13.
14/02/12: RB: Cost model for projected device spend per country being developed with Global Procurement and OSS - aim to have early draft of costs by 28/02/12 for delivery to Alan Guthrie
31/01/12 - RB: Added to Assumption Log. Decision required (decision pending created on Decision log)</t>
  </si>
  <si>
    <t>12/03/12: RB: Confirmation received from R Cansick that process is for IT to make provision in country budgets for the total device spend. Whilst countries will pay for devices when purchased, these will be charged to the country itself, but then cross-charged back to IT via the settlements process. Provision of $10m has been made in M&amp;C budget for FY13.
5-Mar: Confirm who  agrees the provisioning  rules for Lync devices   They will need to work closely with Liz king to ensure she is aware of the approach and agreement is provided
Al to reach out to Andrea  Cohnen-Mohns
22/02/12: RB: Updated cost model due 28/02/12 for delivery to A Guthrie &amp; J Costello
20-Feb JC - Should be in FY13 budgets for each country - believe we have discussed this before- need to provide these costs to Scott Armbrecht so they can be included in country budgets - we need to see a model vs cost analysis on the headsets before choosing - Brendan Millard has already done work on this. 
14/02/12: RB: Cost model for projected device spend per country being developed with Global Procurement and OSS - aim to have early draft of costs by 24/02/12 for delivery to Alan Guthrie who will then take to stakeholders for decision
31/01/12: R Bouji - UC has inherited the working assumption that countries will bear the cost of purchasing peripherals (headsets, webcams etc) to be used with Lync, rather than the program, however it has been found that this assumption has not previously been logged or validated</t>
  </si>
  <si>
    <t>Frog user experience deliverables may not achieve desired goals (Phase 1 Layouts)</t>
  </si>
  <si>
    <t>DTU scope for calendar year 12 delivery needs to be confirmed</t>
  </si>
  <si>
    <t>I151</t>
  </si>
  <si>
    <t>GAAIT Replacement Front-End confirm that it is in scope for Release 1.</t>
  </si>
  <si>
    <t>12-Mar Ian: In progress.
27-Feb: investigation required prior to revalidation (Ian B. took action)</t>
  </si>
  <si>
    <t>12-Mar Ian: This process is in place.
27-Feb: Opened this decision as a result of D13 being marked obsolete.</t>
  </si>
  <si>
    <t>I152</t>
  </si>
  <si>
    <t>I153</t>
  </si>
  <si>
    <t>I154</t>
  </si>
  <si>
    <t>I155</t>
  </si>
  <si>
    <t>I156</t>
  </si>
  <si>
    <t>I157</t>
  </si>
  <si>
    <t>I158</t>
  </si>
  <si>
    <t>I159</t>
  </si>
  <si>
    <t>I160</t>
  </si>
  <si>
    <t>Currently MSFT Program Architect (Vel Stoyanchev) is a key resource on the business blueprint activity. This role is resourced and funded through the MCS PMO and is a key role across the entire M&amp;C Program including TF, UC etc. Focus on blueprint has an impact on other items not getting the same level of focus.</t>
  </si>
  <si>
    <t>Project / Workstream</t>
  </si>
  <si>
    <t>Program / Workstream</t>
  </si>
  <si>
    <t>R106A</t>
  </si>
  <si>
    <t xml:space="preserve">12/03/12: RB: Decision re-opened based on lack of business representation in previous approval decision. Proposals now with Bob Reiner and Jeremy Brown for review/approval
5-Mar: Agreement is not to migrate static groups. We should limit  which users are allowed to create static groups.  The approach used for GLMS should be replicated to avoid duplication of groups.  
22/02/12: RB: RB – M&amp;C and IAM teams have developed proposal for managing migration of Domino groups and legacy group management tools. Decisions required ASAP but not clear who decision making authority would be across M&amp;C and IAM
20-Feb JC - Legacy group management tools should be retired and replaced by the tool we acquired. For groups, are you talking about personal mail groups I have setup?
14/02/12: RB: Group Management Proposals being re-drafted following further discussion with N Wood and B van Gelder. Meeting to finalise proposals rescheduled to 20/02/12 due to impact of workshops on SME availability
02/02/12: R Bouji - A set of proposals have been drafted and are currently being finalised with input from the GLMS team, for presentation to the FSG for decision making. Decision is required very soon so as to avoid potentially significant wasted development effort on the Self-service portal, and potential confusion around requirements for GroupID tool, which are being finalised in a workshop week of 6th Feb
10-Feb: PIN – need to know this soon as influences both On-Prem and O365
</t>
  </si>
  <si>
    <t>Lack of business SMEs to input in requirements gathering, requirements validation and sign off  on both Lync and Outlook requirements, and Day 1 Outlook Plug-ins risks rejection of the solution by the business.
Lack of governance group for Lync/Outlook decisions and sign off hampering confirmation of Day 1 service scope.
Lack of insight into migration strategy planning (as well as business impact of these) may risk solutions being rejected, or delays to the planned deployment timeline.
[Change Management]: Whilst this is pressing it needs to be sensitive to the order of events given that the 'story' for M&amp;C is being developed to engage with Senior stakeholders. Ideally this would be completed first before seeking resource. However timescales will not necessarily allow for everything to work serially.</t>
  </si>
  <si>
    <t>12/03/12: RB: Combined with I40 to address overall lack of business engagement/decision-making
27/02/12: RB: No update available
22/02/12: RB: Discussed engagement strategy with Sophie and Jackie. Overall M&amp;C engagement approach still under discussion, but interim approach agreed to enable BA team to press ahead with engagement on mail enabled applications
14/02/12: RB: Lack of engagement strategy creating challenges as service line and area engagement beginning to result in confusion/duplication of effort for BA team and stakeholders. Clarity also needed on Business Change approach to engagement with ITSD Leads to ensure they are aware of engagement with their portfolios
26/01/12: Issue added to log to highlight continued impact of lack of business engagement on Lync and Outlook requirements. Business deployment and Business change still to develop engagement strategy for requirements leads - awaiting further discussions on agenda of Area Stakeholder Engagement Workshops to try and highlight need for business involvement in requirements gathering and approval, as well as decision-making authority for Day 1 configuration and application integration set.</t>
  </si>
  <si>
    <t>TF - SPF</t>
  </si>
  <si>
    <t>TF - Messaging</t>
  </si>
  <si>
    <t>We require a decision on the funding model for the Cloud as to whether there is to be a per HC/MBX charge, whether it is to be added to the Internal IT Services charges, or some Hybird with a portion such as the Data Centre charges added ot the internal charge and a Per user charge going direct.</t>
  </si>
  <si>
    <t>12-Feb:  Item added.  Per Alan release 1 scope can be reduced, but need to confirm scope.
12 - Mar - Out of scope for Phase (release 1) CLOSED</t>
  </si>
  <si>
    <t>7 Feb:  working with the WSL to confirm if this is a RISK.
13 March - Closed will be planned for in serach work</t>
  </si>
  <si>
    <t>Critical, High or Moderate</t>
  </si>
  <si>
    <t>Critical, High, Moderate</t>
  </si>
  <si>
    <t xml:space="preserve">Closed; will be planned for in Search work. </t>
  </si>
  <si>
    <t>Not necessary for Phase (Release 1) SP.</t>
  </si>
  <si>
    <t>Planned Resolution,  Escalation Level</t>
  </si>
  <si>
    <t>Draft revised Baseline plans not in place by requested date of 19th March for Tech Foundation</t>
  </si>
  <si>
    <t>Delay in revising baselining plans</t>
  </si>
  <si>
    <t>Unlikely that TF or UC will have any further updates for Lync or Exchange until the end of the month (March), missing the deadline for re-drafts to be completed by the 19th March</t>
  </si>
  <si>
    <t>Raise as part of 30 day get to green - potentially revise draft date ?</t>
  </si>
  <si>
    <t>TF - Lync</t>
  </si>
  <si>
    <t>Replanning (inc. alignment of depdencies) being managed as a BAU activity.</t>
  </si>
  <si>
    <t>O365 development standards sent by Norm Beard to Neil Sahdev on 8-Mar-2012.</t>
  </si>
  <si>
    <t xml:space="preserve">7-Mar: "Get to Green" plan  now being driven by A. Guthrie, and plans now baselined. although confidence levels are low.  "Get to Green" plan will deliver increased confidence. </t>
  </si>
  <si>
    <t>Combined with I40 to address overall lack of business engagement/decision making.</t>
  </si>
  <si>
    <t>I40 (combined)</t>
  </si>
  <si>
    <t>Work with MCS to re-assign resources to balance focus.Blueprint project needs to document their resource requirements so that they can be considered and resourced relative to other work.</t>
  </si>
  <si>
    <t xml:space="preserve">Alan </t>
  </si>
  <si>
    <t xml:space="preserve">12th March 2012 - Ian B - R&amp;R's to be resolved as part of 30 day plan excercise. 
15-Feb: Ian - Using the goals process to determine roles/responsibilties. Much progress has been made and further action on this underway. Review in 2 wks. 
25-Jan: Still up to the leads; some of this will be thought out in the replanning occurring presently. Review in 2 weeks.
11-Jan: Ian continues to chase, but this really comes down to program leads. These are based on the objectives Alan sent out prior to the holiday. If the leads don't have this, they can get it from Guy. Review 2 weeks. 
04-Jan: Ian chasing on behalf of Alan and Guy. Al sent out goals and expectations documents; he said this may change, at least for Lync and Exchange. This is primarily up to each project lead to manage.
19/12/11 - Ian said this is being tracked within each workstream. Stays open, will be ongoing.
14/12 - Program is doing a deep dive on the 8th and 9th of January to discuss.
07/12 - Assigned to Ian (as opposed to Guy and Alan). He is currently working a program org chart; subsequently address roles and responsibilities and roles within program. Review next week.
06/12 - Issue opened. </t>
  </si>
  <si>
    <r>
      <rPr>
        <b/>
        <sz val="9"/>
        <rFont val="EYInterstate Light"/>
      </rPr>
      <t>Note:  Required Resolution Date set for end of 30 Day Plan, but this can't be actioned without resource plan from blueprint.</t>
    </r>
    <r>
      <rPr>
        <sz val="9"/>
        <rFont val="EYInterstate Light"/>
      </rPr>
      <t xml:space="preserve">
13-Mar: Required resolution should be by the time that the plan is agreed as this needs to be documented out of the blueprint requirements. Blueprint project needs to document there resource requirements so that they can be considered and resourced relative to other work. Brett is the owner, but escalation is to Alan/Guy who own the MSFT PMO engagement budget from where the MSFT program architect is funded.
12-Mar Brett: current action - Discussions with Vel and MCS PMO to establish/clarify role and focus</t>
    </r>
  </si>
  <si>
    <t xml:space="preserve">13-Mar Jean-Michel: So far I have not identified any risks, but as it is quiet complicated to get this kind of agreement (confirmation that supplier can meet our demand) I will not say that they will meet our demand. But they should be able make it. Keep as Minor, due with global agreement beg of May.
12-Mar: Rewa confirmed with Raymond the process - countries pay for headsets when get them, then charge back to program.
12-Mar, Jean-Michel: As the headsets will not be procured globally, and as we don't know how many headsets will be really procured as some countries may decide to use those they already have even if they are not optimal for Lync,  it was not planned to have such a date anymore.
Nevertheless, we target to have a Global agreement with Jabra and Plantronics using Dell and Lenovo as resellers end of April beginning of May.
9-Mar: following up with Jean-Michel for a confirmaiton on dates that headsets can be delivered globally; in daily standup there is an action for Rewa to determine who will pay for the headsets. 
11-Jan: Opened on call. Al concerned about the ability to procure 150,000 headsets globally. Jean-Michel said at a high level, they have received the ok on 150,000 headsets for May 1 and the same from Plantronics (sp?). Added to log as a low priority item. </t>
  </si>
  <si>
    <t>13-Mar: This is closed as the action is to provide CR's for SP and Messaging. 
9-Mar: TF team determined this is due mid-April with selection of Lync vendor. Added a due date. James assigned to, esc level proj manager.
6-Mar: Laura sent James a note to clarify; will probably close.</t>
  </si>
  <si>
    <t>Closed per Al; this will be a part of CR for SP and Messaging.</t>
  </si>
  <si>
    <t xml:space="preserve">13-Mar: Blueprint meeting scheduled for tomorrow, 14-Mar.
12-Feb:  Methodology will be engaged to assist.  29 feb: Meeting with MS, blueprinting still not complete. 06/12 - Issue opened. </t>
  </si>
  <si>
    <t xml:space="preserve">13-Mar: on daily call, update that this is being managed outside of the RAID log; it is a regular budget activity/process. Close as it is not really a risk, an issue that is being dealt with. </t>
  </si>
  <si>
    <t xml:space="preserve">On daily call, Alan and Ian agreed this is not a risk. It's an issue we are dealing with as part of regular activities. </t>
  </si>
  <si>
    <t>Lack of clarity around specification and delivery schedule for environments to support UAT</t>
  </si>
  <si>
    <t xml:space="preserve">Environment constraints for Cloud and On-prem may delay UAT </t>
  </si>
  <si>
    <t>Test environment contention is likely to result if UAT environment provision is delayed, particularly for testing of plug-ins with the new Outlook client, as well as Lync UAT. It is also unclear how cloud services will be simulated in the UAT environment.</t>
  </si>
  <si>
    <t>13/03/12: RB: Risk re-worded to distinguish between UAT and performance testing risk, which belongs to TF. Nicole Watson to raise new risk to address performance testing.
06/03/12: RB: Risk downgraded to moderate as UAT environment provision now kicked off by TF
27/02: RB chased TF for update, no response
22/02: RB has not seen the deck yet (as mentioned by Al last week). Tim out for 2 wks. Still open, no progress.
15/02: Al said they have a deck ready that they have put together with QA and others, waiting on cost info and will then present to Guy, Alan and Siggi. Review next week. LM em'd Tim for due date.</t>
  </si>
  <si>
    <t>The individual programs will forge ahead without consideration in the wider sense of the end user community's capacity for change.</t>
  </si>
  <si>
    <r>
      <t xml:space="preserve">13/03/12: RB: Interim approach to communicate to business owners via ITSDLs under discussion with M Walsh. This will only address communication with application owners via IT, however, and not overall end-user impact of multiple changes being deployed. This still needs to be worked through by Business Change once re-baselined plan is delivered at the end of March. Date moved out to mid-April
8/3: Downgraded as a business/IT model is now in place for the program. To be updated based on outcome of I139
29/Feb :action pending planning meeting shed for Monday 5th March.
22-Feb: Sophie has a meeting today on how the programs will work together; Alan to work out how IT and the business with coordinate at cross-program level. Review in 1 month.
15-Feb: Sophie talking to business to build a picture. Sophie will follow-up.
19-Dec: The change deployment team will engage with the business and build a picture of current and future change at area level.
</t>
    </r>
    <r>
      <rPr>
        <b/>
        <sz val="9"/>
        <color theme="1"/>
        <rFont val="EYInterstate Light"/>
      </rPr>
      <t>07-Dec:</t>
    </r>
    <r>
      <rPr>
        <sz val="9"/>
        <color theme="1"/>
        <rFont val="EYInterstate Light"/>
      </rPr>
      <t xml:space="preserve"> changed from Sophie to Ian since global PMO is looking at this. Review next week.
24/11 Business Deployment manager will be in place in Q1 2012 (calendar) and working closely with change management (sophie) on overall approach for business deployment (overall M&amp;C deployment)
There is a plan to build a enterprise view of the change across EY. Work to start in Dec.
09/11 There will be a workshop to identify programme of change for End Users as a whole. Will take place before end of December. Sophie organising.
03/11 Blaine Pardoe and John Pritchett are raising this issue from a capacity of IT to deliver the volume of Chnage itself.
02/11 - Sophie will provide update next week. 
26/10 - This is around capacity of end user change. Looking at workshop for end user perspective.
Previously the aim has been to coordinate M&amp;C Change plan and integrate and work closely with Enterprise plan however there is no Change Management happening on the other programs to coordinate with.</t>
    </r>
  </si>
  <si>
    <t>Work with the Business Change and Deployment teams, and business application owners, to clarify UC scope and ensure that if they have an application that requires mail integration, that they have budgeted for this in the FY13 plan. AG to raise via Mo/Gina to ensure FY13 budgets provision for all transformational programs, not just M&amp;C</t>
  </si>
  <si>
    <t>13/03/12: RB: Alan Guthrie took action at the stand up to raise via Mo/Gina (Global PMO) the requirement for all IT Services SD budgets to make provision to support all cross-org programs in FY13 . This will take place at the end of March.  Workstream changed from UC to M&amp;C Program as impacts all M&amp;C workstreams, not just UC
06/03/12: RB: As agreed in standup meeting, ownership to be moved from Guy Morgan to Martin Kremmer
05/03/12: RB: Risk logged</t>
  </si>
  <si>
    <t>13-Feb: Action opened on daily call for the end of this month (Alan) to ensure that a comm went out. This includes all programs, not just M&amp;C. Can close here and will follow-up through that action. 
8-Feb: Mike specified should still be part of SP workstream, assigned to Guy. SP will clean up further for next week. 
31-Jan: Issue opened.</t>
  </si>
  <si>
    <t xml:space="preserve">Communciation Occurred
Action opened on daily call for the end of this month (Alan) to ensure that a comm went out. This includes all programs, not just M&amp;C. Can close here and will follow-up through that action. </t>
  </si>
  <si>
    <t>M&amp;C team</t>
  </si>
  <si>
    <t xml:space="preserve">13-Mar: LM em'd Michelle for resolution description.
12-Feb:  Documenting OOB vs. added features.  Mtg with Microsoft being scheduled and working with Ken Hammond to resolve.  29-Feb:  Currently assessing what would show with social features and without.  </t>
  </si>
  <si>
    <t>Meeting in Cleveland, week of 12-March to resolve.</t>
  </si>
  <si>
    <t>14- Mar Target date down selection of Vendor is Mar 23rd
13-Mar: Al confirmed this needs to stay open, due mid-April. Due date moved from 25-March. Vendor selection, planning.
6-Mar: added due date of end of March; NRD end of March.</t>
  </si>
  <si>
    <t>14 Mar:   The POC from MS proved that this is possible, closing
13-Mar: On daily call, Michelle said she is confirming with Microsoft and will close today.
12-Feb:  Confirming if same approach for Profiles will work (O365 inbound web services) Norm Lambert to estimate work. 29-Feb:  Currently assessing 3 alternatives and have narrowed it down to one option.  We will formulate questions for O365 Team.</t>
  </si>
  <si>
    <t>14 Mar - Decision on how to manage best bets confirmed with Search Team
13-Mar: michelle said there is an approach worked out with Ed Dale and she will update and close today. 
12-Feb:  Working with vendor on architectural view to determine how to configure.  29-Feb:  We have broken down to a dependency on whether or not we can sync.  Potential for some features (ie. Auto tagging) to not be implemented with O365 unless they are certified.  Currently assessing further.</t>
  </si>
  <si>
    <t>POC from Msft proved that this is possible, closed.</t>
  </si>
  <si>
    <t>Decision on how to manage best bets confirmed with Search Team.</t>
  </si>
  <si>
    <t>Chris Rae</t>
  </si>
  <si>
    <t>14-Mar - PIN: The On Premise Exchange design is for 2 hours RPO &amp; 2 Hours RTO where we have the full 3 copies, two site design, which meets the 16th Nov 2011 BIA. Have agreed this is acceptable to Martin Evans.
12-Mar: LM followed up with Paul for decision maker and decision date. Paul thinks it's closed - designing to meet BIA, confirming with Martin Evans. Martin suggested he and Paul talk because designing to the BIA results is what he is concerned about i.e. 24 hour RTO which is why the issue was raised.
The Current On Premise Exchange design is for 2 hours RPO &amp; 2 Hours RTO which meets the 16th Nov 2011 BIA.</t>
  </si>
  <si>
    <t>David Shapiro</t>
  </si>
  <si>
    <t>Impact of O365 on M&amp;C designs and its implications on AD prep deliverables.</t>
  </si>
  <si>
    <t>Coordinate with M&amp;C to incorporate the changes in AD Prep design.</t>
  </si>
  <si>
    <t>Although a review has taken place with respect to O365 impacts on ID Sync, it should be noticed that the M&amp;C, O365 discovery process has NOT completed, and thus there may be additional impacts/requirements that are currently unknown.</t>
  </si>
  <si>
    <t>David Shapiro (Bharat Sambyal)</t>
  </si>
  <si>
    <t>Daren Wicks (Bharat Sambyal)</t>
  </si>
  <si>
    <t>M&amp;C to provide an Environment Manager</t>
  </si>
  <si>
    <t>Raise risk with M&amp;C
M&amp;C to provide Off Prem Testing capabilities</t>
  </si>
  <si>
    <t>The M&amp;C requirement to go O365 means the solution for ID Sync has to change</t>
  </si>
  <si>
    <t xml:space="preserve">Needs additional requirements to be defined.
Additional functionality is needed
Both of the above requires an update to both the Vision &amp; Scope and Functional Specs, which also require re-sign-off delaying the project, and impacts the costs both internally and externally. Also delays the project
</t>
  </si>
  <si>
    <t>If M&amp;C requirements for (IAM) active directory activities (schema extensions (have 15-Feb), domain controller hardware requirements (have 15-Feb) and locations  testing) are not delivered to the IAM program with appropriate lead time for evaluation, planning and deployment the M&amp;C program will be delayed.</t>
  </si>
  <si>
    <t>Lync and Exchange will not be available to the FIM project until the 2nd April in EYDEV for the testing the Enablement of New Lync Accounts, and enablement of New Exchange mail boxes</t>
  </si>
  <si>
    <t>Need Lync/Exchange fully built and available to the IAM ID Sync Project to start the E2E testing.</t>
  </si>
  <si>
    <t>Delaying the ID Sync Project</t>
  </si>
  <si>
    <t>Paul Neave/James Harrup-Brooke</t>
  </si>
  <si>
    <t>James Harrup-Brooke</t>
  </si>
  <si>
    <t>M&amp;C not providing Lync/Exchange by the 2nd April</t>
  </si>
  <si>
    <t>IAM to review what additional testing may be available whilst waiting on M&amp;C</t>
  </si>
  <si>
    <t>M&amp;C to ensure these capabilities are built and available by the 2nd April</t>
  </si>
  <si>
    <t>14 Mar : Confirmation received as of the 13th March, from James HB that both capabilities are on track to be delivered into EYDEV by the 2nd April. Added to M&amp;C log.
28-Feb: Daren will reach out to M&amp;C for updates; call set for 29-Feb.
22-Feb: Await</t>
  </si>
  <si>
    <t>M&amp;C (Tech F) to provide completed infrastructure inc Application "Readiness Testing", not just to OS layer, so ID Sync can Test the Enablement of New Lync and Mail Enable New Exchange Accounts</t>
  </si>
  <si>
    <t>The Lync Strategy may very well be chaning to:
Off Prem
or 
On and off Prem</t>
  </si>
  <si>
    <t>This will impact the design that has currently been put in place, and the Vision and Scope, and Functional Spec, inc Use Cases and Test Cases that will have been agreed/built and potentially tested by the time this decision, and known impacts are agreed</t>
  </si>
  <si>
    <t>Delaying the ID Sync Project creating a re-design for both the On Prem/Off Prem solution.
Will require a further CR from Microsoft, as this will require additional coding
Will require amendments to:
Vision &amp; Scope
Functional Spec
Operational Guide
Config Doc
Traceability Matrix
Use Cases
Test Cases
Business Impact Re-asessment, which may may affect our DR solution
Require re-testing of ALL Lync Test Cases</t>
  </si>
  <si>
    <t>M&amp;C concluding the Lync solution will be either completely Off Prem, or partially On Prem, Partially Off Prem.</t>
  </si>
  <si>
    <t>M&amp;C to conclude as quickly as possible the Lync Strategy, and accept that the solution may not meet the current M&amp;C timescales</t>
  </si>
  <si>
    <t>14 Mar : M&amp;C to formally confirm proposed Lync Strategy; added to M&amp;C log.</t>
  </si>
  <si>
    <t>M&amp;C to confirm</t>
  </si>
  <si>
    <t>No policies or procedures have been provided by M&amp;C for Group Management</t>
  </si>
  <si>
    <t>Policies required to ensure controls and constraints can be applied to the Service in order to maintain the EY environment, and offer the Users a great experience.</t>
  </si>
  <si>
    <t>IAM will install the Group ID product, with all the capabilities, but Ops will struggle to identify which procedure belongs to which policy when enacting or creating Groups. The same applies to the Self Service Portal, i.e. Identifying what we should or should not allow the Users to do/not do in terms of setting up Groups (as an example) of 150 members.
Also means we cant test these out prior to Production, hence delaying the project.</t>
  </si>
  <si>
    <t>Nikolay Krastev</t>
  </si>
  <si>
    <t>M&amp;C not providing relevant Group Management policies.</t>
  </si>
  <si>
    <t>M&amp;C to work with the various streams/business users to define Group Policies and procedures</t>
  </si>
  <si>
    <t>14 Mar: Risk raised with Nikolay on the 7th Feb. Awaiting feedback</t>
  </si>
  <si>
    <t>M&amp;C to provide Group Management Policies and Procedures so they can be tested and signed off.</t>
  </si>
  <si>
    <t xml:space="preserve">Norm Beard and Adrian to work on defining the requirements. </t>
  </si>
  <si>
    <t xml:space="preserve">14-Mar: Michelle closed; this is being incorporated into the plan being prepared for Tuesday. 
7 Feb:  Added Issue.  A mtg will be scheduled to discuss timing and expectations around Release 1.  </t>
  </si>
  <si>
    <t xml:space="preserve">Mobile enablement will not be rolled out as part of Phase 1. 
</t>
  </si>
  <si>
    <t>13-Mar: This had been an action in the daily stand up callls and this update was provided today. Jeremy sending a comm to the workstream leads for their awareness. The team may architect for mobile in P1, but not design and deliver. We will not paint ourselves in a corner for P2 and on.</t>
  </si>
  <si>
    <t>Confirm at replan; may be impacted (check D25, too, which includes DTU in the description for P1 data migration)</t>
  </si>
  <si>
    <t>14-Mar: The item that I had due for today, R98,  can be closed as we are obtaining sign-off and will raise a CR when the O365 changes are needed.
This will now be managed through CR process; Ted confirmed can be closed in log.
14 Mar: Scope Lock discussions are due on the 26th-28 March in order to lock down the O365 scope. However, ID Sync is already building the Use and Test Cases for the known baseline requirements, inc O365 requirements from the previous workshop. Any change to this, could potentially delay the testing (and all that this entails) for ID Sync.
7-Mar: per Bharat, Daren has received 95% of his sign-off on the functional spec. Downgraded to moderate. 
28-Feb: updates will be provided next week
21-Feb: Opened per Sirsha; Reqd and awaiting further detail.</t>
  </si>
  <si>
    <t xml:space="preserve">Obtaining sign-off and will raise a CR when O365 changes are needed. Will be managed from here through CR process. </t>
  </si>
  <si>
    <t>02/03: N. Coburn waiting to hear back from Ian on next steps.
24/02:ACTION - N. Coburn to set up meeting next week with Ian Bourne to discuss budget / structure. Ensure M. Laci is also involved in the meeting. 
17/02: Mike's time is currently allocated across the workstreams.</t>
  </si>
  <si>
    <t xml:space="preserve">13-Mar Neil: This issue should remain open until it is widely accepted that the duration of the A&amp;DM Program will extend beyond mid-2013. To progress this issue I am working with Gavin Bell to define the Business Benefits Case for A&amp;DM (i.e. investment needed over time vs. fiscal and non-fiscal benefit). I therefore suggest we set the next review date of this issue as Friday 30th Mar'12.
06-Mar: Presentation sent to Alan and Brett.  Neil and Brett to meet Friday 09/03/12 to refine the IBM SSSO licencing details
29-Feb: Presentation outlining assumptions that drive the program duration now drafted and undergoing internal review / update before being sent to Alan on 01/03/12
22-Feb: Meeting held (Alan, Neil, Martin, Brett, Rob Taub) on 21/02/12 to discuss assumptions that support A&amp;DM Program duration of five years.  Neil/Martin now preparing a presentation for Alan to present at the CLT meeting scheduled w/c 27/02/12; review next week. 
14-Feb: Program Plan, resource schedule and budget updated accordingly.  PMO now consolidating with other Programs' E2E plans for presentation to Cross-Org leadership team; 15-Feb: keep open until accepted.
07-Feb: Program plan assumes A&amp;DM Program will complete 2017 (assuming first two portfolio teams start 1st Jul'12) which therefore means the firm will be dependant on Lotus Notes beyond Jun'13. Neil took an action to socialize within IT Services ASAP. 
10-jan: Opened from R25. </t>
  </si>
  <si>
    <t>Total Assumptions to be Validated - Past Due</t>
  </si>
  <si>
    <t>Total Pending Decisions - Past Due</t>
  </si>
  <si>
    <t>Overdue</t>
  </si>
  <si>
    <t>Total Assumptions to be Validated</t>
  </si>
  <si>
    <t>14-Mar: changing - planning to move doc to different format. Other changes may occur out of 30 day plan.
27-Feb-2012: Ian and Laura confirming process for workstream RAID management.
21-Apr-2010 decision had been: We will have one RAID for the entire Program / each workstream may need a supplemental RAID</t>
  </si>
  <si>
    <t xml:space="preserve">15/03/12: NW: Discussed with Al and agreed testing responsibility will sit with the project deploying into Prod second, i.e. if Lync/Outlook deploy first, then responsibility for retrospectively testing on GCL5.0 will sit with GCL5.0 project.  This only needs to be re-visited for planning purposes once deployment plans and dates are confirmed for both M&amp;C and GCL5.0. Hence review date 1 July.
6-Mar: changed next review date and due date to mid and late april, since the environ wont be ready until that time.
29/Feb :testing against GCLS5.
16-Feb: Daren suggested Kenny Phipps provide the contingency plan, as the responsibility to test this with the GCL5 Loadset is theirs. For this they were provided access to the package at the back-end of last year so this task could be completed. 
15-Feb: Laura em'd Daren for update, per Al's suggestion. 
8-Feb: This is about getting the dormant package activated and then deployed and activated on the right core loadset. Will need to test the package with GCL4 and 5. It had been the assumption that when user gets GCL5, are already migrated to Lync and Outlook, but now that the timelines have changed, unsure. This may need to be deferred until the GCL5 environment is ready for testing. Will need to test activation and that it works against the backend infrastructure. Action opened for Daren to sync up with GCL5 and make sure what they are building today is what we expect. Provide update for this team next week. </t>
  </si>
  <si>
    <t>Nicky Watson</t>
  </si>
  <si>
    <t>Shortage of additional environment domain to host a segregated Performance Testing environment for M&amp;C</t>
  </si>
  <si>
    <t>If performance testing needs to use either the QA integration or UAT environments, this may mean multiple projects will need to queue for environment use.  Alternatively if Performance testing is carried out in an environment whilst other workstreams are performing test cycles, it may slow down testing</t>
  </si>
  <si>
    <t>Confirmation that no budget is available to build out a separate Performance Testing environment domain</t>
  </si>
  <si>
    <t>Use UAT or QA Integration environments for performance testing using controlled environment usage and scheduling</t>
  </si>
  <si>
    <t>15/03/2012: NW: Follow up with TF as to whether budget can be applied for to build a PT environment.  Also assess needs and contention issues with PM's and Infrastructure Engineering.</t>
  </si>
  <si>
    <t>May cause schedule delays as the separate workstreams/projects may need to queue for scheduled slots to exclusively use the environment for their testing needs.  Planning should factor this in.</t>
  </si>
  <si>
    <r>
      <t xml:space="preserve">15-Mar James: Dev environment has been built up to OS level. Lync and Exchange are currently being installed. Target date April 4 for completion.
14-Mar: Laura reqd updated description and resolution plan.
14-Mar Nicky: Having reviewed the issue, I think we should keep this relevant to the delay to environment specific to Sharepoint (if I am correctly interpreting).  I agree with Mark that there is a larger issue across M&amp;C relating to environments - clarity of usage and environment management &amp; governance.  Adrian and I have been working through this issue and I'm happy to raise a separate item on the RAID for this.
12-Mar Mark: This is a subject that Nicole Watson hopes to have an update on and may involve Experimentus. In short there are multiple project teams that want to make use of these integrations - hence each may have different expectations of how the environments are managed. until this is resolved then I'd be doubtful that any built environments will see integration in QA. 
</t>
    </r>
    <r>
      <rPr>
        <b/>
        <sz val="9"/>
        <color theme="1"/>
        <rFont val="EYInterstate Light"/>
      </rPr>
      <t xml:space="preserve">More info should come from the governance work in process by Jeremy and Fareed. 
</t>
    </r>
    <r>
      <rPr>
        <sz val="9"/>
        <color theme="1"/>
        <rFont val="EYInterstate Light"/>
      </rPr>
      <t xml:space="preserve">The real issue is not the date on which these environments are deployed but the ownership and governance of environments in QA. There are multiple project teams that want to make use of these integrations - hence each may have different expectations of how the environments are managed. This needs to be resolved in order for built environments to see integration in QA.
9-mar: technopark resource id'd, process of on-boarding about to begin. 
8-mar, Mark: This is a SharePoint Enablement issue as far as I am aware no other impact. SPE should have 2 inbound dependancies 1) Lync to test presence and 2) to test ability to use Exchange messaging. In my opinion these are Med/Low impacts as the functionality is standard MS OOB - unless SPE have written custom code unsupported by MS (which I'd expect to be unlikely). James HB has been driving a plan to stand up the missing VMs in QA, but that will only be available for formal QA testing and not developer testing. I'd expect VMs to be stood up by late April. 
6-Mar: I79 blended in here since issue is the same. Adrian getting from Lindsey names for environment manager. 
17-Feb: LM em'd Mark for update.
06/12 - Issue opened. </t>
    </r>
  </si>
  <si>
    <t xml:space="preserve">Environments for testing are not yet available (Lync or Exchange/Outlook to test SharePoint integration to).
Impact: The proof of concept for this integration will be delayed.
</t>
  </si>
  <si>
    <t>15/03/12: RB: Pilot for Lync and Outlook agreed in principle, however volumes and duration still subject to agreement with Business Deployment and Operations (who will need to be ready to support Pilot volumes). Deployment/migration schedule and volumes to be discussed in meeting on 21/03/12
14/02/12: RB: Awaiting deployment strategy from Martin Kremmer
18/01/12: RB - To be confirmed with Martin Kremmer following development of business deployment plan
04-Oct-11: Added by RB</t>
  </si>
  <si>
    <t>The unified communications team will have the Lync and Exchange ready on the timeline (36)</t>
  </si>
  <si>
    <t>SP - Metadata Management</t>
  </si>
  <si>
    <t>No development changes will be made to the Taxonomy manager or the Auto classifier product</t>
  </si>
  <si>
    <t>Autoclassifier and taxonomy manager products can be installed at different times</t>
  </si>
  <si>
    <t>Both the term store and the existing Taxi system will be kept up to date by the business until a decomission can be completed (It is a manual process to keep them up to date)</t>
  </si>
  <si>
    <t>Would be more development and testing effort, higher risk.</t>
  </si>
  <si>
    <t xml:space="preserve">Baseline plan and approach would have to be changed, potential schedule/cost impact. </t>
  </si>
  <si>
    <t>Any alternative automated solution would add additional development and testing effort, higher risk, schedule/cost impact.</t>
  </si>
  <si>
    <t xml:space="preserve">Ovitas only receives taxonomy; does not update. </t>
  </si>
  <si>
    <t>Anything in front end needs to be available in CMS / preview environment</t>
  </si>
  <si>
    <t>One view of EY externally that is consistent (external view could be different than internal)</t>
  </si>
  <si>
    <t>D221</t>
  </si>
  <si>
    <t>Would have waited for Blueprint activities to design the external view.  May be able to work on external front end sooner if assumption is false.</t>
  </si>
  <si>
    <t>Complexity of Metadata Management increases if the system has to accept feeds from Ovitas.</t>
  </si>
  <si>
    <t>By end of April should have decision on whether to proceed with Ovitas.</t>
  </si>
  <si>
    <t xml:space="preserve">Plan would need to be adjusted if Ovitas is not selected vendor. </t>
  </si>
  <si>
    <t xml:space="preserve">CMS does not need to be released this calendar year. </t>
  </si>
  <si>
    <t xml:space="preserve">Would have to be adjustments to plan to enable a calendar year 2012 delivery. </t>
  </si>
  <si>
    <t>SP - CMS</t>
  </si>
  <si>
    <t>Will get answers from frog and Blueprint by end of June 2012.</t>
  </si>
  <si>
    <t xml:space="preserve">Delay in understanding the ways end users will access and navigate content. </t>
  </si>
  <si>
    <t>The goal of the POC is to validate that Workflow processes and metadata come together as expected for a sub-set of content</t>
  </si>
  <si>
    <t xml:space="preserve">Increased scope of the POC, would require replanning. </t>
  </si>
  <si>
    <t>15/03/12: RB: CR026 with CCB for approval. Risk downgraded to minor but not to be closed until design is delivered.
12/03/12: RB: CR has been raised by TF Exchange to Microsoft to produce the design for 3-way coexistence. This has not been done before by Microsoft
27/02/12: RB: Update received from PN: "The change request to introduce the work to define the 3-way coexistence into the exchange On-Prem SOW,  is still being drafted by Microsoft. We expect it to be delivered to us this week. We do know BinaryTree have a established POC of the threeway in their lab."
22-Feb: Paul and TF in conversations with Msft. Awaiting response from Msft.
21/02/12: RB: Added as output from Assumptions log. Assumption cannot be revalidated (A72)</t>
  </si>
  <si>
    <t xml:space="preserve">15-Mar :  Decision that more than one language is needed has been provided.   Working to get the entire list.
13-Mar: meeting with Msft today; final decision should come today. (LM updated due date from 2011 to 2012)
12 Feb:  Currently confirm with Andy and providing follow up analysis to make a decision. </t>
  </si>
  <si>
    <t>15 March Decision to use more than one langauge provided.   Governance to provide the entire list
13-Mar: meeting with msft today; final decision should come today.
12-Feb:  Currently working with Andy and providing follow up analysis for him to make a decision.   7 Feb;  Added Issue.  This needs to be raised to the Governance Team for resolution.</t>
  </si>
  <si>
    <t>15 March - using Newsgator as an assumption for planning
12-Feb:  Vendor to provide Architecture.  29-Feb:  Still assessing, follow up mtg with the core team this week.  23-Feb: Greg provided the escalation level. For the due date, he said the initial recommendation is for 29-Feb, but they are targeting a final decision by 15-March.</t>
  </si>
  <si>
    <t xml:space="preserve">15 March - Decision made with Newsgator decision
12-Feb:  Still OPEN.  29-Feb:  Norm L. will update the deck and resend to the core Team for review.  This will then go to the DA (target 3/13) for review and approval.  31-Jan: Reviewed and discussed at DA meeting today. Open discussion on formalizing policy. Need direction on whether SharePoint will have to integrate with the Group Management Tool.
25-Jan: Norm Lambert has meeting with Brett van Gelder tomorrow to discuss and determine next step. Possibilities are waiting on Group Management workshops or send to DA.
17-Jan: Waiting for Group Management workshops the week of February 6th.
11-Jan: This item split in two on the call (I71A and I71B). AD will clearly be impacted by cloud decision, but it is a large internal implementation regardless. Will have to replan around O365.
11/1 Gerd to take recommendation to the ARG mtg scheduled for next Tuesday 1/17              
14/12 - Greg received information, there is a meeting tomorrow to discuss.  
07/12 - Michelle and Brett to talk off-line. Review next week.
06/12 - Greg researching this issue​
29/11- Met with Norm Lambert and EY internal IT reps, Ant will arrange for demo/meeting with Imanami
23/11- Per TF, this should no longer be a dependency on the TF workstrea
31/10 - Per Klara Neginsky - on the question of whether we use AD or SP groups -- if you need a call now, go with AD.  If this direction does change, I recognize there is impact, and will have to surface the impact to management.
</t>
  </si>
  <si>
    <t>15 March - Data quality will be handled at hte source
13-Mar: LM emd for resolution description.
31-Jan: Design needs to be reworked pending Cloud principles, set next review date after plan has been recast.
19/10 - Design of interface in process. Testing of Iteration 1 will determine quality of data.
12/10 - Requirements gathering underway to confirm list of data 
5/10 - no update but still an open item.
28/09 - no update.
21/09 - still an issue, no update.
06/07 - The People and Communities Team will asses the true impact around end of July. There is currently conflicting data between systems.
27/04 - Mitigation today on morning SOW call, lower priority now.
20/04 - Michelle to provide feedback
Note that this issue has been documented a dependency in the business case as it will need to be fixed in order for the team to realize the benefit of this effort.</t>
  </si>
  <si>
    <t>Decision was made and the sessions occurred</t>
  </si>
  <si>
    <t>With the bluerpinting team</t>
  </si>
  <si>
    <t>Decision is not longer necessary due to replanning and workstream leaders</t>
  </si>
  <si>
    <t>No longer needed</t>
  </si>
  <si>
    <t>15-Mar Michelle: Data quality will be handled at the source.</t>
  </si>
  <si>
    <t>15-Mar: On daily call confirmed can be closed. Howard sent the resolution statement. Closed.
14-Mar: M&amp;C are exploring potential opportunities to provide either Hosted Off Prem Test environments, or links into EYs existing environments. Awaiting update from M&amp;C.
Msft has action from M&amp;C daily call to update with anticipated approval date for CR addressing this.
28-Feb: Daren will reach out to M&amp;C for updates; call set for 29-Feb.
22-Feb: Awaiting feedback from M&amp;C (Al/Adrian).
21-Feb: Opened per Sirsha; Reqd and awaiting further detail.</t>
  </si>
  <si>
    <t>15-Mar Howard: We are closing out the risk by creating a new Change Request for the Exchange Planning workstream to provide a “cloud simulation” environment for EY’s testing purposes prior to O365 “Service Ready”.  The CR will be delivered next week.  Expecting delivery to EY on Thursday.</t>
  </si>
  <si>
    <t>The following attended the meeting.
Myself
Pete Bruinsma
Adrian Mickleson, 
Mark Reade, 
Gregory Van Valkenburgh,
Christopher Arnold 
Jahanzeb Ahmed, 
Amit Tak,
Oliver Berchtold
Jaco Lanza
Dan P. Mulligan
The following received the email follow up and raised no objection.
Brett van Gelder
Klara Neginsky
Norm Lambert
Scott Strange
Michelle Edmonds
Al Grljevic
Afzaal Syed</t>
  </si>
  <si>
    <t>15-Mar Chris: The rationale was that although the FIM filters in O365 might form part of a possible solution to duplicate profiles, we still have not decided on the final solution, indeed we don't even know if there is one.  As the final O365 questionnaire needed to be submitted nothing was included in an attempt to deal with this, and it was decided if a change was required to the FIM filters this could easily be achieved via a standard O365 CR.
14-Mar-12 BvG: Note this means that there are likely going to be duplicate profiles for users with multiple AD accounts which which is likely to cause some end-user confusion.</t>
  </si>
  <si>
    <t xml:space="preserve">User profile FIM filter section will be submitted as it is.  We are aware the the current filters do not cope with duplicate AD accounts to create a single profile.  This item will be continued to be managed, and if the solution needs a change to the filters they will be submitted as CR.
The consequences are that unless something is done in the interim, O365 will be stood up and will have duplicate user profiles.  </t>
  </si>
  <si>
    <t>Being managed with Andy on daily standup calls; working with Andy/Governance to get list of languages.</t>
  </si>
  <si>
    <t>15-Mar: Action to Norm Beard to have an update on Tuesday.
14-Mar: Mtg occurred; will have ready 19-Mar to have provisional plan out. 
13-Mar: Meeting today - Al, Alan, Norm, Nick to discuss. 
6-Mar: added new dates to description. Changed due date to 20-Apr from 5-Feb, since dates on builds have changed. Review 1 week prior. (From SPF RAID log mitigation plan: Estimated build time to complete all #2 builds and document ready for handover by 20th April '12, Interim remediation now complete, Repurpose 2xVMs for an interim Iteration #1 QA build, use the build expedite group where possible to reduce the time required to builid the servers, Iteration #2 build designs approved and moved to build order for April 16th target date)
29 Feb: open until delivered. 15-Feb: Michelle shared a baseline plan for environments, which provided a high level understanding. This is in-progress. Michelle not on call - Al looking for clarification: is this issue around the date or understanding of requirements? (LM em'd Michelle)
10-Jan: Opened issue from Risk 48, per Michelle's request. This ties also to Issue 62. #1- build ready. Will possibly ending up splitting this item in the future.</t>
  </si>
  <si>
    <t xml:space="preserve">15-Mar: On daily standup call, Ted took action to talk to David and validate whether this is a risk or issue. Alan suggested due date of end of the month.
14-Mar: Added to this M*C log. Was raised to the IAM log 28-Feb. </t>
  </si>
  <si>
    <t>I150A</t>
  </si>
  <si>
    <t>I150B</t>
  </si>
  <si>
    <t>15-Mar: Ted will meet with Daren and determine way forward. Alan suggested due date of end of the month.
14-Mar: Added to this M*C log. 
Mar 12 : updates next week 
Mar 6: Raised a Change request 
Feb 28: Daren will reach out to M&amp;C for Updates Feb: 22 Awaiting confirmation from M&amp;C that the discovery piece has completed, and there are NO changes that will affect ID Sync</t>
  </si>
  <si>
    <t>15-Mar: on daily stand up, suggested due date of end of month, moved date out one week to match that.
14-Mar: M&amp;C are working with QA to provide an environment Manager. Start Date is currently unknown.
13-Mar: Environments conversation scheduled for today. 
28-Feb: Daren will reach out to M&amp;C for updates. Call is set up for 29-Feb. 
22-Feb: Awaiting feedback from M&amp;C (Al/Adrian).
21-Feb: Opened per Sirsha; Reqd and awaiting further detail.
08-March: Environments manager to start by April 1</t>
  </si>
  <si>
    <t>Michelle/Brett</t>
  </si>
  <si>
    <t>See log: 37 items</t>
  </si>
  <si>
    <t>Due date</t>
  </si>
  <si>
    <r>
      <t xml:space="preserve">15-Mar Ted: For issue 23, more cross validation is required so this Issue should be moved out to next Wednesday, 21 March.
13-Mar: Ted has a list of critical apps (287). He has a meeting later this week to cross reference with another list; daily call action due Friday. (Alan suggests it can then be closed since Ted will have the list he needs. Ongoing actions part of regular activities)
28-Feb: Angelda Goldman is assigned as Application remediation PM. Updates will be provided in the next week. 
15-Feb: have sent e-mail to key 8 app owners; additional `287 app owners to reach out to; working on that message.There is a new PM starting on the 27th who will focus on app remediation targets. 2 wks for review.
8-Feb: Ted said he has a list; needs to cross-reference with another list they have. Review in one week. 
26-Jan: Changed owner/assigned to to Ted from Bob C. 
18-Jan: Has the list, but working to ensure have appropriate communication on what needs to be done. This comm is in progress, remains high, review next week. 
11-Jan: Ken has the list, but it needs review. Review next week. 
04-Jan: Bob C. said they made progress here; identified owners for 350 business-critical applications. Working on a communication strategy to owners to ensure they review the applications and whether or  not they will be impacted. Review next week.
14/12 -  Bringing to steering group tomorrow to see if we can accept risk. 
07-12 Senior Management discussions are ongoing with respect to how this process will be managed (between IAM and D&amp;A), and what D&amp;A need to do, to hit the end of Feb timeline. Still do not understand the criticality of the issue. Review next week.
30-11. We are now looking at working with the Discovery and Asesment Team to manage this prcocess, which will provide a more cohesive Review and/or Remediation approach across the various programs, reducing the number of individual and multiple contacts, questions etc each team are likely to requested of the SDMs/App Owners. 
23/11 - Bob said they sent comm to Service Delivery COT and are working on a second comm for manager level. Scheduling series of workshops to discuss; will complete in 2 weeks. Review then.
09-11 - Approval delay in comms, has caused this to slip. Expected to be approved by Zach Haberer (CBS Service Delivery Lead) on 10th Nov. This will then be communicated to the Service Delivery Team by the 11th Nov. This will then be sent to the SDMs.
02-11. Comms has been confirmed. Meetings are currently being arrnaged with the Service Delivery Managers
26-10 - Comms have been pulled together to present the Strategy to the SDLs - IAM to reach out to Service delivery Leads by W/E Friday 4th Nov, and gain agreement for the Comms to go out to the Service Delivery Managers with the objective to inform the Application Owners Re M&amp;C Programme, and the potential impacts of locking down the attributes. IAM will also create a "feedback loop" regarding confirmation that the Comms plan has been communicated to said SDMs, and provide supporting activities therein.
19-10- Proposal communicated to the Area Relationship Manager. The next challenge is to communicate this to the Service Delivery Leads which is being targeted for W/E 24th Oct. Keep Critical until communications go out. 
12-10 Application Remediation – Proposal developed (as listed below). Customer Relationship managers have agreed to this process. Next step is to glean confirmation from Service Delivery Leads.
04-10 . A Proposal being developed to communicate the challenge to the Service Delivery Leads and OSS to support in relation to potential application remediation review and thus resolution strategy. Bob plans to present the proposal at the Steering Committee meeting this Friday so they can move it forward. Due date still unknown.
22-09 -  We've escalated to Margaret Walsh - Markets IT Service Delivery Leader (DR to MO) IAM are discussing a variation on the tactical ID Sync solution for a Country by Country Group Attribute population Policy. This is going to need validating with M&amp;C, and also raised at the IAM Design Authority for agreement. Bob is meeting with Peter, Dana and Sara from IAM tomorrow; he will invite Adrian, as well. Further, Daren will pass along to Adrian to raise this issue at the ITS Steering Committee meeting tomorrow. Due date unknown until know how many critical applications there are. 
21/09 - Portfolio Team are New and thus we are in parallel touching base with Joint Discovery again for guidance/support.
14/09 - Filters to arrive at the list of critical apps have been agreed upon. Working with Portfolio Management team to determine how long it will take to review the applications and further how long it will take to potentially remediate. Should have dates by next week's call. (Bob: application remediation piece in M&amp;C; collapse of root domain is outside M&amp;C). 
07/09 - Discovery and assessment team provided list of 10,000 apps from Gain, which will be filtered based on business criticality framework. Different filters result in different number of critical apps. Will determine in meeting Friday which filters will be using. By the end of next week hope to have understanding of which apps have to go through remediation. Neil and Daren to talk off-line re: Lotus Notes apps. Note: This is the first pass with the goal of avoiding attribute clashes </t>
    </r>
    <r>
      <rPr>
        <i/>
        <sz val="9"/>
        <color theme="1"/>
        <rFont val="EYInterstate Light"/>
      </rPr>
      <t>only</t>
    </r>
    <r>
      <rPr>
        <sz val="9"/>
        <color theme="1"/>
        <rFont val="EYInterstate Light"/>
      </rPr>
      <t>. 
31/08 - Daren had call with GCL5; they have been doing due diligence with respect to which apps are critical. Will provide status update tomorrow and then team can look at what remediation activities will be needed. In parallel - discovery work: meeting tomorrow to review output from original scope to see if it will suit our needs. John Lawler expressed concern. Discuss off-line. 
24/08 - Much has been going on here; working with discovery (James Harvey and team) for assessment. Meeting Tues. to review capabilities and scope of assessment team. Can they meet requirements from IAM? Still working with GCL5. Still unsure whether we can get down to the level of information we need: critical apps and analysis. Need impact assessment so we know what to do in case that don't identify an app.
17/08 - Daren still awaiting list from GCL. Once Madonna's team grabs the apps and determines which are critical, Alex Hall's team will remediate and fix the necessary attributes. But- don't know how many, so don't know how long will take, so don't know impact. Anthony (intimately involved in ITAP) out 2 wks, Bob will talk to Dana and Azul for clarity.
10/8 - Steve / Anthony is still seaking a further list of critical apps or some statement that the 8 he has is the full list - action on GCL5 team to provide list.
3/08 - Anthony has been working with Madonna on list of apps, challenge getting this info.Q&amp;RM sent back list of 8 apps.There is a question around how to define critical applications; possible solution is to mitigate on the fly as these scenarios are identified. Adrian, Daren to determine risk management approach.
status of Critical App list from Madonna Swanson (GCL5).</t>
    </r>
  </si>
  <si>
    <t xml:space="preserve">16-Mar: Moved due date from end of Feb to 2-Apr per Al to accurately reflect the target.
20-Feb: JC - Will be decided in discussion with COO. </t>
  </si>
  <si>
    <t xml:space="preserve">16-Mar: Moved due date from end of Feb to 2-Apr per Al to accurately reflect the target.
5-Mar: Al to set up a meeting early next week to review the updated deck
20-Feb: JC - We are waiting on the presentation from Al and Brett that we can use with the area COO's. 
</t>
  </si>
  <si>
    <t xml:space="preserve">16-Mar: Moved due date from end of Feb to 2-Apr per Al to accurately reflect the target.
5-Mar: Alan and Guy to provide input on the approach based on the options provided
Al to request feedback from Pearl Cash to understand the frequency from change.
20-Feb JC - Siggi will discuss UK with Robin Tye. 
Brett developed an approach but this needs to be fine tuned - if we are talking about only a small number of users who need to stay On-Prem then the rest should move  :                                  Pending decision from Pearl Cash </t>
  </si>
  <si>
    <t>16-Mar Al: Paul neave to set up a meeting with Martin Versteeg to understand costs
9-Mar Travis: Need to re-validate decision as research tools may have been shifted to Blueprinting as a vertical/application-specific capability. Is current solution conducive to storing data in Office365? Arch imp: YES</t>
  </si>
  <si>
    <t>14/03 - Summary of effort required for FY12 distributed 14th Mar'12 - awaiting approval
06/03 - Issue raised given Risk 102 has been realised</t>
  </si>
  <si>
    <t>16/03 - As Margaret could not attend provisional slot Neil now arranging for w/c 19/03/12
12/03 - Neil to arrange meeting with Alan, Margaret, Chris and Bob to agree Operating Model
06/03 - Issue raised given Risks 26 &amp; 67 have been realised</t>
  </si>
  <si>
    <t>27-Feb: Reviewed - Decision in the past; Impacted by cloud and replan</t>
  </si>
  <si>
    <t>27-Feb: Reviewed - Decision in the past - Need to confirm at Replan; May be impacted</t>
  </si>
  <si>
    <t>27-Feb: Reviewed - Decision in the past - Need to confirm at Replan; Impacted</t>
  </si>
  <si>
    <t>27-Feb; Reviewed - 
Confirm at replan; May be impacted - check with Jeremy Brown</t>
  </si>
  <si>
    <t>27-Feb: Reviewed - Confirm at replan; May be impacted</t>
  </si>
  <si>
    <t>27-Feb: Reviewed - decision in the past; Impacted</t>
  </si>
  <si>
    <t xml:space="preserve">6- March - J. Meiser To confirm to A. Grljevic
5-Mar: A 25Gb plan on O365 is an additional $5.00 per user per month. Note that as we approach scope lock on O365 this decision needs to be final in the next 2 weeks. Any increase in mail file size allocations will also increase the cost of the On-Prem solution.
Assumption is to continue with 5GB and also verify that ithe storage can be increase this on an individual basis. Paul Neave to confirm whether we can increase the limit on an individual user basis
20-Feb JC - 5GB it is - there is a question about partners getting 25GB; JC requested Al send him and Siggi the costs for this vs. 5GB.
Q&amp;RM have express no concern, other than the fact the business reps need to buy into the plan we are no proposing
1-Feb: moved date out 3 weeks; Al and Adrian to raise with FSG.
10-Feb: SJ - IT recommendation validated by Q&amp;RM. 
Decision making authority now required to rubber stamp this .
(Don’t believe this is a “Business decision”)
</t>
  </si>
  <si>
    <t>John Costello and Siggi Hauer</t>
  </si>
  <si>
    <t>5gb Mail file limit. Users will have a 5gb mail file  however no personal archiving will be available. Q&amp;RM have aligned with IT Services strategy on this factor.
The user population will all get a 5GB mail file. This means the user will not be able to exceed this limit. Once the user reaches the limit, they will need to delete unneeded e-mails. (16-Mar)
Decision makers: John Costello and Siggi Hauer</t>
  </si>
  <si>
    <t xml:space="preserve">16-Mar: We will have an environment ready for the start of April, what we still don't have is a set off acceptance criteria for IAM so can only hope the 2 pm's understood each other on whats needed.
15-Feb: About 75% there; have schema info, domain controller hardware reqs. The locations are the missing pc.; will come after O365 decisions are made. Review next week.  
8-Feb: Ted needs info from M&amp;C; he will follow-up with Ant. Paul Neave is the M&amp;C contact; review next week. 
25-Jan: Changed owner to Ted (from Bob).
18-Jan: Ken - no further detail; the team is working to ensure they have full understanding today or tomorrow. Review next week.  
11-Jan: Ken - this is further complicated by the O365 decision. Additional planning to come in the next couple weeks. For on-premise, the open item is they are waiting for a CR (Bob or Dean) to say going from SP1 to SP2. (Teams are continuing under assumption of on-prem)
06-Jan: Bob scheduled a call with TF for Monday; from this meeting will determine risk response, mitigation/contingency plan and required risk resolution date. Still review Wednesday.
04-Jan: Bob has been working with Steve Jelf on this; the decision for the schema will be needed within a few weeks. Al will follow-up with Paul and Adrian, review next week.
03/01 - Bob sent the appropriate wording for the risk, opened from A19. </t>
  </si>
  <si>
    <t>Contingency, Mitigation plans</t>
  </si>
  <si>
    <t>16-Mar: Ian suggested next review 18-April. 
Direction provided by Alan for Cross Org that all to work as normal.</t>
  </si>
  <si>
    <t xml:space="preserve">16-Mar: due date should align with close of 30 day plan. 
14-Mar: Most Decisions and Assumptions have been reviewed; there remains a chunk to be revalidated that are hinging on a CR (for Tech Foundation) and replanning (SP). Mark said CR backed up a little (was due end of last week) due to Travis's holiday; should be through this week. 
22-Feb: Reiterate importance of revalidating these! Laura will schedule indiv meetings where needed to complete.
15-Feb: Laura added place in comments column of assumptions to include name/date of revalidation (22 assumptions); will add column to decisions for date of revalidation (131 decisions). 
25-Jan: Laura sending weekly update of what is to be reviewed/filled in.
18-Jan: Opened. All items to be revalidated. </t>
  </si>
  <si>
    <t>16-Mar: Meeting scheduled for Monday.
15-Mar: on daily stand up call, Michelle gave update she is working with Ed Dale on a plan for how to do this; Andy wants high value Notes connector in release 1.
12-Feb:  Currently evaluating another option(Autonomy).  Planned POC to validate due 30 April.  7 Feb:  Added Issue, currently working on POC to assess viability.  Team will be regrouping with WSL and Executive Sponsors to discuss  further.</t>
  </si>
  <si>
    <t xml:space="preserve">16-Mar: On daily standup call, Michelle and Alan confirmed this can be closed; a meeting occurred and the blueprint process is how understood. </t>
  </si>
  <si>
    <t>06/03 - Issue closed as replanning of both Phase 1 and Rediscovery projects being managed as BAU</t>
  </si>
  <si>
    <t>Rooms scheduled and resources identified.  Invitations to be sent.</t>
  </si>
  <si>
    <t>15 March - using Newsgator as an assumption for planning</t>
  </si>
  <si>
    <t>15 March - Decision made with Newsgator decision</t>
  </si>
  <si>
    <t>16-Mar: Neil said there are a few actions remaining before closure (from his call with Alan).
06 Mar: The preferred approach to mitigating the risk is initiate the RFP process now however this is dependant on agreeing both the Operating Model and Resourcing Strategy for A&amp;DM (issue 141)</t>
  </si>
  <si>
    <t>Neil Sahev</t>
  </si>
  <si>
    <t>II items</t>
  </si>
  <si>
    <t xml:space="preserve">16-Mar: Meeting Monday to discuss. </t>
  </si>
  <si>
    <r>
      <t xml:space="preserve">17-Mar - Still awaiting decision on Swedenk, Switzerland and DE. Likely date to get recomendation Friday 24th March. 
08-Mar - We don't need any email archiving in the Americas or A-P
In EMEIA, we have a potential need for email archiving in Sweden, Switzerland and maybe Germany. However, we're pushing hard on these as the requirements don't appear to be based on any legal or regulatory criteria. Will keep you posted on progress here. 
One thing to flag is the broker-dealer entity in Canada - Brett is aware of this but it currently uses a specific email archiving system which will need to be replaced. 
</t>
    </r>
    <r>
      <rPr>
        <b/>
        <sz val="9"/>
        <color theme="1"/>
        <rFont val="EYInterstate Light"/>
      </rPr>
      <t>(Note: dep. on decision, refer back to R3 (deferred). May need to open a corresponding issue; do so through R3).</t>
    </r>
    <r>
      <rPr>
        <sz val="9"/>
        <color theme="1"/>
        <rFont val="EYInterstate Light"/>
      </rPr>
      <t xml:space="preserve">
5-Mar: JC to follow-up with Gillian H. 
20-Feb JC - We had always talked about archiving being a separate project and we have time because the user will have plenty of space in their 5GB mail file on day one. We need the answer from Q&amp;RM about whether any country needs and why. 
Further Q&amp;RM due diligence is required to confirm if legal position exist in countries. It is however thought that regardless of this, further thought should be given by IT Services to accommodate these requests.
1-Feb: meeting scheduled with Q&amp;RM tomorrow; update thereafter.
Decision required asap on (a) If a archiving solution(s) is required overall and (b) exactly what is required for "day 1". 
10-Feb SJ - This is significant. 
Q&amp;RM due diligence will take weeks / months to complete. 
A. Mickelson was to attempt at opening up a RFP activity around general electronic archiving , however it is not known if this has come to fruition. 
Impact of not having a decision on what is required for day 1. If it is decided that an email archiving solution is required in 1 or more countries for day 1 then significant additional cost would be incurred from both a H/W and resourcing view point. P/ Neave to confirm when drop dead date is for a decision to be made. 
</t>
    </r>
  </si>
  <si>
    <t>Dependency alignment is 31%. .
No traction being made on reducing the outstanding dependencies.</t>
  </si>
  <si>
    <t xml:space="preserve">17th March - As expected, dependencies have reduced in alingment due to new plans being submitted. Resolution will be (a) Ensure Org restructure is known to determine if dependencies still exist. Secondly fortnightly meetings occuring on aligning dependencies throughout the M&amp;C program 
7th March -  Dependencies are still likely to reduce over the next weeks whilst plans are now being refined based on potential org structure changes. 
29th Feb - Dependency Alignment will dip further over the next 2 / 3 weeks as new plans replace the originals. Dependency alignment meeting with key external programs booked every 2 weeks from 15th March
15th Feb - Dependency alignment reduced to 51% - SharePoint and TF Lync plans are effectively shelved and a new plan is being constructed. Dependencies will be mis-aligned at least until 1st March, 
31st Jan - Dependency alignment 58%. 2 plans will be dropped (Lync and SharePoint) as a complete replanning exercise is required. Therefore dependency alignment is projected to drop further. 
23rd Jan - Dependency alignment 53%. There are a number of dependencies that could be aligned , but due to significant replaninng tasks being undertaken, current plans are effectively shelfed at this point. 
17th Jan - Dependency alignment 49%. This will continue to drop as plans need validation.
11-Jan: Steve thinks got up to 60% this week, but this will probably reduce as replan on account of BPOS. As for a req. resolution date, this is dependent on re-planning of the SP and Exchange streams. For now, TBD; review again end of February.
06th - Jan. Dependency management meetings held with M&amp;C Program Managers and external programs every 2 weeks, but in certain work streams sufficient priority isn't  given to resolving this. </t>
  </si>
  <si>
    <t xml:space="preserve">Plan a gradual increase and expect to be at least 50% aligned by 5th April </t>
  </si>
  <si>
    <t>17TH March - Risk accepted. therefore this is being closed. Low confidence levels known and accepted. 
15-Mar Steve: The update on this is that for the TF Lync program, there will be a low confidence level in the current dates until 18th May when a detailed plan can be finalised and committed to from the eventually chosen vendor.
13/3 - Escalate to A Guthrie as part of daily checkpoint meeting</t>
  </si>
  <si>
    <t>19 Mar - Risk will be reassessed as content is entered
7 Feb:  Created this Risk.</t>
  </si>
  <si>
    <t xml:space="preserve">19 Mar - Norm Beard identified to run down root cause
7 Feb:  Added and updated Risk. </t>
  </si>
  <si>
    <t xml:space="preserve">
19 March - working with Assurance to document the governance 
14-Mar: update on daily call is that Howard is looking into this.
7 Feb: Added and updated Risk.</t>
  </si>
  <si>
    <t xml:space="preserve">19 Mar - Currently accounted for in the metadata management plan and escalated issue to executiive sponsors
7 Feb:  Added and updated Risk. </t>
  </si>
  <si>
    <t>19 Mar - Working to document governance structure and gain approval
15-Mar: determined on daily calls that this sits with Alan for an update Tuesday.
14-Mar: Call scheduled today to discuss. 
22-Feb: Need Guy and Alan to say definitively whether GAAIT is part of this program. Michelle said Alan and Margaret were talking to Mo, but she hasn't heard back. Review week after the FSG meeting (may be an update there). 
15-Feb: Brett not on call; Sophie suggested this is mainly about Change; review this next week when Brett is on the call.
7-Feb: Brett opened. Included: (now D99) We need a decision on whether GAAIT (and Ovitas work) are part of M&amp;C or not and if they are they need to be properly re-absorbed into our governance structures. If not I'd like to know so that I can ensure that Enterprise Architecture is differently engaged than is currently the case.</t>
  </si>
  <si>
    <t>19 March - Wave 15 has been reviewed and will be considered for Social features
16-Mar: Michelle took action to update and close today.
13-Mar: Update on daily stand up call that a meeting is occurring later this week to resolve.</t>
  </si>
  <si>
    <t xml:space="preserve">19 March - Escalated to executive sponsors
22-Feb: From R18 to I121. what does the M&amp;C Program need to do to coordinate and keep from falling apart? IT Services is not effectlively managing this, along with the fact that we need to stop the demand for services that are undeliverable. This is a CLT-level type discussion. Guy and Alan to own. </t>
  </si>
  <si>
    <t>19 March - Release 1 planning decision has been made with Kevin and EriC
12-Feb:  This covers Layouts for Phase 1.  9 Feb:  Issue converted from a Risk on 3/9.  Mtg with Frog on 3/9 to discuss further</t>
  </si>
  <si>
    <t xml:space="preserve">19 March - Working with GAAIT team to understand - Will not be part of R1 but work will need to go on during that time period
12-Feb:  Item added.  </t>
  </si>
  <si>
    <t>19 March - On it's way to the DA currently in the plans
13-Mar: Further discussions and decisions scheduled to drive this this week. 
12-Feb:  We are currently evaluating what OOB vs Accessibility will provide to understand customization.  29-Feb:  CR has been approved, working on defining standards.  Will need to take to the DA as well.  07-Feb: Change request submitted to PMO for approval.
31-Jan: Part of re-plan
25-Jan: Michelle to submit change request
17-Jan: Change request needs to be submitted to accommodate changes to scope.</t>
  </si>
  <si>
    <t>Andy Walsh has a SP governance model in process 
Need to determine how should particpate in the SP Governance sessions</t>
  </si>
  <si>
    <t>R131</t>
  </si>
  <si>
    <t>R132</t>
  </si>
  <si>
    <t>R133</t>
  </si>
  <si>
    <t>R134</t>
  </si>
  <si>
    <t>R135</t>
  </si>
  <si>
    <t>R136</t>
  </si>
  <si>
    <t>R137</t>
  </si>
  <si>
    <t>R138</t>
  </si>
  <si>
    <t>SharePoint PM resource allocation</t>
  </si>
  <si>
    <t>Messaging PM resource allocation</t>
  </si>
  <si>
    <t>Technical Leads</t>
  </si>
  <si>
    <t>Communications Protocol</t>
  </si>
  <si>
    <t xml:space="preserve">Assigned O365 PM is managing other projects and may not have sufficient time to enable the successful and timely delivery of the project </t>
  </si>
  <si>
    <t>Technical Leads have not been formally assigned</t>
  </si>
  <si>
    <t>E&amp;Y PM’s not included in various meeting discussing Office  365 activities</t>
  </si>
  <si>
    <t>Mark Reade / Carlos Vasquez</t>
  </si>
  <si>
    <t>Assign a Single fulltime dedicated resource to take over responsibility as Office 365 PM and use current SharePoint PM as a resource to the workstream
Or, assign additional resource to assist SharePoint PM</t>
  </si>
  <si>
    <t>Assign a Single fulltime dedicated resource to take over responsibility as Office 365 PM and use current Messaging PM as a resource to the workstream Or, assign additional resource to assist SharePoint PM</t>
  </si>
  <si>
    <t>Technical leads will be the SME on Office 365 Service Description and will coordinate the work as well as report back to the PM on activity status.</t>
  </si>
  <si>
    <t>Need management involvement to ensure that a top/down assignment is issued.</t>
  </si>
  <si>
    <t>E&amp;Y PMs must be empowered to coordinate all efforts and implement mechanisms to feed information back to the management team.</t>
  </si>
  <si>
    <t>May need E&amp;Y management involvement</t>
  </si>
  <si>
    <t>19-Mar: a decision is required whether EY should accept these risks and the consequence of potentially delaying O365</t>
  </si>
  <si>
    <t>19-Mar: a decision is required whether EY should accept these risks and the consequence of potentially delaying O365
19-Mar: E&amp;Y PM team is working in identifying leads in the Network, Messaging, SharePoint, Active Directory, and Support.  Other leads will be needed after Plan phase</t>
  </si>
  <si>
    <t xml:space="preserve">19-Mar: a decision is required whether EY should accept these risks and the consequence of potentially delaying O365
19-Mar: Various meeting are occurring without the involvement of the E&amp;Y PM group. 
This uncoordinated meetings may have a negative impact on the ability of the E&amp;Y PM team to effectively manage all Office 365 workstreams.  </t>
  </si>
  <si>
    <t xml:space="preserve">Risk accepted. therefore this is being closed. Low confidence levels known and accepted. </t>
  </si>
  <si>
    <t>Wave 15 has been reviewed and will be considered for Social features</t>
  </si>
  <si>
    <t>19-Mar: Neil scheduled a session to discuss Wed. AM.</t>
  </si>
  <si>
    <t>Inability to arrange a second client interview - with frog, for conducting user research</t>
  </si>
  <si>
    <t>The frog team has been able to have just one session with an E&amp;Y client - to perfrom their research into the E&amp;Y Extranet. The business has not been able to provide a timely response - towards identifying atleast one more client.
Alan Guthrie's efforts to arrange Microsoft as the 2nd client has also failed</t>
  </si>
  <si>
    <t>Insufficient data for conduting research on the UX for Extranet - impacting the quality of the deliverable from frog</t>
  </si>
  <si>
    <t>SP - User Experience</t>
  </si>
  <si>
    <t>Frog closing the discover phase without sufficient interactions with E&amp;Y's clients</t>
  </si>
  <si>
    <t>Eric and kevin to explore if any alternate plans are possible</t>
  </si>
  <si>
    <t>19-Mar: Risk identified</t>
  </si>
  <si>
    <t xml:space="preserve">This risk has been superceded by I110. Close as a risk. </t>
  </si>
  <si>
    <t xml:space="preserve">Alignment of rollout wave plans with DCC and GWAN teams. Weekly call set up to monitor this key dependency. </t>
  </si>
  <si>
    <t>19-Mar: Adrian provided planned resolution and amended due date to 18-April to be more realistic (was 21-Mar).
6-Mar: there are 2 items here -- one is the inbound dependency on DCC, which is putting in accelerators; the other is the issue that if all goes to cloud, could be performance issues with MySites in some locations. Action: Adrian to find out from DCC  where they are. 
12/112 - Opened at the SP Foundation meeting, teams are linked.  Need to make sure plans are updated.</t>
  </si>
  <si>
    <t>All Tech Foundation issues have been fully updated.</t>
  </si>
  <si>
    <t>Issue closed as restaffing of the Rediscovery team being managed as a BAU activity</t>
  </si>
  <si>
    <t>Name agreed upon.</t>
  </si>
  <si>
    <t>Issue closed as priority of A&amp;DM relative to other Programs being reviewed by CLT / IT SD leads as part of FY13 planning</t>
  </si>
  <si>
    <t xml:space="preserve"> This is a duplicate issue (I133).  This item will be closed and activity will be tracked under I133.</t>
  </si>
  <si>
    <t>10/8  - Steve - AD Group Management business case approved and RFP underway.  Close issue and keep the Group Mgmt Risk (R33) open.</t>
  </si>
  <si>
    <t>Sponsors identified.</t>
  </si>
  <si>
    <t>Decision was made to move forward with HP QC as the defect tracking tool with an availability date of July 18th.  SOW was updated to reflect the change.</t>
  </si>
  <si>
    <t>Release 1 planning decision has been made with Kevin and EriC</t>
  </si>
  <si>
    <t>Working with GAAIT team to understand - Will not be part of R1 but work will need to go on during that time period</t>
  </si>
  <si>
    <t xml:space="preserve">close, names have been received and process has been confirmed.  </t>
  </si>
  <si>
    <t>SOW's signed and envisioning sessions scheduled.</t>
  </si>
  <si>
    <t>Close. RFP includes three options; on-prem, on-prem with internal cloud managed by external party, straight cloud. Vendors will respond accordingly. Juan still has to meet with Good.</t>
  </si>
  <si>
    <t>Not going forward with BPOS.  Still considering alternatives for Cloud computing.  Close this issue and open new issue around alternative price could be more and additional timeline for RFP, etc.</t>
  </si>
  <si>
    <t xml:space="preserve">Close as an issue and mark as normal action item for Mark and Michelle. Create and manage timeline; put deliverable dates around open items by October 1. Rita to work with Mark and Michelle. </t>
  </si>
  <si>
    <t xml:space="preserve">On Decisions/Assumptions review meeting today, Alan and Guy confirmed this can be closed here. This is being managed outside the M&amp;C program. </t>
  </si>
  <si>
    <t>07/11 - RB - meeting held on 2 November between UC program team, Engineering, Architecture and Global Procurement. Approach, roles and responsibilities agreed, high level milestone plan drafted for review. Propose risk closed as action plan now underway to resolve.</t>
  </si>
  <si>
    <t>Envisioning complete.</t>
  </si>
  <si>
    <t>We have passed the critical point on this; can close.</t>
  </si>
  <si>
    <t>31/08 - Names have been provided.  This issue can be closed.</t>
  </si>
  <si>
    <t>07/12 - Alan and Guy have signed change control; this can be closed.</t>
  </si>
  <si>
    <t>Resolved with kick-off.</t>
  </si>
  <si>
    <t>Agreed on this 30-Nov call that we will close this item since the Q&amp;RM issue has been resolved, and Daren will open a different one around getting SharePoint attribute requirements for communities.</t>
  </si>
  <si>
    <t>Further SOW reviews planned 5th &amp; 6th April to progress</t>
  </si>
  <si>
    <t>Replanning will reassess resource needs</t>
  </si>
  <si>
    <t>Attended the DA call to review Metadata Mgmt RFP and received approval to move forward.  The team will present back to the DA after vendor reviews. Close as Issue.</t>
  </si>
  <si>
    <t>Approved. Close.</t>
  </si>
  <si>
    <t xml:space="preserve">14/09 - Received SOW from MS, reviewed and had review with Microsoft this afternoon. John Bruce will incorporate revisions and provide update by end of week. Close this issue. </t>
  </si>
  <si>
    <t xml:space="preserve">Contract sorted, progressing this project with suport from Imanami. </t>
  </si>
  <si>
    <t>Resolved with John Costello.</t>
  </si>
  <si>
    <t>5/10 - Roles and Responsibilities defined by Michelle E., Brian B., and Brett.  Brett also presented new Enterprise / Solution Architecture Shared Architecture Teams model in the last DA meeting.  Issue can be closed.</t>
  </si>
  <si>
    <t>05/10 - CR redrafted to include Fusion and SPF changes, awaiting agreement within ITS, due for release to MS 6/10. Team determined that this is a duplicate item, close.</t>
  </si>
  <si>
    <t>Was changed to a risk and not needed to be tracked here. Close.</t>
  </si>
  <si>
    <t xml:space="preserve">Closed as an issue and opened as Risk 47 as this has gone from being an issue to a Risk. </t>
  </si>
  <si>
    <t>Server built.</t>
  </si>
  <si>
    <t>SOW signed off.</t>
  </si>
  <si>
    <t>Process determined.</t>
  </si>
  <si>
    <t>2 junior PMs hired, starting Monday. They will take care of this from here.</t>
  </si>
  <si>
    <t>Comms lead and PM starting in near future</t>
  </si>
  <si>
    <t>ID Sync SOW has been signed-off.</t>
  </si>
  <si>
    <t>resources approved.</t>
  </si>
  <si>
    <t>Brigitte Ireland is now officially the M&amp;C Learning Lead</t>
  </si>
  <si>
    <t>Martin K: Issue closed as all areas are now engaged and it's part of the CH and Deployment plan to engage furhter at a local level.</t>
  </si>
  <si>
    <t>mitigated.</t>
  </si>
  <si>
    <t>Resolved.</t>
  </si>
  <si>
    <t>will assess in re-plan</t>
  </si>
  <si>
    <t>have a resource who will work with Michelle's team. Should not have an impact from program perspective. Close.</t>
  </si>
  <si>
    <t xml:space="preserve">Met with Assurance(Bob Held, Margaret Walsh), if Ovitas is selected it will be an Assurance run effort and will not be part of our scope or budget.  Team engaged delivering on front end.  Team will continue to work on Content Management. </t>
  </si>
  <si>
    <t>Moved to risks. Close.</t>
  </si>
  <si>
    <t>Received name.</t>
  </si>
  <si>
    <t xml:space="preserve"> Altering schedules of the People and Communities workstreams to fit the communities lead schedule</t>
  </si>
  <si>
    <t>Not an issue for EY.</t>
  </si>
  <si>
    <t>Traceability will be manual.</t>
  </si>
  <si>
    <t>Factor into replan.</t>
  </si>
  <si>
    <t>Will have weekly change control meetings</t>
  </si>
  <si>
    <t>Continuing to work with Msft; action not issue any longer.</t>
  </si>
  <si>
    <t>Revised overall Change plans taking shape, and following the same process as other plans. Baselines are mandated for the end of the month (Feb) Therefore this issue is resolved.</t>
  </si>
  <si>
    <t>POC moving forward, change control pending.</t>
  </si>
  <si>
    <t>Brian, Nick and MS determined how the two teams will work together</t>
  </si>
  <si>
    <t xml:space="preserve"> Issues closed as replanning being managed as a BAU activity</t>
  </si>
  <si>
    <t>Resolved on call: Chris Whitman's team.</t>
  </si>
  <si>
    <t>Work in hand; recruiting.</t>
  </si>
  <si>
    <t xml:space="preserve">More initial discovery is required and the list of applications will be re-addressed at a later stage </t>
  </si>
  <si>
    <t>Contingency plan, Mitigation plan, Trigger, Required Resolution Date</t>
  </si>
  <si>
    <t>Impact: Scope, Quality, Schedule, Cost</t>
  </si>
  <si>
    <t>Contingency Plan, Required Resolution Date, Next Review Date</t>
  </si>
  <si>
    <t>Scope provided in the detailed drafts will be the scope desired by BPO</t>
  </si>
  <si>
    <t>Infrastructure can be provided in the time on the plan</t>
  </si>
  <si>
    <t>Must deliver in calendar year 12</t>
  </si>
  <si>
    <t>SP Cloud infrastructure will be delivererd in 30 or less weeks and then 8 weeks to implement initial profiles, my sites and communities to the cloud infrastructure</t>
  </si>
  <si>
    <t>Release 1 UX will be OOB SharePoint with only minor branding</t>
  </si>
  <si>
    <t>People Profiles, My Sites and Communities will be hosted in the cloud</t>
  </si>
  <si>
    <t>No performance testing of cloud workloads</t>
  </si>
  <si>
    <t>Delivery of the project will be done in smaller releases of functinoality</t>
  </si>
  <si>
    <t>SP Governance decisions will be defined and agreed to before needed by the SP workstreams</t>
  </si>
  <si>
    <t>Newsgator and Concept Searching will be selected and implemented with OOB configuration only</t>
  </si>
  <si>
    <r>
      <t xml:space="preserve">21/02/12: RB: Network bandwith challenges may impact number of users able to be migrated. See R91
04-Jan: reworded from 5K boxes per night to 15K per week; then Adrian and Al confirmed it can be marked valid.
</t>
    </r>
    <r>
      <rPr>
        <b/>
        <sz val="9"/>
        <color theme="1"/>
        <rFont val="EYInterstate Light"/>
      </rPr>
      <t/>
    </r>
  </si>
  <si>
    <t>All updated</t>
  </si>
  <si>
    <t>This will become an operational risk if once DR &amp; HA infrastructure are deployed within the same data centre and DR capability is not in place.</t>
  </si>
  <si>
    <t>If the test Env design cannot be achieved with sufficient confidence to initiate provisioning and build of the test environment then the timeline will extend</t>
  </si>
  <si>
    <t>Lync will work seamlessly with Sometime during the transition phase</t>
  </si>
  <si>
    <t>20 March: Lync Dormant Deployment is complete. Official handover has been accepted by the Lync Project Team to include:
Provide patch update when/where required
Install Language Packs, when/where required
Own Activation, inc testing - when/where required.
All Other Activities relating to the Lync Project.
The same agreement will be gleaned (when appropriate) for Outlook.
The Project Costs are now associated to Tech Foundation
6-Mar: Adrian to discuss with Martin Versteeg. Review in 2 weeks; Due end of March.
29/02/12: Dormant deployment has now moved to TF. Action with Daren Wicks to validate
31/01/12: RB: not yet confirmed how this will happen. Discussions ongoing with Dormant Deployment Teams, Transition Lead, TF, and Ops, RACI needs to be developed for respective teams as to who does what in the activation process, as well as understanding implications of not applying service packs to the dormant clients until the point of activation
04-Jan: Adrian confirmed that this is valid. 
14-11-11: Added by Daren Wicks. Implications is the Unified Comms project will need to pick up the resource costs until 2013, when full Activation has completed, and hand over to Operations has taken place.</t>
  </si>
  <si>
    <t>Sophie Boiron / Martin Kremmer</t>
  </si>
  <si>
    <r>
      <rPr>
        <b/>
        <sz val="9"/>
        <color theme="1"/>
        <rFont val="EYInterstate Light"/>
      </rPr>
      <t xml:space="preserve">19-Mar-12: </t>
    </r>
    <r>
      <rPr>
        <sz val="9"/>
        <color theme="1"/>
        <rFont val="EYInterstate Light"/>
      </rPr>
      <t xml:space="preserve">Rewa and Jackie have produced a proposed model for review and approval of requirements.  This has been reviewed by Jeremy Brown and Rewa, Rachel and Jackie will take this to individual stakeholders in the Areas and Functional Groups for their input and advice. 
</t>
    </r>
    <r>
      <rPr>
        <b/>
        <sz val="9"/>
        <color theme="1"/>
        <rFont val="EYInterstate Light"/>
      </rPr>
      <t xml:space="preserve">12-Mar-12 (RB): </t>
    </r>
    <r>
      <rPr>
        <sz val="9"/>
        <color theme="1"/>
        <rFont val="EYInterstate Light"/>
      </rPr>
      <t>Issue wording updated to combine with I106 in order to avoid duplication, as ultimate resolution is the same for both issues. Owner assigned as Jeremy Brown. JB drafted governance model to address this, being reviewed by UC and Change. Due date amended to end of March in line with delivery of overall M&amp;C governance
09-Mar: Engagement with the business is awaiting for overal decision on M&amp;C program engagement model including IT service delivery leads.  In discussion with Margerat Walsh
22-Feb: had engaged with business, but are receiving pushback as of late since the business is being contact by numerous programs; looking for integration. Sophie restarting this piece. The drop dead date is the end of April and the team will be pushing at the max to complete by then. Ammended due date from 7-Dec-2011 to end of April. Review next week.
05-Feb: Requirement gathering discussion started wit AsiaPac.  Plan to engage with Americas and Japan shortly and with EMEIA other the next couple of weeks (still waiting for EMEIA rep to be decided).
26-Jan: RB: Issue re-worded to reflect focus on business engagement more aligned to the business deployment and business change scope which spans SharePoint and ADM as well as UC. New issue (I106) raised to highlight the issue arising from lack of business engagement specifically on Unified Comms requirements scope
25-Jan: Meeting with Rebecca Chan on Monday to discuss Change Network for Asia Pacific. Conversation on call around whether it is realistic that the team will get agreement from the FSG on this. Rewa said an alternate route is being taken to  find a focused group to make these decisions. The Q&amp;RM scope is narrow and make more recommendations than decisions. Off-line discussion to be had around the critical point when not having these decisions will delay the program. Rewa will split this item  back out (used to be two separate items) so that one is a risk that the lack of decisions being made will h hamper progress. The longer these decisions make, the longer until we can move forward. She will include the O365 decision in the description and assign the item to Ian, Guy and Alan to resolve.
10-Jan: I49 blended into this. Action completed.Added Martin to "Assigned to"
04-Jan: Jackie said this is linked with I49; keep open and she will update. (Laura opened action)
07/12 - Jackie said this is essentially the same issue as the Area Engagement one. She is working on cleaning up these items.
30/11 - On call, decided to change due date from 30-Oct to next week. Engaged with business, this has been escalated to Jeremy, Bob and Alan. Jackie said she will take the action to work with James to rationalize this. Adrian also said that this is on the agenda for Liz King's workshop next week. Review next week. 
09/11 - Jackie said that they are presenting SAS story, first draft at FSG meeting next week.Still showing very critical dates around resource placements. Increase to Critical.
26/10 - Adrian suggeted this be owned by Jackie and Sophie. 
19/10 - Adrian has been struggling due to lack of sponsorship in FS groups. The need for business engagement is beginning to impact the program and consequently not moving forward well in UC. Review next week when Jeremy is on the call. 
11/10 - R Bouji - Discussions with J Brown continuing, suggestion to hold briefing sessions in AsiaPac, EMEIA, and Americas with key area SMEs to present program and elicit nominations for business resources to fill key UC Deployment Area Manager roles, as well as validate engagement model and deployment strategy straw man. Scope and objectives of briefing sessions, attendees, dates etc TBA by M&amp;C UC and Change teams.
4/10 - RB and AM presented proposed engagement model to J Brown 21/09. Acknowledged the challenge in finding resources with capability and capacity to fill roles. Also presented to IT Area Management Leads (APAC, Americas), and agreed to hold a planning workshop to validate engagement approach, deployment and transition plans, and try to identify/nominate resources for key SME roles to sit within Program team and within business/IT. Workshops to be held in October (dates TBC).</t>
    </r>
  </si>
  <si>
    <t>27-Feb: Reviewed - may no longer be true</t>
  </si>
  <si>
    <t>DELIVER includes DTU. - No longer true</t>
  </si>
  <si>
    <t>All desktop units will be deployed with 2010 for the POC - No longer true</t>
  </si>
  <si>
    <t>December 20120 meeting with MS</t>
  </si>
  <si>
    <t>Will be affected by Replan</t>
  </si>
  <si>
    <t>Replanned</t>
  </si>
  <si>
    <t>TF Meeting</t>
  </si>
  <si>
    <t>Process will be changed for each BPO</t>
  </si>
  <si>
    <t>Will not have the same effect due to Newsgator</t>
  </si>
  <si>
    <t>Work with WSL to determine UAT</t>
  </si>
  <si>
    <t>20 March 0 this process is working as needed</t>
  </si>
  <si>
    <t xml:space="preserve"> </t>
  </si>
  <si>
    <t>No longer needed with the replan</t>
  </si>
  <si>
    <t>Will be worked as part of the plan</t>
  </si>
  <si>
    <t>Will be reassed with the replan</t>
  </si>
  <si>
    <t>Assumption has been validated</t>
  </si>
  <si>
    <t>in the past</t>
  </si>
  <si>
    <t>Working to determine which GAAIT work to add</t>
  </si>
  <si>
    <t>vision and Scope contains that level</t>
  </si>
  <si>
    <t>In the current replan</t>
  </si>
  <si>
    <t xml:space="preserve">Replan has been updated to reflect this </t>
  </si>
  <si>
    <t>14-Mar: Michelle to update mitigation plan. New due/review date: 30-Apr-2012
7 Feb:  Added and updated Risk. 
12 Mar - Not necessary for Phase (Relase 1) SP
20 Mar - Asigned to Jeremy to falitate the discussion with the appropriate BPO</t>
  </si>
</sst>
</file>

<file path=xl/styles.xml><?xml version="1.0" encoding="utf-8"?>
<styleSheet xmlns="http://schemas.openxmlformats.org/spreadsheetml/2006/main">
  <numFmts count="4">
    <numFmt numFmtId="164" formatCode="[$-409]d\-mmm\-yyyy;@"/>
    <numFmt numFmtId="165" formatCode="dd\ mmm\ yyyy"/>
    <numFmt numFmtId="166" formatCode="[$-409]d\-mmm\-yy;@"/>
    <numFmt numFmtId="167" formatCode="[$-409]d\-mmm;@"/>
  </numFmts>
  <fonts count="47">
    <font>
      <sz val="10"/>
      <color theme="1"/>
      <name val="Arial"/>
      <family val="2"/>
    </font>
    <font>
      <b/>
      <sz val="9"/>
      <name val="EYInterstate Light"/>
    </font>
    <font>
      <sz val="12"/>
      <name val="Times New Roman"/>
      <family val="1"/>
    </font>
    <font>
      <sz val="9"/>
      <name val="Arial"/>
      <family val="2"/>
    </font>
    <font>
      <sz val="10"/>
      <name val="Arial"/>
      <family val="2"/>
    </font>
    <font>
      <sz val="10"/>
      <name val="Times New Roman"/>
      <family val="1"/>
    </font>
    <font>
      <sz val="9"/>
      <color theme="1"/>
      <name val="EYInterstate Light"/>
    </font>
    <font>
      <b/>
      <sz val="9"/>
      <color theme="1"/>
      <name val="EYInterstate Light"/>
    </font>
    <font>
      <sz val="9"/>
      <name val="EYInterstate Light"/>
    </font>
    <font>
      <sz val="7"/>
      <color rgb="FF646464"/>
      <name val="EYInterstate"/>
    </font>
    <font>
      <b/>
      <sz val="7"/>
      <color rgb="FF646464"/>
      <name val="EYInterstate"/>
    </font>
    <font>
      <b/>
      <sz val="7"/>
      <color rgb="FF646464"/>
      <name val="EYInterstate Light"/>
    </font>
    <font>
      <sz val="7"/>
      <color rgb="FF646464"/>
      <name val="EYInterstate Light"/>
    </font>
    <font>
      <b/>
      <sz val="9"/>
      <color indexed="9"/>
      <name val="EYInterstate"/>
    </font>
    <font>
      <sz val="10"/>
      <name val="EYInterstate"/>
    </font>
    <font>
      <b/>
      <sz val="9"/>
      <name val="EYInterstate"/>
    </font>
    <font>
      <b/>
      <sz val="10"/>
      <name val="EYInterstate"/>
    </font>
    <font>
      <i/>
      <sz val="10"/>
      <name val="EYInterstate"/>
    </font>
    <font>
      <sz val="10"/>
      <color rgb="FFFF0000"/>
      <name val="EYInterstate"/>
    </font>
    <font>
      <b/>
      <sz val="10"/>
      <color rgb="FFFF0000"/>
      <name val="EYInterstate"/>
    </font>
    <font>
      <b/>
      <sz val="10"/>
      <color theme="1"/>
      <name val="Arial"/>
      <family val="2"/>
    </font>
    <font>
      <sz val="9"/>
      <color theme="1"/>
      <name val="Arial"/>
      <family val="2"/>
    </font>
    <font>
      <b/>
      <sz val="9"/>
      <color theme="1"/>
      <name val="Arial"/>
      <family val="2"/>
    </font>
    <font>
      <sz val="10"/>
      <color theme="1"/>
      <name val="Arial"/>
      <family val="2"/>
    </font>
    <font>
      <u/>
      <sz val="9"/>
      <color theme="1"/>
      <name val="Arial"/>
      <family val="2"/>
    </font>
    <font>
      <sz val="9"/>
      <color rgb="FFFF0000"/>
      <name val="Arial"/>
      <family val="2"/>
    </font>
    <font>
      <sz val="9"/>
      <color rgb="FF222222"/>
      <name val="Arial"/>
      <family val="2"/>
    </font>
    <font>
      <b/>
      <sz val="8"/>
      <color indexed="81"/>
      <name val="Tahoma"/>
      <family val="2"/>
    </font>
    <font>
      <sz val="8"/>
      <color indexed="81"/>
      <name val="Tahoma"/>
      <family val="2"/>
    </font>
    <font>
      <sz val="8"/>
      <color theme="1"/>
      <name val="Arial"/>
      <family val="2"/>
    </font>
    <font>
      <sz val="8"/>
      <color theme="1"/>
      <name val="EYInterstate Light"/>
    </font>
    <font>
      <i/>
      <sz val="9"/>
      <color theme="1"/>
      <name val="EYInterstate Light"/>
    </font>
    <font>
      <sz val="9"/>
      <color rgb="FF000000"/>
      <name val="EYInterstate Light"/>
    </font>
    <font>
      <sz val="10"/>
      <color theme="1"/>
      <name val="EYInterstate Light"/>
    </font>
    <font>
      <sz val="10"/>
      <color theme="1"/>
      <name val="Cambria"/>
      <family val="1"/>
    </font>
    <font>
      <b/>
      <sz val="10"/>
      <color theme="1"/>
      <name val="Cambria"/>
      <family val="1"/>
    </font>
    <font>
      <sz val="9"/>
      <name val="Arial"/>
      <family val="2"/>
    </font>
    <font>
      <b/>
      <sz val="9"/>
      <name val="Arial"/>
      <family val="2"/>
    </font>
    <font>
      <sz val="8"/>
      <color rgb="FFFF0000"/>
      <name val="Arial"/>
      <family val="2"/>
    </font>
    <font>
      <u/>
      <sz val="9"/>
      <color theme="10"/>
      <name val="Arial"/>
      <family val="2"/>
    </font>
    <font>
      <u/>
      <sz val="9"/>
      <color theme="10"/>
      <name val="EYInterstate Light"/>
    </font>
    <font>
      <sz val="9"/>
      <color indexed="8"/>
      <name val="EYInterstate Light"/>
    </font>
    <font>
      <sz val="9"/>
      <color rgb="FFFF0000"/>
      <name val="EYInterstate Light"/>
    </font>
    <font>
      <b/>
      <sz val="9"/>
      <color rgb="FFFF0000"/>
      <name val="EYInterstate Light"/>
    </font>
    <font>
      <sz val="9"/>
      <name val="Arial"/>
      <family val="2"/>
    </font>
    <font>
      <sz val="11"/>
      <color rgb="FF1F497D"/>
      <name val="Calibri"/>
      <family val="2"/>
    </font>
    <font>
      <sz val="7"/>
      <color theme="1"/>
      <name val="EYInterstate Light"/>
    </font>
  </fonts>
  <fills count="13">
    <fill>
      <patternFill patternType="none"/>
    </fill>
    <fill>
      <patternFill patternType="gray125"/>
    </fill>
    <fill>
      <patternFill patternType="solid">
        <fgColor theme="2"/>
        <bgColor indexed="64"/>
      </patternFill>
    </fill>
    <fill>
      <patternFill patternType="solid">
        <fgColor indexed="8"/>
        <bgColor indexed="64"/>
      </patternFill>
    </fill>
    <fill>
      <patternFill patternType="solid">
        <fgColor rgb="FFC1C1C1"/>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14999847407452621"/>
        <bgColor theme="0" tint="-0.14999847407452621"/>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FF99"/>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auto="1"/>
      </right>
      <top/>
      <bottom/>
      <diagonal/>
    </border>
    <border>
      <left style="thin">
        <color auto="1"/>
      </left>
      <right style="thin">
        <color auto="1"/>
      </right>
      <top/>
      <bottom/>
      <diagonal/>
    </border>
    <border>
      <left style="thin">
        <color auto="1"/>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top style="medium">
        <color indexed="64"/>
      </top>
      <bottom style="thin">
        <color theme="1"/>
      </bottom>
      <diagonal/>
    </border>
    <border>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style="medium">
        <color indexed="64"/>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right style="thin">
        <color indexed="64"/>
      </right>
      <top/>
      <bottom style="thin">
        <color indexed="64"/>
      </bottom>
      <diagonal/>
    </border>
    <border>
      <left style="thin">
        <color auto="1"/>
      </left>
      <right/>
      <top/>
      <bottom/>
      <diagonal/>
    </border>
    <border>
      <left/>
      <right/>
      <top style="thin">
        <color auto="1"/>
      </top>
      <bottom/>
      <diagonal/>
    </border>
    <border>
      <left style="medium">
        <color indexed="64"/>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medium">
        <color indexed="64"/>
      </right>
      <top/>
      <bottom style="thin">
        <color theme="1"/>
      </bottom>
      <diagonal/>
    </border>
  </borders>
  <cellStyleXfs count="6">
    <xf numFmtId="0" fontId="0" fillId="0" borderId="0"/>
    <xf numFmtId="0" fontId="2" fillId="0" borderId="0"/>
    <xf numFmtId="0" fontId="4" fillId="0" borderId="0"/>
    <xf numFmtId="0" fontId="4" fillId="0" borderId="0"/>
    <xf numFmtId="0" fontId="23" fillId="0" borderId="0"/>
    <xf numFmtId="0" fontId="39" fillId="0" borderId="0" applyNumberFormat="0" applyFill="0" applyBorder="0" applyAlignment="0" applyProtection="0">
      <alignment vertical="top"/>
      <protection locked="0"/>
    </xf>
  </cellStyleXfs>
  <cellXfs count="497">
    <xf numFmtId="0" fontId="0" fillId="0" borderId="0" xfId="0"/>
    <xf numFmtId="0" fontId="1" fillId="2" borderId="1" xfId="2" applyFont="1" applyFill="1" applyBorder="1" applyAlignment="1">
      <alignment horizontal="center" vertical="top" wrapText="1"/>
    </xf>
    <xf numFmtId="0" fontId="7" fillId="2" borderId="7" xfId="1" applyFont="1" applyFill="1" applyBorder="1" applyAlignment="1">
      <alignment horizontal="center" vertical="center" wrapText="1"/>
    </xf>
    <xf numFmtId="0" fontId="8" fillId="0" borderId="7" xfId="2" applyFont="1" applyBorder="1" applyAlignment="1">
      <alignment horizontal="center"/>
    </xf>
    <xf numFmtId="0" fontId="8" fillId="0" borderId="7" xfId="2" applyFont="1" applyBorder="1"/>
    <xf numFmtId="166" fontId="8" fillId="0" borderId="7" xfId="2" applyNumberFormat="1" applyFont="1" applyBorder="1"/>
    <xf numFmtId="0" fontId="6" fillId="0" borderId="7" xfId="0" applyFont="1" applyBorder="1" applyAlignment="1">
      <alignment vertical="top" wrapText="1"/>
    </xf>
    <xf numFmtId="0" fontId="8" fillId="0" borderId="7" xfId="0" applyFont="1" applyBorder="1" applyAlignment="1">
      <alignment vertical="top" wrapText="1"/>
    </xf>
    <xf numFmtId="0" fontId="0" fillId="0" borderId="1" xfId="0" applyBorder="1"/>
    <xf numFmtId="0" fontId="0" fillId="6" borderId="1" xfId="0" applyFill="1" applyBorder="1"/>
    <xf numFmtId="0" fontId="9" fillId="4" borderId="15" xfId="0" applyFont="1" applyFill="1" applyBorder="1" applyAlignment="1">
      <alignment vertical="center" wrapText="1"/>
    </xf>
    <xf numFmtId="0" fontId="9" fillId="4" borderId="18" xfId="0" applyFont="1" applyFill="1" applyBorder="1" applyAlignment="1">
      <alignment vertical="center" wrapText="1"/>
    </xf>
    <xf numFmtId="0" fontId="11" fillId="5" borderId="19" xfId="0" applyFont="1" applyFill="1" applyBorder="1" applyAlignment="1">
      <alignment horizontal="center" vertical="center" wrapText="1" readingOrder="1"/>
    </xf>
    <xf numFmtId="0" fontId="11" fillId="5" borderId="20" xfId="0" applyFont="1" applyFill="1" applyBorder="1" applyAlignment="1">
      <alignment horizontal="center" vertical="center" wrapText="1" readingOrder="1"/>
    </xf>
    <xf numFmtId="0" fontId="12" fillId="0" borderId="19" xfId="0" applyFont="1" applyBorder="1" applyAlignment="1">
      <alignment horizontal="center" vertical="top" wrapText="1" readingOrder="1"/>
    </xf>
    <xf numFmtId="0" fontId="12" fillId="0" borderId="20" xfId="0" applyFont="1" applyBorder="1" applyAlignment="1">
      <alignment horizontal="left" vertical="top" wrapText="1" readingOrder="1"/>
    </xf>
    <xf numFmtId="0" fontId="12" fillId="0" borderId="21" xfId="0" applyFont="1" applyBorder="1" applyAlignment="1">
      <alignment horizontal="center" vertical="top" wrapText="1" readingOrder="1"/>
    </xf>
    <xf numFmtId="0" fontId="12" fillId="0" borderId="24" xfId="0" applyFont="1" applyBorder="1" applyAlignment="1">
      <alignment horizontal="left" vertical="top" wrapText="1" readingOrder="1"/>
    </xf>
    <xf numFmtId="0" fontId="6" fillId="0" borderId="7" xfId="0" applyFont="1" applyFill="1" applyBorder="1" applyAlignment="1">
      <alignment vertical="top" wrapText="1"/>
    </xf>
    <xf numFmtId="0" fontId="13" fillId="3" borderId="1" xfId="3" applyFont="1" applyFill="1" applyBorder="1"/>
    <xf numFmtId="0" fontId="13" fillId="3" borderId="1" xfId="3" applyFont="1" applyFill="1" applyBorder="1" applyAlignment="1">
      <alignment wrapText="1"/>
    </xf>
    <xf numFmtId="0" fontId="14" fillId="0" borderId="0" xfId="3" applyFont="1"/>
    <xf numFmtId="0" fontId="15" fillId="0" borderId="1" xfId="3" applyFont="1" applyBorder="1" applyAlignment="1">
      <alignment vertical="top"/>
    </xf>
    <xf numFmtId="0" fontId="14" fillId="0" borderId="1" xfId="3" applyFont="1" applyBorder="1" applyAlignment="1">
      <alignment horizontal="left" vertical="top" wrapText="1"/>
    </xf>
    <xf numFmtId="0" fontId="14" fillId="0" borderId="1" xfId="3" applyFont="1" applyBorder="1" applyAlignment="1">
      <alignment vertical="top" wrapText="1"/>
    </xf>
    <xf numFmtId="0" fontId="14" fillId="0" borderId="0" xfId="3" applyFont="1" applyAlignment="1">
      <alignment horizontal="left" vertical="top" wrapText="1"/>
    </xf>
    <xf numFmtId="0" fontId="14" fillId="0" borderId="0" xfId="3" applyFont="1" applyAlignment="1"/>
    <xf numFmtId="166" fontId="16" fillId="0" borderId="1" xfId="0" applyNumberFormat="1" applyFont="1" applyFill="1" applyBorder="1" applyAlignment="1">
      <alignment horizontal="left" vertical="top" wrapText="1" indent="4"/>
    </xf>
    <xf numFmtId="0" fontId="14" fillId="0" borderId="1" xfId="0" applyFont="1" applyFill="1" applyBorder="1" applyAlignment="1">
      <alignment horizontal="left" vertical="top" wrapText="1"/>
    </xf>
    <xf numFmtId="0" fontId="16" fillId="0" borderId="0" xfId="3" applyFont="1"/>
    <xf numFmtId="0" fontId="14" fillId="0" borderId="0" xfId="3" applyFont="1" applyAlignment="1">
      <alignment wrapText="1"/>
    </xf>
    <xf numFmtId="166" fontId="4" fillId="0" borderId="7" xfId="2" applyNumberFormat="1" applyFont="1" applyBorder="1"/>
    <xf numFmtId="0" fontId="1" fillId="2" borderId="7" xfId="1" applyFont="1" applyFill="1" applyBorder="1" applyAlignment="1">
      <alignment horizontal="center" vertical="center" wrapText="1"/>
    </xf>
    <xf numFmtId="0" fontId="0" fillId="7" borderId="1" xfId="0" applyFill="1" applyBorder="1"/>
    <xf numFmtId="0" fontId="0" fillId="0" borderId="0" xfId="0" applyFill="1"/>
    <xf numFmtId="0" fontId="0" fillId="0" borderId="0" xfId="0" applyBorder="1" applyAlignment="1">
      <alignment wrapText="1"/>
    </xf>
    <xf numFmtId="0" fontId="0" fillId="0" borderId="0" xfId="0" applyAlignment="1">
      <alignment wrapText="1"/>
    </xf>
    <xf numFmtId="0" fontId="0" fillId="7" borderId="1" xfId="0" applyFill="1" applyBorder="1" applyAlignment="1">
      <alignment wrapText="1"/>
    </xf>
    <xf numFmtId="0" fontId="0" fillId="0" borderId="0" xfId="0" applyFill="1" applyAlignment="1">
      <alignment wrapText="1"/>
    </xf>
    <xf numFmtId="0" fontId="0" fillId="0" borderId="0" xfId="0" applyFill="1" applyBorder="1" applyAlignment="1">
      <alignment wrapText="1"/>
    </xf>
    <xf numFmtId="0" fontId="0" fillId="0" borderId="1" xfId="0" applyBorder="1" applyAlignment="1">
      <alignment wrapText="1"/>
    </xf>
    <xf numFmtId="0" fontId="20" fillId="0" borderId="0" xfId="0" applyFont="1"/>
    <xf numFmtId="0" fontId="20" fillId="0" borderId="0" xfId="0" applyFont="1" applyBorder="1"/>
    <xf numFmtId="0" fontId="20" fillId="0" borderId="0" xfId="0" applyFont="1" applyFill="1" applyAlignment="1">
      <alignment wrapText="1"/>
    </xf>
    <xf numFmtId="166" fontId="3" fillId="0" borderId="7" xfId="2" applyNumberFormat="1" applyFont="1" applyFill="1" applyBorder="1"/>
    <xf numFmtId="0" fontId="14" fillId="0" borderId="4" xfId="3" applyFont="1" applyBorder="1" applyAlignment="1">
      <alignment vertical="top" wrapText="1"/>
    </xf>
    <xf numFmtId="0" fontId="14" fillId="0" borderId="5" xfId="3" applyFont="1" applyBorder="1" applyAlignment="1">
      <alignment vertical="top" wrapText="1"/>
    </xf>
    <xf numFmtId="0" fontId="0" fillId="0" borderId="0" xfId="0" applyBorder="1"/>
    <xf numFmtId="0" fontId="0" fillId="0" borderId="1" xfId="0" applyFill="1" applyBorder="1"/>
    <xf numFmtId="0" fontId="0" fillId="0" borderId="8" xfId="0" applyBorder="1"/>
    <xf numFmtId="0" fontId="0" fillId="0" borderId="9" xfId="0" applyBorder="1" applyAlignment="1">
      <alignment wrapText="1"/>
    </xf>
    <xf numFmtId="0" fontId="0" fillId="0" borderId="10" xfId="0" applyBorder="1"/>
    <xf numFmtId="0" fontId="0" fillId="0" borderId="12" xfId="0" applyBorder="1" applyAlignment="1">
      <alignment wrapText="1"/>
    </xf>
    <xf numFmtId="0" fontId="0" fillId="0" borderId="11" xfId="0" applyBorder="1"/>
    <xf numFmtId="0" fontId="0" fillId="0" borderId="25" xfId="0" applyBorder="1"/>
    <xf numFmtId="15" fontId="6" fillId="0" borderId="7" xfId="0" applyNumberFormat="1" applyFont="1" applyBorder="1" applyAlignment="1">
      <alignment vertical="top" wrapText="1"/>
    </xf>
    <xf numFmtId="0" fontId="21" fillId="0" borderId="7" xfId="0" applyFont="1" applyBorder="1" applyAlignment="1">
      <alignment vertical="top" wrapText="1"/>
    </xf>
    <xf numFmtId="15" fontId="8" fillId="0" borderId="7" xfId="0" applyNumberFormat="1" applyFont="1" applyBorder="1" applyAlignment="1">
      <alignment vertical="top" wrapText="1"/>
    </xf>
    <xf numFmtId="0" fontId="6" fillId="0" borderId="7" xfId="0" applyFont="1" applyBorder="1"/>
    <xf numFmtId="0" fontId="0" fillId="0" borderId="7" xfId="0" applyBorder="1"/>
    <xf numFmtId="0" fontId="6" fillId="0" borderId="7" xfId="0" applyFont="1" applyBorder="1" applyAlignment="1">
      <alignment horizontal="center" vertical="top" wrapText="1"/>
    </xf>
    <xf numFmtId="15" fontId="6" fillId="0" borderId="7" xfId="0" applyNumberFormat="1" applyFont="1" applyBorder="1" applyAlignment="1">
      <alignment horizontal="center" vertical="top" wrapText="1"/>
    </xf>
    <xf numFmtId="0" fontId="3" fillId="0" borderId="7" xfId="0" applyFont="1" applyBorder="1" applyAlignment="1">
      <alignment vertical="top" wrapText="1"/>
    </xf>
    <xf numFmtId="165" fontId="21" fillId="0" borderId="7" xfId="0" applyNumberFormat="1" applyFont="1" applyBorder="1" applyAlignment="1">
      <alignment horizontal="left" vertical="top" wrapText="1"/>
    </xf>
    <xf numFmtId="165" fontId="21" fillId="0" borderId="7" xfId="0" applyNumberFormat="1" applyFont="1" applyBorder="1" applyAlignment="1">
      <alignment horizontal="right" vertical="top" wrapText="1"/>
    </xf>
    <xf numFmtId="0" fontId="21" fillId="7" borderId="7" xfId="0" applyFont="1" applyFill="1" applyBorder="1" applyAlignment="1">
      <alignment vertical="top" wrapText="1"/>
    </xf>
    <xf numFmtId="164" fontId="21" fillId="0" borderId="7" xfId="0" applyNumberFormat="1" applyFont="1" applyFill="1" applyBorder="1" applyAlignment="1">
      <alignment horizontal="right" vertical="top" wrapText="1"/>
    </xf>
    <xf numFmtId="15" fontId="21" fillId="0" borderId="7" xfId="0" applyNumberFormat="1" applyFont="1" applyBorder="1" applyAlignment="1">
      <alignment vertical="top" wrapText="1"/>
    </xf>
    <xf numFmtId="0" fontId="21" fillId="0" borderId="7" xfId="0" applyFont="1" applyBorder="1" applyAlignment="1">
      <alignment horizontal="left" vertical="top" wrapText="1"/>
    </xf>
    <xf numFmtId="165" fontId="3" fillId="0" borderId="7" xfId="0" applyNumberFormat="1" applyFont="1" applyBorder="1" applyAlignment="1">
      <alignment horizontal="right" vertical="top" wrapText="1"/>
    </xf>
    <xf numFmtId="0" fontId="21" fillId="0" borderId="7" xfId="0" applyFont="1" applyBorder="1" applyAlignment="1">
      <alignment vertical="top"/>
    </xf>
    <xf numFmtId="0" fontId="21" fillId="0" borderId="7" xfId="0" applyFont="1" applyFill="1" applyBorder="1" applyAlignment="1">
      <alignment vertical="top" wrapText="1"/>
    </xf>
    <xf numFmtId="164" fontId="21" fillId="0" borderId="7" xfId="0" applyNumberFormat="1" applyFont="1" applyBorder="1" applyAlignment="1">
      <alignment horizontal="right" vertical="top" wrapText="1"/>
    </xf>
    <xf numFmtId="165" fontId="21" fillId="0" borderId="7" xfId="0" applyNumberFormat="1" applyFont="1" applyBorder="1" applyAlignment="1">
      <alignment vertical="top" wrapText="1"/>
    </xf>
    <xf numFmtId="165" fontId="0" fillId="0" borderId="7" xfId="0" applyNumberFormat="1" applyBorder="1" applyAlignment="1">
      <alignment horizontal="left" vertical="top" wrapText="1"/>
    </xf>
    <xf numFmtId="16" fontId="21" fillId="0" borderId="7" xfId="0" applyNumberFormat="1" applyFont="1" applyBorder="1" applyAlignment="1">
      <alignment vertical="top" wrapText="1"/>
    </xf>
    <xf numFmtId="0" fontId="6" fillId="0" borderId="7" xfId="0" applyFont="1" applyFill="1" applyBorder="1" applyAlignment="1">
      <alignment horizontal="center" vertical="top" wrapText="1"/>
    </xf>
    <xf numFmtId="0" fontId="0" fillId="0" borderId="7" xfId="0" applyFill="1" applyBorder="1"/>
    <xf numFmtId="165" fontId="21" fillId="0" borderId="7" xfId="0" applyNumberFormat="1" applyFont="1" applyFill="1" applyBorder="1" applyAlignment="1">
      <alignment horizontal="right" vertical="top" wrapText="1"/>
    </xf>
    <xf numFmtId="0" fontId="21" fillId="0" borderId="7" xfId="0" applyFont="1" applyFill="1" applyBorder="1" applyAlignment="1">
      <alignment vertical="top"/>
    </xf>
    <xf numFmtId="15" fontId="21" fillId="0" borderId="7" xfId="0" applyNumberFormat="1" applyFont="1" applyFill="1" applyBorder="1" applyAlignment="1">
      <alignment vertical="top"/>
    </xf>
    <xf numFmtId="165" fontId="21" fillId="0" borderId="7" xfId="0" applyNumberFormat="1" applyFont="1" applyBorder="1" applyAlignment="1">
      <alignment horizontal="right" vertical="top"/>
    </xf>
    <xf numFmtId="15" fontId="21" fillId="0" borderId="7" xfId="0" applyNumberFormat="1" applyFont="1" applyBorder="1" applyAlignment="1">
      <alignment horizontal="left" vertical="top"/>
    </xf>
    <xf numFmtId="0" fontId="21" fillId="0" borderId="7" xfId="1" applyFont="1" applyFill="1" applyBorder="1" applyAlignment="1">
      <alignment vertical="top" wrapText="1"/>
    </xf>
    <xf numFmtId="164" fontId="21" fillId="0" borderId="7" xfId="0" applyNumberFormat="1" applyFont="1" applyBorder="1" applyAlignment="1">
      <alignment horizontal="right" vertical="top"/>
    </xf>
    <xf numFmtId="14" fontId="21" fillId="0" borderId="7" xfId="0" applyNumberFormat="1" applyFont="1" applyFill="1" applyBorder="1" applyAlignment="1">
      <alignment vertical="top"/>
    </xf>
    <xf numFmtId="14" fontId="21" fillId="0" borderId="7" xfId="0" applyNumberFormat="1" applyFont="1" applyBorder="1" applyAlignment="1">
      <alignment vertical="top"/>
    </xf>
    <xf numFmtId="165" fontId="21" fillId="0" borderId="7" xfId="0" applyNumberFormat="1" applyFont="1" applyFill="1" applyBorder="1" applyAlignment="1">
      <alignment horizontal="left" vertical="top" wrapText="1"/>
    </xf>
    <xf numFmtId="0" fontId="25" fillId="0" borderId="7" xfId="0" applyFont="1" applyBorder="1" applyAlignment="1">
      <alignment vertical="top" wrapText="1"/>
    </xf>
    <xf numFmtId="0" fontId="21" fillId="0" borderId="7" xfId="0" applyNumberFormat="1" applyFont="1" applyBorder="1" applyAlignment="1">
      <alignment vertical="top" wrapText="1"/>
    </xf>
    <xf numFmtId="0" fontId="3" fillId="0" borderId="7" xfId="2" applyFont="1" applyBorder="1" applyAlignment="1">
      <alignment horizontal="center"/>
    </xf>
    <xf numFmtId="166" fontId="8" fillId="0" borderId="7" xfId="2" applyNumberFormat="1" applyFont="1" applyFill="1" applyBorder="1"/>
    <xf numFmtId="0" fontId="8" fillId="0" borderId="7" xfId="2" applyFont="1" applyFill="1" applyBorder="1"/>
    <xf numFmtId="166" fontId="3" fillId="0" borderId="7" xfId="2" applyNumberFormat="1" applyFont="1" applyBorder="1"/>
    <xf numFmtId="165" fontId="21" fillId="8" borderId="7" xfId="0" applyNumberFormat="1" applyFont="1" applyFill="1" applyBorder="1" applyAlignment="1">
      <alignment horizontal="right" vertical="top" wrapText="1"/>
    </xf>
    <xf numFmtId="0" fontId="21" fillId="8" borderId="7" xfId="0" applyFont="1" applyFill="1" applyBorder="1" applyAlignment="1">
      <alignment vertical="top" wrapText="1"/>
    </xf>
    <xf numFmtId="0" fontId="21" fillId="8" borderId="7" xfId="0" applyFont="1" applyFill="1" applyBorder="1" applyAlignment="1">
      <alignment horizontal="left" vertical="top" wrapText="1"/>
    </xf>
    <xf numFmtId="0" fontId="4" fillId="0" borderId="7" xfId="2" applyFont="1" applyBorder="1"/>
    <xf numFmtId="0" fontId="5" fillId="0" borderId="7" xfId="2" applyFont="1" applyBorder="1"/>
    <xf numFmtId="165" fontId="21" fillId="8" borderId="7" xfId="0" applyNumberFormat="1" applyFont="1" applyFill="1" applyBorder="1" applyAlignment="1">
      <alignment horizontal="left" vertical="top" wrapText="1"/>
    </xf>
    <xf numFmtId="165" fontId="21" fillId="7" borderId="7" xfId="0" applyNumberFormat="1" applyFont="1" applyFill="1" applyBorder="1" applyAlignment="1">
      <alignment horizontal="right" vertical="top" wrapText="1"/>
    </xf>
    <xf numFmtId="0" fontId="21" fillId="7" borderId="7" xfId="0" applyFont="1" applyFill="1" applyBorder="1" applyAlignment="1">
      <alignment horizontal="left" vertical="top" wrapText="1"/>
    </xf>
    <xf numFmtId="165" fontId="21" fillId="7" borderId="7" xfId="0" applyNumberFormat="1" applyFont="1" applyFill="1" applyBorder="1" applyAlignment="1">
      <alignment horizontal="left" vertical="top" wrapText="1"/>
    </xf>
    <xf numFmtId="0" fontId="21" fillId="0" borderId="7" xfId="0" applyFont="1" applyFill="1" applyBorder="1" applyAlignment="1">
      <alignment horizontal="left" vertical="top" wrapText="1"/>
    </xf>
    <xf numFmtId="164" fontId="21" fillId="0" borderId="7" xfId="0" applyNumberFormat="1" applyFont="1" applyFill="1" applyBorder="1" applyAlignment="1">
      <alignment horizontal="right" vertical="top"/>
    </xf>
    <xf numFmtId="165" fontId="3" fillId="0" borderId="7" xfId="0" applyNumberFormat="1" applyFont="1" applyFill="1" applyBorder="1" applyAlignment="1">
      <alignment horizontal="right" vertical="top" wrapText="1"/>
    </xf>
    <xf numFmtId="164" fontId="3" fillId="0" borderId="7" xfId="0" applyNumberFormat="1" applyFont="1" applyFill="1" applyBorder="1" applyAlignment="1">
      <alignment horizontal="right" vertical="top" wrapText="1"/>
    </xf>
    <xf numFmtId="164" fontId="21" fillId="7" borderId="7" xfId="0" applyNumberFormat="1" applyFont="1" applyFill="1" applyBorder="1" applyAlignment="1">
      <alignment horizontal="right" vertical="top" wrapText="1"/>
    </xf>
    <xf numFmtId="165" fontId="21" fillId="0" borderId="7" xfId="0" applyNumberFormat="1" applyFont="1" applyFill="1" applyBorder="1" applyAlignment="1">
      <alignment horizontal="right"/>
    </xf>
    <xf numFmtId="0" fontId="21" fillId="0" borderId="7" xfId="0" applyFont="1" applyFill="1" applyBorder="1" applyAlignment="1">
      <alignment wrapText="1"/>
    </xf>
    <xf numFmtId="165" fontId="3" fillId="0" borderId="7" xfId="0" applyNumberFormat="1" applyFont="1" applyFill="1" applyBorder="1" applyAlignment="1">
      <alignment horizontal="right" vertical="top"/>
    </xf>
    <xf numFmtId="16" fontId="21" fillId="0" borderId="7" xfId="0" applyNumberFormat="1" applyFont="1" applyFill="1" applyBorder="1" applyAlignment="1">
      <alignment vertical="top"/>
    </xf>
    <xf numFmtId="164" fontId="3" fillId="0" borderId="7" xfId="0" applyNumberFormat="1" applyFont="1" applyFill="1" applyBorder="1" applyAlignment="1">
      <alignment horizontal="right" vertical="top"/>
    </xf>
    <xf numFmtId="0" fontId="21" fillId="0" borderId="7" xfId="0" applyFont="1" applyBorder="1" applyAlignment="1">
      <alignment wrapText="1"/>
    </xf>
    <xf numFmtId="165" fontId="21" fillId="0" borderId="7" xfId="4" applyNumberFormat="1" applyFont="1" applyFill="1" applyBorder="1" applyAlignment="1">
      <alignment horizontal="right" vertical="top" wrapText="1"/>
    </xf>
    <xf numFmtId="0" fontId="21" fillId="0" borderId="7" xfId="4" applyFont="1" applyFill="1" applyBorder="1" applyAlignment="1">
      <alignment vertical="top" wrapText="1"/>
    </xf>
    <xf numFmtId="165" fontId="3" fillId="0" borderId="7" xfId="4" applyNumberFormat="1" applyFont="1" applyFill="1" applyBorder="1" applyAlignment="1">
      <alignment horizontal="right" vertical="top" wrapText="1"/>
    </xf>
    <xf numFmtId="0" fontId="21" fillId="7" borderId="7" xfId="0" applyFont="1" applyFill="1" applyBorder="1" applyAlignment="1">
      <alignment vertical="top"/>
    </xf>
    <xf numFmtId="165" fontId="21" fillId="7" borderId="7" xfId="0" applyNumberFormat="1" applyFont="1" applyFill="1" applyBorder="1" applyAlignment="1">
      <alignment horizontal="right" vertical="top"/>
    </xf>
    <xf numFmtId="164" fontId="21" fillId="7" borderId="7" xfId="0" applyNumberFormat="1" applyFont="1" applyFill="1" applyBorder="1" applyAlignment="1">
      <alignment horizontal="right" vertical="top"/>
    </xf>
    <xf numFmtId="15" fontId="21" fillId="7" borderId="7" xfId="0" applyNumberFormat="1" applyFont="1" applyFill="1" applyBorder="1" applyAlignment="1">
      <alignment vertical="top"/>
    </xf>
    <xf numFmtId="0" fontId="30" fillId="0" borderId="7" xfId="0" applyFont="1" applyBorder="1" applyAlignment="1">
      <alignment horizontal="center" vertical="top" wrapText="1"/>
    </xf>
    <xf numFmtId="0" fontId="29" fillId="0" borderId="7" xfId="4" applyFont="1" applyBorder="1" applyAlignment="1">
      <alignment vertical="top" wrapText="1"/>
    </xf>
    <xf numFmtId="165" fontId="29" fillId="0" borderId="7" xfId="4" applyNumberFormat="1" applyFont="1" applyBorder="1" applyAlignment="1">
      <alignment horizontal="left" vertical="top" wrapText="1"/>
    </xf>
    <xf numFmtId="0" fontId="29" fillId="0" borderId="7" xfId="4" applyFont="1" applyFill="1" applyBorder="1" applyAlignment="1">
      <alignment vertical="top" wrapText="1"/>
    </xf>
    <xf numFmtId="0" fontId="29" fillId="0" borderId="7" xfId="0" applyFont="1" applyBorder="1"/>
    <xf numFmtId="0" fontId="29" fillId="0" borderId="7" xfId="4" applyFont="1" applyBorder="1" applyAlignment="1">
      <alignment wrapText="1"/>
    </xf>
    <xf numFmtId="166" fontId="8" fillId="0" borderId="7" xfId="2" applyNumberFormat="1" applyFont="1" applyFill="1" applyBorder="1" applyAlignment="1">
      <alignment wrapText="1"/>
    </xf>
    <xf numFmtId="15" fontId="21" fillId="0" borderId="7" xfId="0" applyNumberFormat="1" applyFont="1" applyBorder="1" applyAlignment="1">
      <alignment vertical="top"/>
    </xf>
    <xf numFmtId="0" fontId="6" fillId="0" borderId="7" xfId="0" applyNumberFormat="1" applyFont="1" applyBorder="1" applyAlignment="1">
      <alignment vertical="top" wrapText="1"/>
    </xf>
    <xf numFmtId="0" fontId="8" fillId="0" borderId="7" xfId="2" applyFont="1" applyFill="1" applyBorder="1" applyAlignment="1">
      <alignment horizontal="center"/>
    </xf>
    <xf numFmtId="166" fontId="4" fillId="0" borderId="7" xfId="2" applyNumberFormat="1" applyFont="1" applyFill="1" applyBorder="1"/>
    <xf numFmtId="164" fontId="8" fillId="0" borderId="7" xfId="2" applyNumberFormat="1" applyFont="1" applyFill="1" applyBorder="1"/>
    <xf numFmtId="164" fontId="8" fillId="0" borderId="7" xfId="2" applyNumberFormat="1" applyFont="1" applyFill="1" applyBorder="1" applyAlignment="1">
      <alignment horizontal="center"/>
    </xf>
    <xf numFmtId="15" fontId="0" fillId="0" borderId="1" xfId="0" applyNumberFormat="1" applyBorder="1"/>
    <xf numFmtId="15" fontId="0" fillId="0" borderId="10" xfId="0" applyNumberFormat="1" applyBorder="1"/>
    <xf numFmtId="0" fontId="0" fillId="0" borderId="0" xfId="0" applyFill="1" applyBorder="1"/>
    <xf numFmtId="0" fontId="0" fillId="7" borderId="12" xfId="0" applyFill="1" applyBorder="1" applyAlignment="1">
      <alignment wrapText="1"/>
    </xf>
    <xf numFmtId="0" fontId="0" fillId="7" borderId="11" xfId="0" applyFill="1" applyBorder="1"/>
    <xf numFmtId="0" fontId="0" fillId="0" borderId="1" xfId="0" applyFill="1" applyBorder="1" applyAlignment="1">
      <alignment wrapText="1"/>
    </xf>
    <xf numFmtId="0" fontId="8" fillId="0" borderId="7" xfId="2" applyFont="1" applyFill="1" applyBorder="1" applyAlignment="1">
      <alignment vertical="top"/>
    </xf>
    <xf numFmtId="166" fontId="8" fillId="0" borderId="7" xfId="2" applyNumberFormat="1" applyFont="1" applyFill="1" applyBorder="1" applyAlignment="1">
      <alignment vertical="top"/>
    </xf>
    <xf numFmtId="164" fontId="6" fillId="0" borderId="7" xfId="0" applyNumberFormat="1" applyFont="1" applyFill="1" applyBorder="1" applyAlignment="1">
      <alignment horizontal="right" vertical="top"/>
    </xf>
    <xf numFmtId="0" fontId="6" fillId="0" borderId="7" xfId="0" applyFont="1" applyFill="1" applyBorder="1" applyAlignment="1">
      <alignment vertical="top"/>
    </xf>
    <xf numFmtId="164" fontId="8" fillId="0" borderId="7" xfId="0" applyNumberFormat="1" applyFont="1" applyFill="1" applyBorder="1" applyAlignment="1">
      <alignment horizontal="right" vertical="top"/>
    </xf>
    <xf numFmtId="164" fontId="6" fillId="0" borderId="7" xfId="4" applyNumberFormat="1" applyFont="1" applyFill="1" applyBorder="1" applyAlignment="1">
      <alignment horizontal="right" vertical="top" wrapText="1"/>
    </xf>
    <xf numFmtId="0" fontId="6" fillId="0" borderId="7" xfId="4" applyFont="1" applyFill="1" applyBorder="1" applyAlignment="1">
      <alignment vertical="top" wrapText="1"/>
    </xf>
    <xf numFmtId="164" fontId="6" fillId="0" borderId="7" xfId="0" applyNumberFormat="1" applyFont="1" applyFill="1" applyBorder="1" applyAlignment="1">
      <alignment horizontal="right" vertical="top" wrapText="1"/>
    </xf>
    <xf numFmtId="164" fontId="8" fillId="0" borderId="7" xfId="4" applyNumberFormat="1" applyFont="1" applyFill="1" applyBorder="1" applyAlignment="1">
      <alignment horizontal="right" vertical="top" wrapText="1"/>
    </xf>
    <xf numFmtId="0" fontId="6" fillId="0" borderId="7" xfId="4" applyFont="1" applyFill="1" applyBorder="1" applyAlignment="1">
      <alignment horizontal="left" vertical="top" wrapText="1"/>
    </xf>
    <xf numFmtId="165" fontId="6" fillId="0" borderId="7" xfId="0" applyNumberFormat="1" applyFont="1" applyFill="1" applyBorder="1" applyAlignment="1">
      <alignment horizontal="left" vertical="top" wrapText="1"/>
    </xf>
    <xf numFmtId="0" fontId="8" fillId="0" borderId="7" xfId="0" applyFont="1" applyFill="1" applyBorder="1" applyAlignment="1">
      <alignment vertical="top" wrapText="1"/>
    </xf>
    <xf numFmtId="0" fontId="6" fillId="0" borderId="7" xfId="0" applyFont="1" applyFill="1" applyBorder="1" applyAlignment="1">
      <alignment horizontal="left" vertical="top" wrapText="1"/>
    </xf>
    <xf numFmtId="164" fontId="8" fillId="0" borderId="7" xfId="0" applyNumberFormat="1" applyFont="1" applyFill="1" applyBorder="1" applyAlignment="1">
      <alignment horizontal="right" vertical="top" wrapText="1"/>
    </xf>
    <xf numFmtId="0" fontId="6" fillId="0" borderId="7" xfId="4" applyFont="1" applyFill="1" applyBorder="1" applyAlignment="1">
      <alignment wrapText="1"/>
    </xf>
    <xf numFmtId="0" fontId="6" fillId="0" borderId="7" xfId="0" applyFont="1" applyFill="1" applyBorder="1" applyAlignment="1">
      <alignment horizontal="left" vertical="top"/>
    </xf>
    <xf numFmtId="0" fontId="1" fillId="0" borderId="7" xfId="2" applyFont="1" applyFill="1" applyBorder="1" applyAlignment="1">
      <alignment horizontal="center" vertical="top" wrapText="1"/>
    </xf>
    <xf numFmtId="15" fontId="6" fillId="0" borderId="7" xfId="0" applyNumberFormat="1" applyFont="1" applyFill="1" applyBorder="1" applyAlignment="1">
      <alignment vertical="top"/>
    </xf>
    <xf numFmtId="0" fontId="8" fillId="0" borderId="7" xfId="2" applyFont="1" applyFill="1" applyBorder="1" applyAlignment="1">
      <alignment horizontal="left"/>
    </xf>
    <xf numFmtId="16" fontId="0" fillId="6" borderId="1" xfId="0" applyNumberFormat="1" applyFill="1" applyBorder="1"/>
    <xf numFmtId="0" fontId="20" fillId="0" borderId="0" xfId="0" applyFont="1" applyAlignment="1">
      <alignment horizontal="right"/>
    </xf>
    <xf numFmtId="164" fontId="7" fillId="2" borderId="7" xfId="1" applyNumberFormat="1" applyFont="1" applyFill="1" applyBorder="1" applyAlignment="1">
      <alignment horizontal="center" vertical="center" wrapText="1"/>
    </xf>
    <xf numFmtId="164" fontId="6" fillId="0" borderId="7" xfId="0" applyNumberFormat="1" applyFont="1" applyBorder="1" applyAlignment="1">
      <alignment vertical="top" wrapText="1"/>
    </xf>
    <xf numFmtId="164" fontId="6" fillId="0" borderId="7" xfId="0" applyNumberFormat="1" applyFont="1" applyBorder="1"/>
    <xf numFmtId="164" fontId="20" fillId="0" borderId="0" xfId="0" applyNumberFormat="1" applyFont="1"/>
    <xf numFmtId="14" fontId="8" fillId="0" borderId="7" xfId="2" applyNumberFormat="1" applyFont="1" applyFill="1" applyBorder="1" applyAlignment="1">
      <alignment vertical="top"/>
    </xf>
    <xf numFmtId="49" fontId="8" fillId="0" borderId="7" xfId="2" applyNumberFormat="1" applyFont="1" applyFill="1" applyBorder="1" applyAlignment="1">
      <alignment vertical="top"/>
    </xf>
    <xf numFmtId="49" fontId="8" fillId="0" borderId="7" xfId="2" applyNumberFormat="1" applyFont="1" applyBorder="1"/>
    <xf numFmtId="164" fontId="1" fillId="2" borderId="1" xfId="2" applyNumberFormat="1" applyFont="1" applyFill="1" applyBorder="1" applyAlignment="1">
      <alignment horizontal="center" vertical="top" wrapText="1"/>
    </xf>
    <xf numFmtId="0" fontId="1" fillId="2" borderId="5" xfId="2" applyFont="1" applyFill="1" applyBorder="1" applyAlignment="1">
      <alignment horizontal="center" vertical="top" wrapText="1"/>
    </xf>
    <xf numFmtId="166" fontId="1" fillId="2" borderId="5" xfId="2" applyNumberFormat="1" applyFont="1" applyFill="1" applyBorder="1" applyAlignment="1">
      <alignment horizontal="center" vertical="top" wrapText="1"/>
    </xf>
    <xf numFmtId="166" fontId="1" fillId="2" borderId="1" xfId="2" applyNumberFormat="1" applyFont="1" applyFill="1" applyBorder="1" applyAlignment="1">
      <alignment horizontal="center" vertical="top" wrapText="1"/>
    </xf>
    <xf numFmtId="164" fontId="1" fillId="2" borderId="5" xfId="2" applyNumberFormat="1" applyFont="1" applyFill="1" applyBorder="1" applyAlignment="1">
      <alignment horizontal="center" vertical="top" wrapText="1"/>
    </xf>
    <xf numFmtId="166" fontId="8" fillId="2" borderId="1" xfId="2" applyNumberFormat="1" applyFont="1" applyFill="1" applyBorder="1" applyAlignment="1">
      <alignment horizontal="center" vertical="top" wrapText="1"/>
    </xf>
    <xf numFmtId="0" fontId="8" fillId="0" borderId="7" xfId="2" applyFont="1" applyFill="1" applyBorder="1" applyAlignment="1">
      <alignment horizontal="center" vertical="top"/>
    </xf>
    <xf numFmtId="0" fontId="8" fillId="0" borderId="7" xfId="2" applyFont="1" applyBorder="1" applyAlignment="1">
      <alignment vertical="top"/>
    </xf>
    <xf numFmtId="49" fontId="8" fillId="0" borderId="7" xfId="2" applyNumberFormat="1" applyFont="1" applyBorder="1" applyAlignment="1">
      <alignment vertical="top"/>
    </xf>
    <xf numFmtId="0" fontId="8" fillId="0" borderId="7" xfId="2" applyFont="1" applyBorder="1" applyAlignment="1">
      <alignment horizontal="center" vertical="top"/>
    </xf>
    <xf numFmtId="164" fontId="8" fillId="0" borderId="7" xfId="2" applyNumberFormat="1" applyFont="1" applyFill="1" applyBorder="1" applyAlignment="1">
      <alignment horizontal="center" vertical="top"/>
    </xf>
    <xf numFmtId="164" fontId="8" fillId="0" borderId="7" xfId="2" applyNumberFormat="1" applyFont="1" applyFill="1" applyBorder="1" applyAlignment="1">
      <alignment vertical="top"/>
    </xf>
    <xf numFmtId="164" fontId="3" fillId="0" borderId="7" xfId="2" applyNumberFormat="1" applyFont="1" applyBorder="1" applyAlignment="1">
      <alignment vertical="top"/>
    </xf>
    <xf numFmtId="166" fontId="8" fillId="0" borderId="7" xfId="2" applyNumberFormat="1" applyFont="1" applyFill="1" applyBorder="1" applyAlignment="1">
      <alignment vertical="top" wrapText="1"/>
    </xf>
    <xf numFmtId="166" fontId="3" fillId="0" borderId="7" xfId="2" applyNumberFormat="1" applyFont="1" applyFill="1" applyBorder="1" applyAlignment="1">
      <alignment vertical="top"/>
    </xf>
    <xf numFmtId="166" fontId="4" fillId="0" borderId="7" xfId="2" applyNumberFormat="1" applyFont="1" applyBorder="1" applyAlignment="1">
      <alignment vertical="top"/>
    </xf>
    <xf numFmtId="166" fontId="8" fillId="0" borderId="7" xfId="2" applyNumberFormat="1" applyFont="1" applyBorder="1" applyAlignment="1">
      <alignment vertical="top"/>
    </xf>
    <xf numFmtId="0" fontId="4" fillId="0" borderId="7" xfId="2" applyFont="1" applyBorder="1" applyAlignment="1">
      <alignment vertical="top"/>
    </xf>
    <xf numFmtId="0" fontId="5" fillId="0" borderId="7" xfId="2" applyFont="1" applyBorder="1" applyAlignment="1">
      <alignment vertical="top"/>
    </xf>
    <xf numFmtId="164" fontId="8" fillId="0" borderId="7" xfId="2" applyNumberFormat="1" applyFont="1" applyBorder="1" applyAlignment="1">
      <alignment vertical="top"/>
    </xf>
    <xf numFmtId="0" fontId="6" fillId="0" borderId="7" xfId="0" applyFont="1" applyBorder="1" applyAlignment="1">
      <alignment vertical="top"/>
    </xf>
    <xf numFmtId="0" fontId="8" fillId="0" borderId="7" xfId="2" applyFont="1" applyBorder="1" applyAlignment="1">
      <alignment vertical="top" wrapText="1"/>
    </xf>
    <xf numFmtId="0" fontId="8" fillId="0" borderId="7" xfId="2" applyNumberFormat="1" applyFont="1" applyFill="1" applyBorder="1" applyAlignment="1">
      <alignment vertical="top" wrapText="1"/>
    </xf>
    <xf numFmtId="166" fontId="3" fillId="0" borderId="7" xfId="2" applyNumberFormat="1" applyFont="1" applyBorder="1" applyAlignment="1">
      <alignment vertical="top" wrapText="1"/>
    </xf>
    <xf numFmtId="15" fontId="0" fillId="6" borderId="5" xfId="0" applyNumberFormat="1" applyFill="1" applyBorder="1"/>
    <xf numFmtId="15" fontId="0" fillId="6" borderId="1" xfId="0" applyNumberFormat="1" applyFill="1" applyBorder="1"/>
    <xf numFmtId="15" fontId="29" fillId="0" borderId="7" xfId="4" applyNumberFormat="1" applyFont="1" applyBorder="1" applyAlignment="1">
      <alignment vertical="top" wrapText="1"/>
    </xf>
    <xf numFmtId="0" fontId="8" fillId="0" borderId="7" xfId="2" applyFont="1" applyFill="1" applyBorder="1" applyAlignment="1">
      <alignment vertical="top" wrapText="1"/>
    </xf>
    <xf numFmtId="166" fontId="8" fillId="0" borderId="7" xfId="2" applyNumberFormat="1" applyFont="1" applyBorder="1" applyAlignment="1">
      <alignment vertical="top" wrapText="1"/>
    </xf>
    <xf numFmtId="16" fontId="6" fillId="0" borderId="7" xfId="0" applyNumberFormat="1" applyFont="1" applyBorder="1" applyAlignment="1">
      <alignment vertical="top" wrapText="1"/>
    </xf>
    <xf numFmtId="0" fontId="3" fillId="0" borderId="7" xfId="2" applyFont="1" applyBorder="1" applyAlignment="1">
      <alignment horizontal="center" vertical="top"/>
    </xf>
    <xf numFmtId="0" fontId="32" fillId="0" borderId="7" xfId="0" applyFont="1" applyBorder="1" applyAlignment="1">
      <alignment vertical="top" wrapText="1"/>
    </xf>
    <xf numFmtId="166" fontId="8" fillId="0" borderId="7" xfId="2" applyNumberFormat="1" applyFont="1" applyFill="1" applyBorder="1" applyAlignment="1">
      <alignment horizontal="center" vertical="top"/>
    </xf>
    <xf numFmtId="15" fontId="8" fillId="0" borderId="7" xfId="2" applyNumberFormat="1" applyFont="1" applyFill="1" applyBorder="1" applyAlignment="1">
      <alignment vertical="top"/>
    </xf>
    <xf numFmtId="0" fontId="8" fillId="0" borderId="5" xfId="2" applyFont="1" applyBorder="1" applyAlignment="1">
      <alignment horizontal="center" vertical="top"/>
    </xf>
    <xf numFmtId="164" fontId="8" fillId="0" borderId="5" xfId="2" applyNumberFormat="1" applyFont="1" applyBorder="1" applyAlignment="1">
      <alignment vertical="top"/>
    </xf>
    <xf numFmtId="0" fontId="8" fillId="0" borderId="5" xfId="2" applyFont="1" applyBorder="1" applyAlignment="1">
      <alignment vertical="top"/>
    </xf>
    <xf numFmtId="166" fontId="8" fillId="0" borderId="5" xfId="2" applyNumberFormat="1" applyFont="1" applyBorder="1" applyAlignment="1">
      <alignment vertical="top"/>
    </xf>
    <xf numFmtId="166" fontId="8" fillId="0" borderId="5" xfId="2" applyNumberFormat="1" applyFont="1" applyBorder="1" applyAlignment="1">
      <alignment vertical="top" wrapText="1"/>
    </xf>
    <xf numFmtId="166" fontId="4" fillId="0" borderId="5" xfId="2" applyNumberFormat="1" applyFont="1" applyBorder="1" applyAlignment="1">
      <alignment vertical="top"/>
    </xf>
    <xf numFmtId="0" fontId="33" fillId="0" borderId="11" xfId="0" applyFont="1" applyBorder="1"/>
    <xf numFmtId="0" fontId="33" fillId="0" borderId="1" xfId="0" applyFont="1" applyBorder="1"/>
    <xf numFmtId="15" fontId="33" fillId="0" borderId="1" xfId="0" applyNumberFormat="1" applyFont="1" applyBorder="1"/>
    <xf numFmtId="0" fontId="33" fillId="0" borderId="0" xfId="0" applyFont="1"/>
    <xf numFmtId="0" fontId="33" fillId="0" borderId="1" xfId="0" applyFont="1" applyBorder="1" applyAlignment="1">
      <alignment wrapText="1"/>
    </xf>
    <xf numFmtId="15" fontId="33" fillId="0" borderId="10" xfId="0" applyNumberFormat="1" applyFont="1" applyBorder="1"/>
    <xf numFmtId="0" fontId="8" fillId="0" borderId="6" xfId="2" applyFont="1" applyBorder="1" applyAlignment="1">
      <alignment horizontal="center"/>
    </xf>
    <xf numFmtId="15" fontId="21" fillId="7" borderId="7" xfId="0" applyNumberFormat="1" applyFont="1" applyFill="1" applyBorder="1" applyAlignment="1">
      <alignment vertical="top" wrapText="1"/>
    </xf>
    <xf numFmtId="0" fontId="6" fillId="0" borderId="6" xfId="0" applyFont="1" applyBorder="1" applyAlignment="1">
      <alignment horizontal="center" vertical="top" wrapText="1"/>
    </xf>
    <xf numFmtId="0" fontId="6" fillId="0" borderId="26" xfId="0" applyFont="1" applyBorder="1" applyAlignment="1">
      <alignment vertical="top" wrapText="1"/>
    </xf>
    <xf numFmtId="14" fontId="6" fillId="0" borderId="7" xfId="0" applyNumberFormat="1" applyFont="1" applyBorder="1" applyAlignment="1">
      <alignment vertical="top" wrapText="1"/>
    </xf>
    <xf numFmtId="0" fontId="0" fillId="0" borderId="7" xfId="0" applyFont="1" applyBorder="1" applyAlignment="1">
      <alignment horizontal="center" vertical="top" wrapText="1"/>
    </xf>
    <xf numFmtId="0" fontId="0" fillId="0" borderId="7" xfId="0" applyFont="1" applyBorder="1" applyAlignment="1">
      <alignment vertical="top" wrapText="1"/>
    </xf>
    <xf numFmtId="165" fontId="0" fillId="0" borderId="7" xfId="0" applyNumberFormat="1" applyFont="1" applyBorder="1" applyAlignment="1">
      <alignment horizontal="left" vertical="top" wrapText="1"/>
    </xf>
    <xf numFmtId="0" fontId="0" fillId="0" borderId="7" xfId="0" applyFont="1" applyBorder="1"/>
    <xf numFmtId="0" fontId="33" fillId="0" borderId="7" xfId="0" applyFont="1" applyBorder="1" applyAlignment="1">
      <alignment horizontal="center" vertical="top" wrapText="1"/>
    </xf>
    <xf numFmtId="0" fontId="0" fillId="0" borderId="7" xfId="4" applyFont="1" applyBorder="1" applyAlignment="1">
      <alignment vertical="top" wrapText="1"/>
    </xf>
    <xf numFmtId="165" fontId="0" fillId="0" borderId="7" xfId="4" applyNumberFormat="1" applyFont="1" applyBorder="1" applyAlignment="1">
      <alignment horizontal="left" vertical="top" wrapText="1"/>
    </xf>
    <xf numFmtId="0" fontId="0" fillId="0" borderId="7" xfId="4" applyFont="1" applyFill="1" applyBorder="1" applyAlignment="1">
      <alignment vertical="top" wrapText="1"/>
    </xf>
    <xf numFmtId="0" fontId="0" fillId="0" borderId="7" xfId="0" applyFont="1" applyBorder="1" applyAlignment="1">
      <alignment horizontal="left" vertical="top" wrapText="1"/>
    </xf>
    <xf numFmtId="0" fontId="0" fillId="0" borderId="7" xfId="4" applyFont="1" applyBorder="1" applyAlignment="1">
      <alignment horizontal="left" vertical="top" wrapText="1"/>
    </xf>
    <xf numFmtId="0" fontId="0" fillId="0" borderId="7" xfId="0" applyBorder="1" applyAlignment="1">
      <alignment wrapText="1"/>
    </xf>
    <xf numFmtId="164" fontId="0" fillId="0" borderId="7" xfId="0" applyNumberFormat="1" applyFont="1" applyBorder="1" applyAlignment="1">
      <alignment vertical="top" wrapText="1"/>
    </xf>
    <xf numFmtId="164" fontId="0" fillId="0" borderId="7" xfId="4" applyNumberFormat="1" applyFont="1" applyBorder="1" applyAlignment="1">
      <alignment horizontal="left" vertical="top" wrapText="1"/>
    </xf>
    <xf numFmtId="0" fontId="35" fillId="9" borderId="25" xfId="0" applyFont="1" applyFill="1" applyBorder="1" applyAlignment="1">
      <alignment horizontal="center"/>
    </xf>
    <xf numFmtId="0" fontId="35" fillId="9" borderId="5" xfId="0" applyFont="1" applyFill="1" applyBorder="1" applyAlignment="1">
      <alignment horizontal="center"/>
    </xf>
    <xf numFmtId="0" fontId="35" fillId="9" borderId="5" xfId="0" applyFont="1" applyFill="1" applyBorder="1" applyAlignment="1">
      <alignment horizontal="center" wrapText="1"/>
    </xf>
    <xf numFmtId="0" fontId="35" fillId="9" borderId="8" xfId="0" applyFont="1" applyFill="1" applyBorder="1" applyAlignment="1">
      <alignment horizontal="center"/>
    </xf>
    <xf numFmtId="0" fontId="34" fillId="0" borderId="9" xfId="0" applyFont="1" applyBorder="1"/>
    <xf numFmtId="0" fontId="34" fillId="0" borderId="11" xfId="0" applyFont="1" applyBorder="1"/>
    <xf numFmtId="0" fontId="34" fillId="0" borderId="1" xfId="0" applyFont="1" applyBorder="1"/>
    <xf numFmtId="0" fontId="34" fillId="0" borderId="1" xfId="0" applyFont="1" applyFill="1" applyBorder="1" applyAlignment="1">
      <alignment wrapText="1"/>
    </xf>
    <xf numFmtId="15" fontId="34" fillId="0" borderId="1" xfId="0" applyNumberFormat="1" applyFont="1" applyBorder="1"/>
    <xf numFmtId="0" fontId="34" fillId="0" borderId="10" xfId="0" applyFont="1" applyBorder="1"/>
    <xf numFmtId="0" fontId="34" fillId="0" borderId="0" xfId="0" applyFont="1"/>
    <xf numFmtId="0" fontId="34" fillId="0" borderId="1" xfId="0" applyFont="1" applyBorder="1" applyAlignment="1">
      <alignment wrapText="1"/>
    </xf>
    <xf numFmtId="0" fontId="34" fillId="0" borderId="3" xfId="0" applyFont="1" applyBorder="1"/>
    <xf numFmtId="0" fontId="34" fillId="0" borderId="4" xfId="0" applyFont="1" applyBorder="1"/>
    <xf numFmtId="0" fontId="34" fillId="0" borderId="4" xfId="0" applyFont="1" applyBorder="1" applyAlignment="1">
      <alignment wrapText="1"/>
    </xf>
    <xf numFmtId="0" fontId="34" fillId="0" borderId="2" xfId="0" applyFont="1" applyBorder="1"/>
    <xf numFmtId="0" fontId="34" fillId="0" borderId="0" xfId="0" applyFont="1" applyAlignment="1">
      <alignment wrapText="1"/>
    </xf>
    <xf numFmtId="164" fontId="8" fillId="0" borderId="7" xfId="2" applyNumberFormat="1" applyFont="1" applyBorder="1" applyAlignment="1">
      <alignment vertical="top" wrapText="1"/>
    </xf>
    <xf numFmtId="166" fontId="8" fillId="0" borderId="7" xfId="0" applyNumberFormat="1" applyFont="1" applyFill="1" applyBorder="1" applyAlignment="1">
      <alignment vertical="top" wrapText="1"/>
    </xf>
    <xf numFmtId="166" fontId="8" fillId="0" borderId="7" xfId="0" applyNumberFormat="1" applyFont="1" applyFill="1" applyBorder="1" applyAlignment="1">
      <alignment horizontal="right" vertical="top"/>
    </xf>
    <xf numFmtId="0" fontId="8" fillId="0" borderId="7" xfId="4" applyFont="1" applyFill="1" applyBorder="1" applyAlignment="1">
      <alignment wrapText="1"/>
    </xf>
    <xf numFmtId="15" fontId="6" fillId="0" borderId="7" xfId="4" applyNumberFormat="1" applyFont="1" applyFill="1" applyBorder="1" applyAlignment="1">
      <alignment vertical="top" wrapText="1"/>
    </xf>
    <xf numFmtId="0" fontId="6" fillId="0" borderId="7" xfId="4" applyFont="1" applyBorder="1" applyAlignment="1">
      <alignment wrapText="1"/>
    </xf>
    <xf numFmtId="0" fontId="8" fillId="0" borderId="7" xfId="4" applyFont="1" applyBorder="1" applyAlignment="1">
      <alignment wrapText="1"/>
    </xf>
    <xf numFmtId="14" fontId="6" fillId="0" borderId="7" xfId="4" applyNumberFormat="1" applyFont="1" applyFill="1" applyBorder="1" applyAlignment="1">
      <alignment vertical="top" wrapText="1"/>
    </xf>
    <xf numFmtId="165" fontId="6" fillId="0" borderId="7" xfId="0" applyNumberFormat="1" applyFont="1" applyBorder="1" applyAlignment="1">
      <alignment horizontal="right" vertical="top"/>
    </xf>
    <xf numFmtId="165" fontId="6" fillId="0" borderId="7" xfId="0" applyNumberFormat="1" applyFont="1" applyBorder="1" applyAlignment="1">
      <alignment horizontal="right" vertical="top" wrapText="1"/>
    </xf>
    <xf numFmtId="164" fontId="6" fillId="0" borderId="7" xfId="0" applyNumberFormat="1" applyFont="1" applyBorder="1" applyAlignment="1">
      <alignment horizontal="right" vertical="top" wrapText="1"/>
    </xf>
    <xf numFmtId="164" fontId="6" fillId="0" borderId="7" xfId="0" applyNumberFormat="1" applyFont="1" applyBorder="1" applyAlignment="1">
      <alignment horizontal="left" vertical="top" wrapText="1"/>
    </xf>
    <xf numFmtId="165" fontId="6" fillId="0" borderId="7" xfId="0" applyNumberFormat="1" applyFont="1" applyBorder="1" applyAlignment="1">
      <alignment horizontal="left" vertical="top" wrapText="1"/>
    </xf>
    <xf numFmtId="164" fontId="6" fillId="0" borderId="7" xfId="0" applyNumberFormat="1" applyFont="1" applyBorder="1" applyAlignment="1">
      <alignment vertical="top"/>
    </xf>
    <xf numFmtId="0" fontId="7" fillId="0" borderId="7" xfId="1" applyFont="1" applyFill="1" applyBorder="1" applyAlignment="1">
      <alignment horizontal="center" vertical="top"/>
    </xf>
    <xf numFmtId="14" fontId="7" fillId="0" borderId="7" xfId="1" applyNumberFormat="1" applyFont="1" applyFill="1" applyBorder="1" applyAlignment="1">
      <alignment horizontal="center" vertical="top"/>
    </xf>
    <xf numFmtId="0" fontId="6" fillId="0" borderId="7" xfId="0" applyFont="1" applyBorder="1" applyAlignment="1">
      <alignment horizontal="left" vertical="top" wrapText="1"/>
    </xf>
    <xf numFmtId="0" fontId="6" fillId="0" borderId="7" xfId="0" applyFont="1" applyBorder="1" applyAlignment="1">
      <alignment wrapText="1"/>
    </xf>
    <xf numFmtId="0" fontId="6" fillId="0" borderId="7" xfId="4" applyFont="1" applyBorder="1" applyAlignment="1">
      <alignment horizontal="left" vertical="top" wrapText="1"/>
    </xf>
    <xf numFmtId="0" fontId="6" fillId="0" borderId="7" xfId="4" applyFont="1" applyBorder="1" applyAlignment="1">
      <alignment vertical="top" wrapText="1"/>
    </xf>
    <xf numFmtId="164" fontId="6" fillId="0" borderId="7" xfId="4" applyNumberFormat="1" applyFont="1" applyBorder="1" applyAlignment="1">
      <alignment horizontal="left" vertical="top" wrapText="1"/>
    </xf>
    <xf numFmtId="165" fontId="6" fillId="0" borderId="7" xfId="4" applyNumberFormat="1" applyFont="1" applyBorder="1" applyAlignment="1">
      <alignment horizontal="left" vertical="top" wrapText="1"/>
    </xf>
    <xf numFmtId="0" fontId="6" fillId="0" borderId="7" xfId="0" applyNumberFormat="1" applyFont="1" applyFill="1" applyBorder="1" applyAlignment="1">
      <alignment vertical="top" wrapText="1"/>
    </xf>
    <xf numFmtId="0" fontId="6" fillId="0" borderId="26" xfId="0" applyFont="1" applyFill="1" applyBorder="1" applyAlignment="1">
      <alignment vertical="top" wrapText="1"/>
    </xf>
    <xf numFmtId="14" fontId="6" fillId="0" borderId="7" xfId="0" applyNumberFormat="1" applyFont="1" applyBorder="1" applyAlignment="1">
      <alignment horizontal="center" vertical="top" wrapText="1"/>
    </xf>
    <xf numFmtId="166" fontId="36" fillId="0" borderId="7" xfId="2" applyNumberFormat="1" applyFont="1" applyBorder="1" applyAlignment="1">
      <alignment vertical="top"/>
    </xf>
    <xf numFmtId="14" fontId="6" fillId="0" borderId="7" xfId="0" applyNumberFormat="1" applyFont="1" applyFill="1" applyBorder="1" applyAlignment="1">
      <alignment vertical="top"/>
    </xf>
    <xf numFmtId="0" fontId="6" fillId="0" borderId="7" xfId="1" applyFont="1" applyBorder="1" applyAlignment="1">
      <alignment vertical="top" wrapText="1"/>
    </xf>
    <xf numFmtId="0" fontId="3" fillId="0" borderId="7" xfId="2" applyNumberFormat="1" applyFont="1" applyBorder="1" applyAlignment="1">
      <alignment horizontal="left" vertical="top" wrapText="1"/>
    </xf>
    <xf numFmtId="164" fontId="3" fillId="0" borderId="7" xfId="2" applyNumberFormat="1" applyFont="1" applyBorder="1" applyAlignment="1">
      <alignment vertical="top" wrapText="1"/>
    </xf>
    <xf numFmtId="0" fontId="3" fillId="0" borderId="7" xfId="2" applyFont="1" applyBorder="1" applyAlignment="1">
      <alignment horizontal="left" wrapText="1"/>
    </xf>
    <xf numFmtId="0" fontId="3" fillId="0" borderId="7" xfId="2" applyFont="1" applyBorder="1" applyAlignment="1">
      <alignment horizontal="left" vertical="top" wrapText="1"/>
    </xf>
    <xf numFmtId="15" fontId="34" fillId="0" borderId="10" xfId="0" applyNumberFormat="1" applyFont="1" applyBorder="1"/>
    <xf numFmtId="165" fontId="6" fillId="0" borderId="7" xfId="0" applyNumberFormat="1" applyFont="1" applyBorder="1" applyAlignment="1">
      <alignment horizontal="center" vertical="top" wrapText="1"/>
    </xf>
    <xf numFmtId="0" fontId="6" fillId="0" borderId="7" xfId="0" applyNumberFormat="1" applyFont="1" applyBorder="1"/>
    <xf numFmtId="0" fontId="8" fillId="0" borderId="7" xfId="2" applyNumberFormat="1" applyFont="1" applyBorder="1" applyAlignment="1">
      <alignment vertical="top"/>
    </xf>
    <xf numFmtId="0" fontId="20" fillId="6" borderId="1" xfId="0" applyFont="1" applyFill="1" applyBorder="1"/>
    <xf numFmtId="0" fontId="0" fillId="0" borderId="1" xfId="0" applyFill="1" applyBorder="1" applyAlignment="1">
      <alignment horizontal="center" wrapText="1"/>
    </xf>
    <xf numFmtId="0" fontId="20" fillId="6" borderId="11" xfId="0" applyFont="1" applyFill="1" applyBorder="1" applyAlignment="1">
      <alignment horizontal="center" wrapText="1"/>
    </xf>
    <xf numFmtId="0" fontId="20" fillId="6" borderId="1" xfId="0" applyFont="1" applyFill="1" applyBorder="1" applyAlignment="1">
      <alignment horizontal="center" wrapText="1"/>
    </xf>
    <xf numFmtId="0" fontId="0" fillId="0" borderId="11" xfId="0" applyBorder="1" applyAlignment="1">
      <alignment wrapText="1"/>
    </xf>
    <xf numFmtId="0" fontId="20" fillId="6" borderId="4" xfId="0" applyFont="1" applyFill="1" applyBorder="1" applyAlignment="1">
      <alignment vertical="top"/>
    </xf>
    <xf numFmtId="0" fontId="20" fillId="6" borderId="11" xfId="0" applyFont="1" applyFill="1" applyBorder="1" applyAlignment="1">
      <alignment horizontal="center"/>
    </xf>
    <xf numFmtId="0" fontId="20" fillId="6" borderId="8" xfId="0" applyFont="1" applyFill="1" applyBorder="1" applyAlignment="1">
      <alignment horizontal="center"/>
    </xf>
    <xf numFmtId="0" fontId="20" fillId="6" borderId="25" xfId="0" applyFont="1" applyFill="1" applyBorder="1" applyAlignment="1">
      <alignment horizontal="center" wrapText="1"/>
    </xf>
    <xf numFmtId="0" fontId="20" fillId="6" borderId="9" xfId="0" applyFont="1" applyFill="1" applyBorder="1" applyAlignment="1">
      <alignment horizontal="center"/>
    </xf>
    <xf numFmtId="0" fontId="20" fillId="6" borderId="9" xfId="0" applyFont="1" applyFill="1" applyBorder="1" applyAlignment="1">
      <alignment horizontal="center" wrapText="1"/>
    </xf>
    <xf numFmtId="0" fontId="20" fillId="6" borderId="25" xfId="0" applyFont="1" applyFill="1" applyBorder="1" applyAlignment="1">
      <alignment wrapText="1"/>
    </xf>
    <xf numFmtId="0" fontId="0" fillId="0" borderId="6" xfId="0" applyFill="1" applyBorder="1" applyAlignment="1">
      <alignment wrapText="1"/>
    </xf>
    <xf numFmtId="0" fontId="20" fillId="0" borderId="6" xfId="0" applyFont="1" applyFill="1" applyBorder="1" applyAlignment="1">
      <alignment vertical="top"/>
    </xf>
    <xf numFmtId="0" fontId="0" fillId="0" borderId="27" xfId="0" applyFill="1" applyBorder="1" applyAlignment="1">
      <alignment wrapText="1"/>
    </xf>
    <xf numFmtId="0" fontId="0" fillId="0" borderId="2" xfId="0" applyFill="1" applyBorder="1" applyAlignment="1">
      <alignment wrapText="1"/>
    </xf>
    <xf numFmtId="0" fontId="0" fillId="0" borderId="26" xfId="0" applyFill="1" applyBorder="1" applyAlignment="1">
      <alignment wrapText="1"/>
    </xf>
    <xf numFmtId="0" fontId="0" fillId="0" borderId="8" xfId="0" applyFill="1" applyBorder="1" applyAlignment="1">
      <alignment wrapText="1"/>
    </xf>
    <xf numFmtId="0" fontId="0" fillId="0" borderId="9" xfId="0" applyFill="1" applyBorder="1" applyAlignment="1">
      <alignment wrapText="1"/>
    </xf>
    <xf numFmtId="0" fontId="0" fillId="0" borderId="25" xfId="0" applyFill="1" applyBorder="1" applyAlignment="1">
      <alignment wrapText="1"/>
    </xf>
    <xf numFmtId="0" fontId="0" fillId="0" borderId="3" xfId="0" applyFill="1" applyBorder="1" applyAlignment="1">
      <alignment wrapText="1"/>
    </xf>
    <xf numFmtId="0" fontId="0" fillId="0" borderId="27" xfId="0" applyBorder="1" applyAlignment="1">
      <alignment wrapText="1"/>
    </xf>
    <xf numFmtId="0" fontId="0" fillId="0" borderId="25" xfId="0" applyBorder="1" applyAlignment="1">
      <alignment wrapText="1"/>
    </xf>
    <xf numFmtId="0" fontId="20" fillId="6" borderId="10" xfId="0" applyFont="1" applyFill="1" applyBorder="1" applyAlignment="1">
      <alignment horizontal="center"/>
    </xf>
    <xf numFmtId="0" fontId="20" fillId="6" borderId="12" xfId="0" applyFont="1" applyFill="1" applyBorder="1" applyAlignment="1">
      <alignment horizontal="center"/>
    </xf>
    <xf numFmtId="0" fontId="7" fillId="0" borderId="7" xfId="1" applyFont="1" applyFill="1" applyBorder="1" applyAlignment="1">
      <alignment horizontal="center" vertical="top" wrapText="1"/>
    </xf>
    <xf numFmtId="164" fontId="29" fillId="0" borderId="7" xfId="4" applyNumberFormat="1" applyFont="1" applyBorder="1" applyAlignment="1">
      <alignment vertical="top" wrapText="1"/>
    </xf>
    <xf numFmtId="164" fontId="29" fillId="0" borderId="7" xfId="4" applyNumberFormat="1" applyFont="1" applyBorder="1" applyAlignment="1">
      <alignment wrapText="1"/>
    </xf>
    <xf numFmtId="164" fontId="6" fillId="0" borderId="7" xfId="4" applyNumberFormat="1" applyFont="1" applyBorder="1" applyAlignment="1">
      <alignment vertical="top" wrapText="1"/>
    </xf>
    <xf numFmtId="164" fontId="6" fillId="0" borderId="7" xfId="4" applyNumberFormat="1" applyFont="1" applyFill="1" applyBorder="1" applyAlignment="1">
      <alignment vertical="top" wrapText="1"/>
    </xf>
    <xf numFmtId="164" fontId="0" fillId="0" borderId="7" xfId="4" applyNumberFormat="1" applyFont="1" applyBorder="1" applyAlignment="1">
      <alignment vertical="top" wrapText="1"/>
    </xf>
    <xf numFmtId="164" fontId="6" fillId="0" borderId="0" xfId="0" applyNumberFormat="1" applyFont="1" applyBorder="1" applyAlignment="1">
      <alignment vertical="top" wrapText="1"/>
    </xf>
    <xf numFmtId="164" fontId="6" fillId="0" borderId="26" xfId="0" applyNumberFormat="1" applyFont="1" applyBorder="1" applyAlignment="1">
      <alignment vertical="top" wrapText="1"/>
    </xf>
    <xf numFmtId="16" fontId="20" fillId="6" borderId="1" xfId="0" applyNumberFormat="1" applyFont="1" applyFill="1" applyBorder="1"/>
    <xf numFmtId="15" fontId="0" fillId="0" borderId="0" xfId="0" applyNumberFormat="1"/>
    <xf numFmtId="0" fontId="20" fillId="0" borderId="4" xfId="0" applyFont="1" applyFill="1" applyBorder="1" applyAlignment="1">
      <alignment horizontal="left" vertical="top"/>
    </xf>
    <xf numFmtId="164" fontId="6" fillId="0" borderId="26" xfId="4" applyNumberFormat="1" applyFont="1" applyBorder="1" applyAlignment="1">
      <alignment vertical="top" wrapText="1"/>
    </xf>
    <xf numFmtId="0" fontId="0" fillId="0" borderId="3" xfId="0" applyBorder="1" applyAlignment="1">
      <alignment wrapText="1"/>
    </xf>
    <xf numFmtId="0" fontId="6" fillId="0" borderId="7" xfId="0" applyFont="1" applyBorder="1" applyAlignment="1">
      <alignment vertical="top" wrapText="1"/>
    </xf>
    <xf numFmtId="0" fontId="6" fillId="0" borderId="7" xfId="0" applyFont="1" applyFill="1" applyBorder="1" applyAlignment="1">
      <alignment vertical="top" wrapText="1"/>
    </xf>
    <xf numFmtId="0" fontId="8" fillId="0" borderId="7" xfId="2" applyFont="1" applyFill="1" applyBorder="1" applyAlignment="1">
      <alignment vertical="top"/>
    </xf>
    <xf numFmtId="166" fontId="8" fillId="0" borderId="7" xfId="2" applyNumberFormat="1" applyFont="1" applyFill="1" applyBorder="1" applyAlignment="1">
      <alignment vertical="top"/>
    </xf>
    <xf numFmtId="0" fontId="8" fillId="0" borderId="7" xfId="2" applyFont="1" applyBorder="1" applyAlignment="1">
      <alignment vertical="top"/>
    </xf>
    <xf numFmtId="49" fontId="8" fillId="0" borderId="7" xfId="2" applyNumberFormat="1" applyFont="1" applyBorder="1" applyAlignment="1">
      <alignment vertical="top"/>
    </xf>
    <xf numFmtId="164" fontId="8" fillId="0" borderId="7" xfId="2" applyNumberFormat="1" applyFont="1" applyFill="1" applyBorder="1" applyAlignment="1">
      <alignment horizontal="center" vertical="top"/>
    </xf>
    <xf numFmtId="0" fontId="3" fillId="0" borderId="7" xfId="2" applyFont="1" applyBorder="1" applyAlignment="1">
      <alignment vertical="top"/>
    </xf>
    <xf numFmtId="164" fontId="8" fillId="0" borderId="7" xfId="2" applyNumberFormat="1" applyFont="1" applyFill="1" applyBorder="1" applyAlignment="1">
      <alignment vertical="top"/>
    </xf>
    <xf numFmtId="164" fontId="3" fillId="0" borderId="7" xfId="2" applyNumberFormat="1" applyFont="1" applyBorder="1" applyAlignment="1">
      <alignment vertical="top"/>
    </xf>
    <xf numFmtId="166" fontId="8" fillId="0" borderId="7" xfId="2" applyNumberFormat="1" applyFont="1" applyFill="1" applyBorder="1" applyAlignment="1">
      <alignment vertical="top" wrapText="1"/>
    </xf>
    <xf numFmtId="166" fontId="3" fillId="0" borderId="7" xfId="2" applyNumberFormat="1" applyFont="1" applyFill="1" applyBorder="1" applyAlignment="1">
      <alignment vertical="top"/>
    </xf>
    <xf numFmtId="166" fontId="4" fillId="0" borderId="7" xfId="2" applyNumberFormat="1" applyFont="1" applyBorder="1" applyAlignment="1">
      <alignment vertical="top"/>
    </xf>
    <xf numFmtId="0" fontId="4" fillId="0" borderId="7" xfId="2" applyFont="1" applyBorder="1" applyAlignment="1">
      <alignment vertical="top"/>
    </xf>
    <xf numFmtId="166" fontId="3" fillId="0" borderId="7" xfId="2" applyNumberFormat="1" applyFont="1" applyBorder="1" applyAlignment="1">
      <alignment vertical="top" wrapText="1"/>
    </xf>
    <xf numFmtId="0" fontId="3" fillId="0" borderId="7" xfId="2" applyFont="1" applyBorder="1" applyAlignment="1">
      <alignment horizontal="center" vertical="top"/>
    </xf>
    <xf numFmtId="0" fontId="3" fillId="0" borderId="7" xfId="2" applyFont="1" applyBorder="1" applyAlignment="1">
      <alignment vertical="top" wrapText="1"/>
    </xf>
    <xf numFmtId="0" fontId="6" fillId="0" borderId="7" xfId="1" applyNumberFormat="1" applyFont="1" applyBorder="1" applyAlignment="1">
      <alignment vertical="top" wrapText="1"/>
    </xf>
    <xf numFmtId="0" fontId="6" fillId="0" borderId="26" xfId="4" applyFont="1" applyFill="1" applyBorder="1" applyAlignment="1">
      <alignment vertical="top" wrapText="1"/>
    </xf>
    <xf numFmtId="166" fontId="8" fillId="0" borderId="7" xfId="2" applyNumberFormat="1" applyFont="1" applyBorder="1" applyAlignment="1">
      <alignment wrapText="1"/>
    </xf>
    <xf numFmtId="0" fontId="8" fillId="0" borderId="7" xfId="2" applyFont="1" applyFill="1" applyBorder="1" applyAlignment="1">
      <alignment wrapText="1"/>
    </xf>
    <xf numFmtId="0" fontId="8" fillId="0" borderId="5" xfId="2" applyFont="1" applyBorder="1" applyAlignment="1">
      <alignment vertical="top" wrapText="1"/>
    </xf>
    <xf numFmtId="0" fontId="0" fillId="0" borderId="26" xfId="0" applyFill="1" applyBorder="1" applyAlignment="1">
      <alignment vertical="center" wrapText="1"/>
    </xf>
    <xf numFmtId="0" fontId="0" fillId="0" borderId="0" xfId="0" applyFill="1" applyBorder="1" applyAlignment="1">
      <alignment vertical="center" wrapText="1"/>
    </xf>
    <xf numFmtId="0" fontId="0" fillId="0" borderId="6" xfId="0" applyFill="1" applyBorder="1" applyAlignment="1">
      <alignment vertical="center" wrapText="1"/>
    </xf>
    <xf numFmtId="0" fontId="0" fillId="0" borderId="8" xfId="0" applyFill="1" applyBorder="1" applyAlignment="1">
      <alignment vertical="center" wrapText="1"/>
    </xf>
    <xf numFmtId="0" fontId="0" fillId="0" borderId="9" xfId="0" applyFill="1" applyBorder="1" applyAlignment="1">
      <alignment vertical="center" wrapText="1"/>
    </xf>
    <xf numFmtId="0" fontId="0" fillId="0" borderId="25" xfId="0" applyFill="1" applyBorder="1" applyAlignment="1">
      <alignment vertical="center" wrapText="1"/>
    </xf>
    <xf numFmtId="1" fontId="1" fillId="2" borderId="7" xfId="0" applyNumberFormat="1" applyFont="1" applyFill="1" applyBorder="1" applyAlignment="1">
      <alignment horizontal="center" vertical="top" wrapText="1"/>
    </xf>
    <xf numFmtId="164" fontId="1" fillId="2" borderId="7" xfId="0" applyNumberFormat="1" applyFont="1" applyFill="1" applyBorder="1" applyAlignment="1">
      <alignment horizontal="center" vertical="top" wrapText="1"/>
    </xf>
    <xf numFmtId="165" fontId="1" fillId="2" borderId="7" xfId="0" applyNumberFormat="1" applyFont="1" applyFill="1" applyBorder="1" applyAlignment="1">
      <alignment horizontal="center" vertical="top" wrapText="1"/>
    </xf>
    <xf numFmtId="0" fontId="1" fillId="2" borderId="7" xfId="0" applyFont="1" applyFill="1" applyBorder="1" applyAlignment="1">
      <alignment horizontal="center" vertical="top" wrapText="1"/>
    </xf>
    <xf numFmtId="15" fontId="6" fillId="0" borderId="7" xfId="0" applyNumberFormat="1" applyFont="1" applyBorder="1" applyAlignment="1">
      <alignment vertical="top"/>
    </xf>
    <xf numFmtId="15" fontId="6" fillId="0" borderId="7" xfId="4" applyNumberFormat="1" applyFont="1" applyBorder="1" applyAlignment="1">
      <alignment vertical="top" wrapText="1"/>
    </xf>
    <xf numFmtId="0" fontId="40" fillId="0" borderId="7" xfId="5" applyFont="1" applyBorder="1" applyAlignment="1" applyProtection="1">
      <alignment vertical="top" wrapText="1"/>
    </xf>
    <xf numFmtId="164" fontId="6" fillId="0" borderId="7" xfId="0" applyNumberFormat="1" applyFont="1" applyFill="1" applyBorder="1" applyAlignment="1">
      <alignment vertical="top" wrapText="1"/>
    </xf>
    <xf numFmtId="164" fontId="32" fillId="0" borderId="7" xfId="0" applyNumberFormat="1" applyFont="1" applyBorder="1" applyAlignment="1">
      <alignment vertical="top" wrapText="1"/>
    </xf>
    <xf numFmtId="164" fontId="32" fillId="0" borderId="7" xfId="0" applyNumberFormat="1" applyFont="1" applyBorder="1" applyAlignment="1">
      <alignment vertical="top"/>
    </xf>
    <xf numFmtId="49" fontId="6" fillId="0" borderId="7" xfId="0" applyNumberFormat="1" applyFont="1" applyBorder="1" applyAlignment="1">
      <alignment vertical="top" wrapText="1"/>
    </xf>
    <xf numFmtId="0" fontId="29" fillId="0" borderId="7" xfId="0" applyFont="1" applyBorder="1" applyAlignment="1"/>
    <xf numFmtId="0" fontId="6" fillId="0" borderId="7" xfId="0" applyFont="1" applyBorder="1" applyAlignment="1"/>
    <xf numFmtId="0" fontId="0" fillId="0" borderId="7" xfId="0" applyFont="1" applyBorder="1" applyAlignment="1"/>
    <xf numFmtId="0" fontId="41" fillId="0" borderId="7" xfId="0" applyFont="1" applyBorder="1" applyAlignment="1">
      <alignment horizontal="center" vertical="top" wrapText="1"/>
    </xf>
    <xf numFmtId="15" fontId="41" fillId="0" borderId="7" xfId="0" applyNumberFormat="1" applyFont="1" applyBorder="1" applyAlignment="1">
      <alignment horizontal="center" vertical="top" wrapText="1"/>
    </xf>
    <xf numFmtId="0" fontId="41" fillId="0" borderId="7" xfId="0" applyFont="1" applyBorder="1" applyAlignment="1">
      <alignment vertical="top" wrapText="1"/>
    </xf>
    <xf numFmtId="0" fontId="41" fillId="0" borderId="7" xfId="0" applyFont="1" applyBorder="1"/>
    <xf numFmtId="16" fontId="41" fillId="0" borderId="7" xfId="0" applyNumberFormat="1" applyFont="1" applyBorder="1" applyAlignment="1">
      <alignment horizontal="center" vertical="top" wrapText="1"/>
    </xf>
    <xf numFmtId="0" fontId="6" fillId="8" borderId="7" xfId="0" applyFont="1" applyFill="1" applyBorder="1" applyAlignment="1">
      <alignment vertical="top" wrapText="1"/>
    </xf>
    <xf numFmtId="16" fontId="6" fillId="0" borderId="7" xfId="4" applyNumberFormat="1" applyFont="1" applyFill="1" applyBorder="1" applyAlignment="1">
      <alignment vertical="top" wrapText="1"/>
    </xf>
    <xf numFmtId="15" fontId="6" fillId="0" borderId="7" xfId="0" applyNumberFormat="1" applyFont="1" applyFill="1" applyBorder="1" applyAlignment="1">
      <alignment vertical="top" wrapText="1"/>
    </xf>
    <xf numFmtId="1" fontId="8" fillId="2" borderId="7" xfId="0"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164" fontId="8" fillId="2" borderId="7" xfId="0" applyNumberFormat="1" applyFont="1" applyFill="1" applyBorder="1" applyAlignment="1">
      <alignment horizontal="center" vertical="center" wrapText="1"/>
    </xf>
    <xf numFmtId="164" fontId="1" fillId="2" borderId="7" xfId="0" applyNumberFormat="1" applyFont="1" applyFill="1" applyBorder="1" applyAlignment="1">
      <alignment horizontal="center" vertical="center" wrapText="1"/>
    </xf>
    <xf numFmtId="0" fontId="6" fillId="0" borderId="7" xfId="0" applyFont="1" applyBorder="1" applyAlignment="1">
      <alignment vertical="center"/>
    </xf>
    <xf numFmtId="0" fontId="41" fillId="0" borderId="7" xfId="0" applyFont="1" applyFill="1" applyBorder="1" applyAlignment="1">
      <alignment vertical="top" wrapText="1"/>
    </xf>
    <xf numFmtId="164" fontId="41" fillId="0" borderId="7" xfId="0" applyNumberFormat="1" applyFont="1" applyFill="1" applyBorder="1" applyAlignment="1">
      <alignment vertical="top" wrapText="1"/>
    </xf>
    <xf numFmtId="0" fontId="42" fillId="0" borderId="7" xfId="0" applyFont="1" applyFill="1" applyBorder="1" applyAlignment="1">
      <alignment vertical="top" wrapText="1"/>
    </xf>
    <xf numFmtId="0" fontId="7" fillId="11" borderId="7" xfId="0" applyFont="1" applyFill="1" applyBorder="1" applyAlignment="1">
      <alignment vertical="top" wrapText="1"/>
    </xf>
    <xf numFmtId="15" fontId="8" fillId="0" borderId="7" xfId="0" applyNumberFormat="1" applyFont="1" applyFill="1" applyBorder="1" applyAlignment="1">
      <alignment vertical="top" wrapText="1"/>
    </xf>
    <xf numFmtId="15" fontId="6" fillId="0" borderId="6" xfId="0" applyNumberFormat="1" applyFont="1" applyBorder="1" applyAlignment="1">
      <alignment horizontal="center" vertical="top" wrapText="1"/>
    </xf>
    <xf numFmtId="167" fontId="20" fillId="6" borderId="1" xfId="0" applyNumberFormat="1" applyFont="1" applyFill="1" applyBorder="1"/>
    <xf numFmtId="16" fontId="6" fillId="0" borderId="7" xfId="0" applyNumberFormat="1" applyFont="1" applyBorder="1" applyAlignment="1">
      <alignment horizontal="center" vertical="top" wrapText="1"/>
    </xf>
    <xf numFmtId="0" fontId="21" fillId="0" borderId="0" xfId="0" applyFont="1" applyFill="1" applyBorder="1" applyAlignment="1">
      <alignment vertical="top" wrapText="1"/>
    </xf>
    <xf numFmtId="0" fontId="21" fillId="0" borderId="0" xfId="0" applyFont="1" applyBorder="1" applyAlignment="1">
      <alignment vertical="top" wrapText="1"/>
    </xf>
    <xf numFmtId="165" fontId="21" fillId="0" borderId="0" xfId="0" applyNumberFormat="1" applyFont="1" applyFill="1" applyBorder="1" applyAlignment="1">
      <alignment horizontal="right" vertical="top" wrapText="1"/>
    </xf>
    <xf numFmtId="14" fontId="8" fillId="0" borderId="7" xfId="2" applyNumberFormat="1" applyFont="1" applyBorder="1" applyAlignment="1">
      <alignment vertical="top"/>
    </xf>
    <xf numFmtId="164" fontId="21" fillId="0" borderId="1" xfId="0" applyNumberFormat="1" applyFont="1" applyBorder="1" applyAlignment="1">
      <alignment horizontal="right" vertical="top" wrapText="1"/>
    </xf>
    <xf numFmtId="0" fontId="6" fillId="0" borderId="7" xfId="1" applyFont="1" applyFill="1" applyBorder="1" applyAlignment="1">
      <alignment vertical="top" wrapText="1"/>
    </xf>
    <xf numFmtId="164" fontId="8" fillId="0" borderId="7" xfId="1" applyNumberFormat="1" applyFont="1" applyFill="1" applyBorder="1" applyAlignment="1">
      <alignment horizontal="right" vertical="top" wrapText="1"/>
    </xf>
    <xf numFmtId="0" fontId="6" fillId="0" borderId="7" xfId="1" applyFont="1" applyFill="1" applyBorder="1" applyAlignment="1">
      <alignment horizontal="left" vertical="top" wrapText="1"/>
    </xf>
    <xf numFmtId="166" fontId="8" fillId="0" borderId="0" xfId="2" applyNumberFormat="1" applyFont="1" applyFill="1" applyBorder="1" applyAlignment="1">
      <alignment wrapText="1"/>
    </xf>
    <xf numFmtId="165" fontId="21" fillId="7" borderId="0" xfId="0" applyNumberFormat="1" applyFont="1" applyFill="1" applyBorder="1" applyAlignment="1">
      <alignment horizontal="right" vertical="top" wrapText="1"/>
    </xf>
    <xf numFmtId="0" fontId="21" fillId="7" borderId="0" xfId="0" applyFont="1" applyFill="1" applyBorder="1" applyAlignment="1">
      <alignment vertical="top" wrapText="1"/>
    </xf>
    <xf numFmtId="16" fontId="6" fillId="0" borderId="6" xfId="0" applyNumberFormat="1" applyFont="1" applyBorder="1" applyAlignment="1">
      <alignment horizontal="center" vertical="top" wrapText="1"/>
    </xf>
    <xf numFmtId="0" fontId="6" fillId="0" borderId="0" xfId="0" applyFont="1" applyFill="1" applyBorder="1" applyAlignment="1">
      <alignment vertical="top" wrapText="1"/>
    </xf>
    <xf numFmtId="0" fontId="6" fillId="0" borderId="7" xfId="4" quotePrefix="1" applyFont="1" applyFill="1" applyBorder="1" applyAlignment="1">
      <alignment vertical="top" wrapText="1"/>
    </xf>
    <xf numFmtId="0" fontId="8" fillId="0" borderId="7" xfId="2" applyFont="1" applyBorder="1" applyAlignment="1">
      <alignment horizontal="left" vertical="top" wrapText="1"/>
    </xf>
    <xf numFmtId="14" fontId="8" fillId="0" borderId="7" xfId="2" applyNumberFormat="1" applyFont="1" applyBorder="1" applyAlignment="1">
      <alignment vertical="top" wrapText="1"/>
    </xf>
    <xf numFmtId="164" fontId="6" fillId="12" borderId="7" xfId="4" applyNumberFormat="1" applyFont="1" applyFill="1" applyBorder="1" applyAlignment="1">
      <alignment vertical="top" wrapText="1"/>
    </xf>
    <xf numFmtId="164" fontId="6" fillId="12" borderId="7" xfId="0" applyNumberFormat="1" applyFont="1" applyFill="1" applyBorder="1" applyAlignment="1">
      <alignment vertical="top" wrapText="1"/>
    </xf>
    <xf numFmtId="164" fontId="6" fillId="12" borderId="7" xfId="0" applyNumberFormat="1" applyFont="1" applyFill="1" applyBorder="1" applyAlignment="1">
      <alignment vertical="top"/>
    </xf>
    <xf numFmtId="165" fontId="21" fillId="0" borderId="0" xfId="0" applyNumberFormat="1" applyFont="1" applyBorder="1" applyAlignment="1">
      <alignment horizontal="right" vertical="top" wrapText="1"/>
    </xf>
    <xf numFmtId="164" fontId="6" fillId="0" borderId="7" xfId="1" applyNumberFormat="1" applyFont="1" applyFill="1" applyBorder="1" applyAlignment="1">
      <alignment horizontal="right" vertical="top" wrapText="1"/>
    </xf>
    <xf numFmtId="0" fontId="44" fillId="0" borderId="7" xfId="2" applyFont="1" applyBorder="1" applyAlignment="1">
      <alignment vertical="top" wrapText="1"/>
    </xf>
    <xf numFmtId="0" fontId="26" fillId="0" borderId="0" xfId="0" applyFont="1" applyBorder="1" applyAlignment="1">
      <alignment vertical="top" wrapText="1"/>
    </xf>
    <xf numFmtId="0" fontId="8" fillId="0" borderId="7" xfId="2" applyNumberFormat="1" applyFont="1" applyFill="1" applyBorder="1" applyAlignment="1">
      <alignment wrapText="1"/>
    </xf>
    <xf numFmtId="0" fontId="3" fillId="0" borderId="6" xfId="2" applyFont="1" applyBorder="1" applyAlignment="1">
      <alignment horizontal="center" vertical="top"/>
    </xf>
    <xf numFmtId="166" fontId="4" fillId="0" borderId="26" xfId="2" applyNumberFormat="1" applyFont="1" applyBorder="1" applyAlignment="1">
      <alignment vertical="top"/>
    </xf>
    <xf numFmtId="0" fontId="0" fillId="0" borderId="2" xfId="0" applyFill="1" applyBorder="1" applyAlignment="1">
      <alignment vertical="center" wrapText="1"/>
    </xf>
    <xf numFmtId="0" fontId="0" fillId="0" borderId="27" xfId="0" applyFill="1" applyBorder="1" applyAlignment="1">
      <alignment vertical="center" wrapText="1"/>
    </xf>
    <xf numFmtId="0" fontId="0" fillId="0" borderId="3" xfId="0" applyFill="1" applyBorder="1" applyAlignment="1">
      <alignment vertical="center" wrapText="1"/>
    </xf>
    <xf numFmtId="0" fontId="6" fillId="0" borderId="0" xfId="0" applyFont="1" applyFill="1" applyAlignment="1">
      <alignment vertical="top" wrapText="1"/>
    </xf>
    <xf numFmtId="0" fontId="38" fillId="0" borderId="7" xfId="0" applyFont="1" applyBorder="1" applyAlignment="1">
      <alignment horizontal="left" readingOrder="1"/>
    </xf>
    <xf numFmtId="14" fontId="6" fillId="0" borderId="7" xfId="0" applyNumberFormat="1" applyFont="1" applyBorder="1" applyAlignment="1">
      <alignment vertical="top"/>
    </xf>
    <xf numFmtId="14" fontId="6" fillId="0" borderId="7" xfId="0" applyNumberFormat="1" applyFont="1" applyBorder="1" applyAlignment="1">
      <alignment vertical="center"/>
    </xf>
    <xf numFmtId="0" fontId="0" fillId="6" borderId="10" xfId="0" applyFill="1" applyBorder="1"/>
    <xf numFmtId="0" fontId="0" fillId="0" borderId="4" xfId="0" applyFill="1" applyBorder="1"/>
    <xf numFmtId="0" fontId="0" fillId="0" borderId="4" xfId="0" applyBorder="1"/>
    <xf numFmtId="0" fontId="9" fillId="4" borderId="28" xfId="0" applyFont="1" applyFill="1" applyBorder="1" applyAlignment="1">
      <alignment vertical="center" wrapText="1"/>
    </xf>
    <xf numFmtId="0" fontId="9" fillId="4" borderId="31" xfId="0" applyFont="1" applyFill="1" applyBorder="1" applyAlignment="1">
      <alignment vertical="center" wrapText="1"/>
    </xf>
    <xf numFmtId="0" fontId="8" fillId="0" borderId="6" xfId="2" applyFont="1" applyFill="1" applyBorder="1" applyAlignment="1">
      <alignment horizontal="center" vertical="top"/>
    </xf>
    <xf numFmtId="165" fontId="21" fillId="8" borderId="0" xfId="0" applyNumberFormat="1" applyFont="1" applyFill="1" applyBorder="1" applyAlignment="1">
      <alignment horizontal="right" vertical="top" wrapText="1"/>
    </xf>
    <xf numFmtId="164" fontId="6" fillId="0" borderId="0" xfId="0" applyNumberFormat="1" applyFont="1" applyFill="1" applyBorder="1" applyAlignment="1">
      <alignment horizontal="right" vertical="top" wrapText="1"/>
    </xf>
    <xf numFmtId="0" fontId="21" fillId="8" borderId="0" xfId="0" applyFont="1" applyFill="1" applyBorder="1" applyAlignment="1">
      <alignment vertical="top" wrapText="1"/>
    </xf>
    <xf numFmtId="166" fontId="8" fillId="0" borderId="1" xfId="2" applyNumberFormat="1" applyFont="1" applyFill="1" applyBorder="1" applyAlignment="1">
      <alignment vertical="top"/>
    </xf>
    <xf numFmtId="166" fontId="8" fillId="0" borderId="0" xfId="2" applyNumberFormat="1" applyFont="1" applyBorder="1" applyAlignment="1">
      <alignment wrapText="1"/>
    </xf>
    <xf numFmtId="164" fontId="21" fillId="0" borderId="0" xfId="0" applyNumberFormat="1" applyFont="1" applyBorder="1" applyAlignment="1">
      <alignment horizontal="right" vertical="top"/>
    </xf>
    <xf numFmtId="164" fontId="3" fillId="0" borderId="0" xfId="0" applyNumberFormat="1" applyFont="1" applyFill="1" applyBorder="1" applyAlignment="1">
      <alignment horizontal="right" vertical="top" wrapText="1"/>
    </xf>
    <xf numFmtId="166" fontId="8" fillId="0" borderId="0" xfId="2" applyNumberFormat="1" applyFont="1" applyBorder="1"/>
    <xf numFmtId="0" fontId="21" fillId="0" borderId="0" xfId="0" applyFont="1" applyBorder="1" applyAlignment="1">
      <alignment horizontal="left" vertical="top" wrapText="1"/>
    </xf>
    <xf numFmtId="165" fontId="21" fillId="0" borderId="6" xfId="0" applyNumberFormat="1" applyFont="1" applyBorder="1" applyAlignment="1">
      <alignment horizontal="left" vertical="top" wrapText="1"/>
    </xf>
    <xf numFmtId="0" fontId="45" fillId="0" borderId="0" xfId="0" applyFont="1" applyAlignment="1">
      <alignment wrapText="1"/>
    </xf>
    <xf numFmtId="0" fontId="46" fillId="0" borderId="7" xfId="0" applyFont="1" applyBorder="1" applyAlignment="1">
      <alignment vertical="top" wrapText="1"/>
    </xf>
    <xf numFmtId="0" fontId="20" fillId="0" borderId="6" xfId="0" applyFont="1" applyFill="1" applyBorder="1" applyAlignment="1">
      <alignment horizontal="left" vertical="top"/>
    </xf>
    <xf numFmtId="0" fontId="0" fillId="10" borderId="26" xfId="0" applyFill="1" applyBorder="1" applyAlignment="1">
      <alignment horizontal="center" vertical="center" wrapText="1"/>
    </xf>
    <xf numFmtId="0" fontId="0" fillId="10" borderId="6" xfId="0" applyFill="1" applyBorder="1" applyAlignment="1">
      <alignment horizontal="center" vertical="center" wrapText="1"/>
    </xf>
    <xf numFmtId="0" fontId="0" fillId="10" borderId="0" xfId="0" applyFill="1" applyBorder="1" applyAlignment="1">
      <alignment horizontal="center" vertical="center" wrapText="1"/>
    </xf>
    <xf numFmtId="0" fontId="21" fillId="0" borderId="7" xfId="0" applyNumberFormat="1" applyFont="1" applyBorder="1" applyAlignment="1">
      <alignment horizontal="left" vertical="top" wrapText="1"/>
    </xf>
    <xf numFmtId="0" fontId="21" fillId="0" borderId="7" xfId="0" applyNumberFormat="1" applyFont="1" applyFill="1" applyBorder="1" applyAlignment="1">
      <alignment horizontal="left" vertical="top" wrapText="1"/>
    </xf>
    <xf numFmtId="0" fontId="6" fillId="0" borderId="7" xfId="0" applyNumberFormat="1" applyFont="1" applyFill="1" applyBorder="1" applyAlignment="1">
      <alignment horizontal="left" vertical="top" wrapText="1"/>
    </xf>
    <xf numFmtId="0" fontId="8" fillId="0" borderId="7" xfId="2" applyNumberFormat="1" applyFont="1" applyBorder="1" applyAlignment="1">
      <alignment wrapText="1"/>
    </xf>
    <xf numFmtId="0" fontId="21" fillId="0" borderId="0" xfId="0" applyNumberFormat="1" applyFont="1" applyBorder="1" applyAlignment="1">
      <alignment horizontal="left" vertical="top" wrapText="1"/>
    </xf>
    <xf numFmtId="0" fontId="21" fillId="8" borderId="7" xfId="0" applyNumberFormat="1" applyFont="1" applyFill="1" applyBorder="1" applyAlignment="1">
      <alignment horizontal="left" vertical="top" wrapText="1"/>
    </xf>
    <xf numFmtId="0" fontId="21" fillId="7" borderId="7" xfId="0" applyNumberFormat="1" applyFont="1" applyFill="1" applyBorder="1" applyAlignment="1">
      <alignment horizontal="left" vertical="top" wrapText="1"/>
    </xf>
    <xf numFmtId="0" fontId="21" fillId="0" borderId="7" xfId="0" applyNumberFormat="1" applyFont="1" applyFill="1" applyBorder="1" applyAlignment="1">
      <alignment vertical="top" wrapText="1"/>
    </xf>
    <xf numFmtId="0" fontId="21" fillId="0" borderId="7" xfId="0" applyNumberFormat="1" applyFont="1" applyBorder="1" applyAlignment="1">
      <alignment wrapText="1"/>
    </xf>
    <xf numFmtId="0" fontId="8" fillId="0" borderId="7" xfId="0" applyNumberFormat="1" applyFont="1" applyFill="1" applyBorder="1" applyAlignment="1">
      <alignment vertical="top" wrapText="1"/>
    </xf>
    <xf numFmtId="0" fontId="21" fillId="7" borderId="7" xfId="0" applyNumberFormat="1" applyFont="1" applyFill="1" applyBorder="1" applyAlignment="1">
      <alignment vertical="top" wrapText="1"/>
    </xf>
    <xf numFmtId="0" fontId="6" fillId="0" borderId="7" xfId="4" applyNumberFormat="1" applyFont="1" applyFill="1" applyBorder="1" applyAlignment="1">
      <alignment horizontal="left" vertical="top" wrapText="1"/>
    </xf>
    <xf numFmtId="0" fontId="20" fillId="0" borderId="6" xfId="0" applyFont="1" applyFill="1" applyBorder="1" applyAlignment="1">
      <alignment horizontal="left" vertical="top"/>
    </xf>
    <xf numFmtId="0" fontId="20" fillId="0" borderId="3" xfId="0" applyFont="1" applyFill="1" applyBorder="1" applyAlignment="1">
      <alignment horizontal="left" vertical="top"/>
    </xf>
    <xf numFmtId="0" fontId="0" fillId="0" borderId="9" xfId="0" applyFill="1" applyBorder="1"/>
    <xf numFmtId="0" fontId="6" fillId="0" borderId="1" xfId="0" applyFont="1" applyFill="1" applyBorder="1" applyAlignment="1">
      <alignment vertical="top" wrapText="1"/>
    </xf>
    <xf numFmtId="166" fontId="16" fillId="6" borderId="10" xfId="0" applyNumberFormat="1" applyFont="1" applyFill="1" applyBorder="1" applyAlignment="1">
      <alignment horizontal="center" vertical="top" wrapText="1"/>
    </xf>
    <xf numFmtId="166" fontId="16" fillId="6" borderId="25" xfId="0" applyNumberFormat="1" applyFont="1" applyFill="1" applyBorder="1" applyAlignment="1">
      <alignment horizontal="center" vertical="top" wrapText="1"/>
    </xf>
    <xf numFmtId="166" fontId="16" fillId="6" borderId="11" xfId="0" applyNumberFormat="1" applyFont="1" applyFill="1" applyBorder="1" applyAlignment="1">
      <alignment horizontal="center" vertical="top" wrapText="1"/>
    </xf>
    <xf numFmtId="0" fontId="15" fillId="6" borderId="10" xfId="3" applyFont="1" applyFill="1" applyBorder="1" applyAlignment="1">
      <alignment horizontal="center" vertical="top"/>
    </xf>
    <xf numFmtId="0" fontId="15" fillId="6" borderId="11" xfId="3" applyFont="1" applyFill="1" applyBorder="1" applyAlignment="1">
      <alignment horizontal="center" vertical="top"/>
    </xf>
    <xf numFmtId="0" fontId="15" fillId="0" borderId="2" xfId="3" applyFont="1" applyBorder="1" applyAlignment="1">
      <alignment horizontal="left" vertical="top"/>
    </xf>
    <xf numFmtId="0" fontId="15" fillId="0" borderId="8" xfId="3" applyFont="1" applyBorder="1" applyAlignment="1">
      <alignment horizontal="left" vertical="top"/>
    </xf>
    <xf numFmtId="0" fontId="0" fillId="0" borderId="10" xfId="0" applyBorder="1" applyAlignment="1">
      <alignment horizontal="left"/>
    </xf>
    <xf numFmtId="0" fontId="0" fillId="0" borderId="11" xfId="0" applyBorder="1" applyAlignment="1">
      <alignment horizontal="left"/>
    </xf>
    <xf numFmtId="0" fontId="20" fillId="7" borderId="10" xfId="0" applyFont="1" applyFill="1" applyBorder="1" applyAlignment="1">
      <alignment horizontal="center"/>
    </xf>
    <xf numFmtId="0" fontId="20" fillId="7" borderId="11" xfId="0" applyFont="1" applyFill="1" applyBorder="1" applyAlignment="1">
      <alignment horizontal="center"/>
    </xf>
    <xf numFmtId="0" fontId="20" fillId="7" borderId="10" xfId="0" applyFont="1" applyFill="1" applyBorder="1" applyAlignment="1">
      <alignment horizontal="left"/>
    </xf>
    <xf numFmtId="0" fontId="20" fillId="7" borderId="12" xfId="0" applyFont="1" applyFill="1" applyBorder="1" applyAlignment="1">
      <alignment horizontal="left"/>
    </xf>
    <xf numFmtId="0" fontId="11" fillId="5" borderId="13" xfId="0" applyFont="1" applyFill="1" applyBorder="1" applyAlignment="1">
      <alignment horizontal="center" vertical="center" wrapText="1" readingOrder="1"/>
    </xf>
    <xf numFmtId="0" fontId="11" fillId="5" borderId="14" xfId="0" applyFont="1" applyFill="1" applyBorder="1" applyAlignment="1">
      <alignment horizontal="center" vertical="center" wrapText="1" readingOrder="1"/>
    </xf>
    <xf numFmtId="0" fontId="12" fillId="0" borderId="13" xfId="0" applyFont="1" applyBorder="1" applyAlignment="1">
      <alignment horizontal="center" vertical="top" wrapText="1" readingOrder="1"/>
    </xf>
    <xf numFmtId="0" fontId="12" fillId="0" borderId="14" xfId="0" applyFont="1" applyBorder="1" applyAlignment="1">
      <alignment horizontal="center" vertical="top" wrapText="1" readingOrder="1"/>
    </xf>
    <xf numFmtId="0" fontId="12" fillId="0" borderId="22" xfId="0" applyFont="1" applyBorder="1" applyAlignment="1">
      <alignment horizontal="center" vertical="top" wrapText="1" readingOrder="1"/>
    </xf>
    <xf numFmtId="0" fontId="12" fillId="0" borderId="23" xfId="0" applyFont="1" applyBorder="1" applyAlignment="1">
      <alignment horizontal="center" vertical="top" wrapText="1" readingOrder="1"/>
    </xf>
    <xf numFmtId="0" fontId="10" fillId="4" borderId="29" xfId="0" applyFont="1" applyFill="1" applyBorder="1" applyAlignment="1">
      <alignment horizontal="center" vertical="center" wrapText="1" readingOrder="1"/>
    </xf>
    <xf numFmtId="0" fontId="10" fillId="4" borderId="30" xfId="0" applyFont="1" applyFill="1" applyBorder="1" applyAlignment="1">
      <alignment horizontal="center" vertical="center" wrapText="1" readingOrder="1"/>
    </xf>
    <xf numFmtId="0" fontId="10" fillId="4" borderId="16" xfId="0" applyFont="1" applyFill="1" applyBorder="1" applyAlignment="1">
      <alignment horizontal="center" vertical="center" wrapText="1" readingOrder="1"/>
    </xf>
    <xf numFmtId="0" fontId="10" fillId="4" borderId="17" xfId="0" applyFont="1" applyFill="1" applyBorder="1" applyAlignment="1">
      <alignment horizontal="center" vertical="center" wrapText="1" readingOrder="1"/>
    </xf>
    <xf numFmtId="0" fontId="20" fillId="0" borderId="3" xfId="0" applyFont="1" applyBorder="1" applyAlignment="1">
      <alignment horizontal="left" vertical="top"/>
    </xf>
    <xf numFmtId="0" fontId="20" fillId="0" borderId="25" xfId="0" applyFont="1" applyBorder="1" applyAlignment="1">
      <alignment horizontal="left" vertical="top"/>
    </xf>
    <xf numFmtId="0" fontId="20" fillId="0" borderId="3" xfId="0" applyFont="1" applyFill="1" applyBorder="1" applyAlignment="1">
      <alignment horizontal="left" vertical="top"/>
    </xf>
    <xf numFmtId="0" fontId="20" fillId="0" borderId="6" xfId="0" applyFont="1" applyFill="1" applyBorder="1" applyAlignment="1">
      <alignment horizontal="left" vertical="top"/>
    </xf>
    <xf numFmtId="0" fontId="20" fillId="0" borderId="25" xfId="0" applyFont="1" applyFill="1" applyBorder="1" applyAlignment="1">
      <alignment horizontal="left" vertical="top"/>
    </xf>
    <xf numFmtId="0" fontId="0" fillId="10" borderId="12"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10"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8"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25"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0" xfId="0" applyFill="1" applyBorder="1" applyAlignment="1">
      <alignment horizontal="center" vertical="center" wrapText="1"/>
    </xf>
    <xf numFmtId="0" fontId="0" fillId="10" borderId="6" xfId="0" applyFill="1" applyBorder="1" applyAlignment="1">
      <alignment horizontal="center" vertical="center" wrapText="1"/>
    </xf>
  </cellXfs>
  <cellStyles count="6">
    <cellStyle name="Hyperlink" xfId="5" builtinId="8"/>
    <cellStyle name="Normal" xfId="0" builtinId="0"/>
    <cellStyle name="Normal 2" xfId="1"/>
    <cellStyle name="Normal 2 2" xfId="4"/>
    <cellStyle name="Normal 3" xfId="2"/>
    <cellStyle name="Normal_ProjectChangeLogTemplatev1" xfId="3"/>
  </cellStyles>
  <dxfs count="153">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relative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bottom" textRotation="0" wrapText="1" indent="0" relativeIndent="255"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vertical/>
        <horizontal/>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1"/>
        <name val="Cambria"/>
        <scheme val="none"/>
      </font>
      <fill>
        <patternFill patternType="solid">
          <fgColor indexed="64"/>
          <bgColor theme="4" tint="0.79998168889431442"/>
        </patternFill>
      </fill>
      <alignment horizontal="center" vertical="bottom" textRotation="0" wrapText="0" indent="0" relativeIndent="0" justifyLastLine="0" shrinkToFit="0" readingOrder="0"/>
      <border diagonalUp="0" diagonalDown="0" outline="0">
        <left style="thin">
          <color indexed="64"/>
        </left>
        <right style="thin">
          <color indexed="64"/>
        </right>
        <top/>
        <bottom/>
      </border>
    </dxf>
    <dxf>
      <font>
        <strike val="0"/>
        <outline val="0"/>
        <shadow val="0"/>
        <u val="none"/>
        <vertAlign val="baseline"/>
        <sz val="8"/>
        <color theme="1"/>
        <name val="EYInterstate Light"/>
        <scheme val="none"/>
      </font>
      <fill>
        <patternFill patternType="none">
          <fgColor indexed="64"/>
          <bgColor indexed="65"/>
        </patternFill>
      </fill>
      <alignment vertical="top" textRotation="0" wrapText="1" indent="0" relativeIndent="255" justifyLastLine="0" shrinkToFit="0" readingOrder="0"/>
      <border diagonalUp="0" diagonalDown="0" outline="0">
        <left style="thin">
          <color auto="1"/>
        </left>
        <right/>
        <top/>
        <bottom/>
      </border>
    </dxf>
    <dxf>
      <font>
        <b val="0"/>
        <i val="0"/>
        <strike val="0"/>
        <condense val="0"/>
        <extend val="0"/>
        <outline val="0"/>
        <shadow val="0"/>
        <u val="none"/>
        <vertAlign val="baseline"/>
        <sz val="9"/>
        <color theme="1"/>
        <name val="EYInterstate Light"/>
        <scheme val="none"/>
      </font>
      <numFmt numFmtId="164" formatCode="[$-409]d\-mmm\-yyyy;@"/>
      <alignment horizontal="general" vertical="top" textRotation="0" wrapText="1" indent="0" relativeIndent="0" justifyLastLine="0" shrinkToFit="0" readingOrder="0"/>
      <border diagonalUp="0" diagonalDown="0">
        <left style="thin">
          <color auto="1"/>
        </left>
        <right/>
        <top/>
        <bottom/>
        <vertical/>
        <horizontal/>
      </border>
    </dxf>
    <dxf>
      <font>
        <strike val="0"/>
        <outline val="0"/>
        <shadow val="0"/>
        <u val="none"/>
        <vertAlign val="baseline"/>
        <sz val="8"/>
        <color theme="1"/>
        <name val="EYInterstate Light"/>
        <scheme val="none"/>
      </font>
      <alignment vertical="top" textRotation="0" wrapText="1" indent="0" relativeIndent="255" justifyLastLine="0" shrinkToFit="0" readingOrder="0"/>
      <border diagonalUp="0" diagonalDown="0" outline="0">
        <left style="thin">
          <color auto="1"/>
        </left>
        <right style="thin">
          <color auto="1"/>
        </right>
        <top/>
        <bottom/>
      </border>
    </dxf>
    <dxf>
      <font>
        <strike val="0"/>
        <outline val="0"/>
        <shadow val="0"/>
        <u val="none"/>
        <vertAlign val="baseline"/>
        <sz val="8"/>
        <color theme="1"/>
        <name val="EYInterstate Light"/>
        <scheme val="none"/>
      </font>
      <alignment vertical="top" textRotation="0" wrapText="1" indent="0" relativeIndent="255" justifyLastLine="0" shrinkToFit="0" readingOrder="0"/>
      <border diagonalUp="0" diagonalDown="0" outline="0">
        <left style="thin">
          <color auto="1"/>
        </left>
        <right style="thin">
          <color auto="1"/>
        </right>
        <top/>
        <bottom/>
      </border>
    </dxf>
    <dxf>
      <font>
        <strike val="0"/>
        <outline val="0"/>
        <shadow val="0"/>
        <u val="none"/>
        <vertAlign val="baseline"/>
        <sz val="8"/>
        <color theme="1"/>
        <name val="EYInterstate Light"/>
        <scheme val="none"/>
      </font>
      <numFmt numFmtId="165" formatCode="dd\ mmm\ yyyy"/>
      <alignment horizontal="left" vertical="top" textRotation="0" wrapText="1" indent="0" relativeIndent="255"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8"/>
        <color theme="1"/>
        <name val="EYInterstate Light"/>
        <scheme val="none"/>
      </font>
      <alignment vertical="top" textRotation="0" wrapText="1" indent="0" relativeIndent="255"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EYInterstate Light"/>
        <scheme val="none"/>
      </font>
      <alignment horizontal="left" vertical="top" textRotation="0" wrapText="1" indent="0" relative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8"/>
        <color theme="1"/>
        <name val="EYInterstate Light"/>
        <scheme val="none"/>
      </font>
      <alignment horizontal="center" vertical="top" textRotation="0" wrapText="1" indent="0" relative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EYInterstate Light"/>
        <scheme val="none"/>
      </font>
      <alignment horizontal="center" vertical="top" textRotation="0" wrapText="1" indent="0" relativeIndent="0" justifyLastLine="0" shrinkToFit="0" readingOrder="0"/>
      <border diagonalUp="0" diagonalDown="0">
        <left/>
        <right style="thin">
          <color auto="1"/>
        </right>
        <top/>
        <bottom/>
        <vertical/>
        <horizontal/>
      </border>
    </dxf>
    <dxf>
      <font>
        <strike val="0"/>
        <outline val="0"/>
        <shadow val="0"/>
        <u val="none"/>
        <vertAlign val="baseline"/>
        <sz val="8"/>
        <color theme="1"/>
        <name val="EYInterstate Light"/>
        <scheme val="none"/>
      </font>
      <alignment horizontal="center" vertical="top" textRotation="0" wrapText="1" indent="0" relativeIndent="255" justifyLastLine="0" shrinkToFit="0" readingOrder="0"/>
      <border diagonalUp="0" diagonalDown="0" outline="0">
        <left/>
        <right style="thin">
          <color auto="1"/>
        </right>
        <top/>
        <bottom/>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8"/>
        <color theme="1"/>
        <name val="EYInterstate Light"/>
        <scheme val="none"/>
      </font>
      <fill>
        <patternFill patternType="none">
          <fgColor indexed="64"/>
          <bgColor indexed="65"/>
        </patternFill>
      </fill>
      <alignment vertical="top" textRotation="0" wrapText="1" indent="0" relativeIndent="255"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auto="1"/>
        <name val="EYInterstate Light"/>
        <scheme val="none"/>
      </font>
      <fill>
        <patternFill patternType="solid">
          <fgColor indexed="64"/>
          <bgColor indexed="22"/>
        </patternFill>
      </fill>
      <alignment horizontal="center" vertical="center" textRotation="0" wrapText="1" indent="0" relativeIndent="255"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EYInterstate Light"/>
        <scheme val="none"/>
      </font>
      <fill>
        <patternFill patternType="none">
          <fgColor indexed="64"/>
          <bgColor indexed="65"/>
        </patternFill>
      </fill>
      <alignment horizontal="general" vertical="top" textRotation="0" wrapText="1" indent="0" relativeIndent="255" justifyLastLine="0" shrinkToFit="0" readingOrder="0"/>
      <border diagonalUp="0" diagonalDown="0" outline="0">
        <left style="thin">
          <color auto="1"/>
        </left>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EYInterstate Light"/>
        <scheme val="none"/>
      </font>
      <alignment horizontal="general" vertical="top" textRotation="0" wrapText="1" indent="0" relativeIndent="255"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EYInterstate Light"/>
        <scheme val="none"/>
      </font>
      <alignment horizontal="general" vertical="top" textRotation="0" wrapText="1" indent="0" relativeIndent="255"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horizontal="general" vertical="top" textRotation="0" wrapText="1" indent="0" relativeIndent="255"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center" vertical="top" textRotation="0" wrapText="1" indent="0" relativeIndent="0"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EYInterstate Light"/>
        <scheme val="none"/>
      </font>
      <alignment horizontal="center" vertical="top" textRotation="0" wrapText="1" indent="0" relativeIndent="255" justifyLastLine="0" shrinkToFit="0" readingOrder="0"/>
      <border diagonalUp="0" diagonalDown="0" outline="0">
        <left/>
        <right style="thin">
          <color auto="1"/>
        </right>
        <top/>
        <bottom/>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9"/>
        <color theme="1"/>
        <name val="EYInterstate Light"/>
        <scheme val="none"/>
      </font>
      <fill>
        <patternFill patternType="none">
          <fgColor indexed="64"/>
          <bgColor indexed="65"/>
        </patternFill>
      </fill>
      <alignment horizontal="general" vertical="top" textRotation="0" wrapText="1" indent="0" relativeIndent="255"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EYInterstate Light"/>
        <scheme val="none"/>
      </font>
      <fill>
        <patternFill patternType="solid">
          <fgColor indexed="64"/>
          <bgColor indexed="22"/>
        </patternFill>
      </fill>
      <alignment horizontal="center" vertical="center" textRotation="0" wrapText="1" indent="0" relativeIndent="255"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Arial"/>
        <scheme val="none"/>
      </font>
      <border diagonalUp="0" diagonalDown="0">
        <left style="thin">
          <color auto="1"/>
        </left>
        <right/>
        <top/>
        <bottom/>
      </border>
    </dxf>
    <dxf>
      <font>
        <b val="0"/>
        <i val="0"/>
        <strike val="0"/>
        <condense val="0"/>
        <extend val="0"/>
        <outline val="0"/>
        <shadow val="0"/>
        <u val="none"/>
        <vertAlign val="baseline"/>
        <sz val="9"/>
        <color auto="1"/>
        <name val="Arial"/>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Arial"/>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EYInterstate Light"/>
        <scheme val="none"/>
      </font>
      <numFmt numFmtId="166" formatCode="[$-409]d\-mmm\-yy;@"/>
      <alignment textRotation="0" wrapText="1"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Arial"/>
        <scheme val="none"/>
      </font>
      <numFmt numFmtId="166" formatCode="[$-409]d\-mmm\-yy;@"/>
      <border diagonalUp="0" diagonalDown="0">
        <left style="thin">
          <color auto="1"/>
        </left>
        <right style="thin">
          <color auto="1"/>
        </right>
        <top/>
        <bottom/>
      </border>
    </dxf>
    <dxf>
      <font>
        <b val="0"/>
        <i val="0"/>
        <strike val="0"/>
        <condense val="0"/>
        <extend val="0"/>
        <outline val="0"/>
        <shadow val="0"/>
        <u val="none"/>
        <vertAlign val="baseline"/>
        <sz val="9"/>
        <color auto="1"/>
        <name val="EYInterstate Light"/>
        <scheme val="none"/>
      </font>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bottom/>
      </border>
    </dxf>
    <dxf>
      <font>
        <b val="0"/>
        <i val="0"/>
        <strike val="0"/>
        <condense val="0"/>
        <extend val="0"/>
        <outline val="0"/>
        <shadow val="0"/>
        <u val="none"/>
        <vertAlign val="baseline"/>
        <sz val="9"/>
        <color auto="1"/>
        <name val="EYInterstate Light"/>
        <scheme val="none"/>
      </font>
      <numFmt numFmtId="166" formatCode="[$-409]d\-mmm\-yy;@"/>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Arial"/>
        <scheme val="none"/>
      </font>
      <numFmt numFmtId="166" formatCode="[$-409]d\-mmm\-yy;@"/>
      <border diagonalUp="0" diagonalDown="0">
        <left style="thin">
          <color auto="1"/>
        </left>
        <right style="thin">
          <color auto="1"/>
        </right>
        <top/>
        <bottom/>
      </border>
    </dxf>
    <dxf>
      <font>
        <b val="0"/>
        <i val="0"/>
        <strike val="0"/>
        <condense val="0"/>
        <extend val="0"/>
        <outline val="0"/>
        <shadow val="0"/>
        <u val="none"/>
        <vertAlign val="baseline"/>
        <sz val="9"/>
        <color auto="1"/>
        <name val="Arial"/>
        <scheme val="none"/>
      </font>
      <alignment horizontal="general" textRotation="0" wrapText="1" indent="0" relativeIndent="255"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auto="1"/>
        <name val="EYInterstate Light"/>
        <scheme val="none"/>
      </font>
      <numFmt numFmtId="166" formatCode="[$-409]d\-mmm\-yy;@"/>
      <alignment horizontal="general" textRotation="0" wrapText="1" indent="0" relativeIndent="255"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Arial"/>
        <scheme val="none"/>
      </font>
      <alignment horizontal="center" vertical="bottom" textRotation="0" wrapText="0" indent="0" relative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vertical/>
        <horizontal/>
      </border>
    </dxf>
    <dxf>
      <font>
        <b val="0"/>
        <i val="0"/>
        <strike val="0"/>
        <condense val="0"/>
        <extend val="0"/>
        <outline val="0"/>
        <shadow val="0"/>
        <u val="none"/>
        <vertAlign val="baseline"/>
        <sz val="9"/>
        <color auto="1"/>
        <name val="EYInterstate Light"/>
        <scheme val="none"/>
      </font>
      <border diagonalUp="0" diagonalDown="0">
        <left style="thin">
          <color auto="1"/>
        </left>
        <right style="thin">
          <color auto="1"/>
        </right>
        <top/>
        <bottom/>
      </border>
    </dxf>
    <dxf>
      <font>
        <b val="0"/>
        <i val="0"/>
        <strike val="0"/>
        <condense val="0"/>
        <extend val="0"/>
        <outline val="0"/>
        <shadow val="0"/>
        <u val="none"/>
        <vertAlign val="baseline"/>
        <sz val="9"/>
        <color auto="1"/>
        <name val="EYInterstate Light"/>
        <scheme val="none"/>
      </font>
      <numFmt numFmtId="166" formatCode="[$-409]d\-mmm\-yy;@"/>
      <border diagonalUp="0" diagonalDown="0">
        <left style="thin">
          <color auto="1"/>
        </left>
        <right style="thin">
          <color auto="1"/>
        </right>
        <top/>
        <bottom/>
      </border>
    </dxf>
    <dxf>
      <font>
        <b val="0"/>
        <i val="0"/>
        <strike val="0"/>
        <condense val="0"/>
        <extend val="0"/>
        <outline val="0"/>
        <shadow val="0"/>
        <u val="none"/>
        <vertAlign val="baseline"/>
        <sz val="9"/>
        <color auto="1"/>
        <name val="EYInterstate Light"/>
        <scheme val="none"/>
      </font>
      <numFmt numFmtId="166" formatCode="[$-409]d\-mmm\-yy;@"/>
      <alignment horizontal="center" vertical="bottom" textRotation="0" wrapText="0" indent="0" relative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auto="1"/>
        <name val="Arial"/>
        <scheme val="none"/>
      </font>
      <alignment horizontal="center" vertical="bottom" textRotation="0" wrapText="0" indent="0" relativeIndent="0" justifyLastLine="0" shrinkToFit="0" readingOrder="0"/>
      <border diagonalUp="0" diagonalDown="0">
        <left/>
        <right style="thin">
          <color auto="1"/>
        </right>
        <top/>
        <bottom/>
      </border>
    </dxf>
    <dxf>
      <font>
        <b val="0"/>
        <i val="0"/>
        <strike val="0"/>
        <condense val="0"/>
        <extend val="0"/>
        <outline val="0"/>
        <shadow val="0"/>
        <u val="none"/>
        <vertAlign val="baseline"/>
        <sz val="10"/>
        <color auto="1"/>
        <name val="Arial"/>
        <scheme val="none"/>
      </font>
    </dxf>
    <dxf>
      <border outline="0">
        <bottom style="thin">
          <color indexed="64"/>
        </bottom>
      </border>
    </dxf>
    <dxf>
      <font>
        <b/>
        <i val="0"/>
        <strike val="0"/>
        <condense val="0"/>
        <extend val="0"/>
        <outline val="0"/>
        <shadow val="0"/>
        <u val="none"/>
        <vertAlign val="baseline"/>
        <sz val="9"/>
        <color auto="1"/>
        <name val="EYInterstate Light"/>
        <scheme val="none"/>
      </font>
      <numFmt numFmtId="166" formatCode="[$-409]d\-mmm\-yy;@"/>
      <fill>
        <patternFill patternType="solid">
          <fgColor indexed="64"/>
          <bgColor theme="2"/>
        </patternFill>
      </fill>
      <alignment horizontal="center" vertical="top" textRotation="0" wrapText="1" indent="0" relativeIndent="255" justifyLastLine="0" shrinkToFit="0" readingOrder="0"/>
      <border diagonalUp="0" diagonalDown="0" outline="0">
        <left style="thin">
          <color indexed="64"/>
        </left>
        <right style="thin">
          <color indexed="64"/>
        </right>
        <top/>
        <bottom/>
      </border>
    </dxf>
    <dxf>
      <fill>
        <patternFill>
          <bgColor rgb="FF00B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9"/>
        <color theme="1"/>
        <name val="EYInterstate Light"/>
        <scheme val="none"/>
      </font>
      <alignment horizontal="general"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horizontal="general"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EYInterstate Light"/>
        <scheme val="none"/>
      </font>
      <alignment horizontal="center" vertical="top" textRotation="0" wrapText="1" indent="0" relative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9"/>
        <color theme="1"/>
        <name val="EYInterstate Light"/>
        <scheme val="none"/>
      </font>
      <alignment horizontal="center" vertical="top" textRotation="0" wrapText="1" indent="0" relative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9"/>
        <color theme="1"/>
        <name val="EYInterstate Light"/>
        <scheme val="none"/>
      </font>
      <alignment horizontal="center" vertical="top" textRotation="0" wrapText="1" indent="0" relativeIndent="0" justifyLastLine="0" shrinkToFit="0" readingOrder="0"/>
      <border diagonalUp="0" diagonalDown="0">
        <left style="thin">
          <color auto="1"/>
        </left>
        <right style="thin">
          <color auto="1"/>
        </right>
        <top/>
        <bottom/>
        <vertical/>
        <horizontal/>
      </border>
    </dxf>
    <dxf>
      <font>
        <strike val="0"/>
        <outline val="0"/>
        <shadow val="0"/>
        <u val="none"/>
        <vertAlign val="baseline"/>
        <sz val="9"/>
        <color theme="1"/>
        <name val="EYInterstate Light"/>
        <scheme val="none"/>
      </font>
      <alignment horizontal="center" vertical="top" textRotation="0" wrapText="1" indent="0" relativeIndent="255" justifyLastLine="0" shrinkToFit="0" readingOrder="0"/>
      <border diagonalUp="0" diagonalDown="0">
        <left/>
        <right style="thin">
          <color auto="1"/>
        </right>
        <top/>
        <bottom/>
      </border>
    </dxf>
    <dxf>
      <border diagonalUp="0" diagonalDown="0">
        <left style="thin">
          <color auto="1"/>
        </left>
        <right style="thin">
          <color auto="1"/>
        </right>
        <top style="thin">
          <color auto="1"/>
        </top>
        <bottom style="thin">
          <color auto="1"/>
        </bottom>
      </border>
    </dxf>
    <dxf>
      <font>
        <strike val="0"/>
        <outline val="0"/>
        <shadow val="0"/>
        <u val="none"/>
        <vertAlign val="baseline"/>
        <sz val="9"/>
        <color theme="1"/>
        <name val="EYInterstate Light"/>
        <scheme val="none"/>
      </font>
      <alignment vertical="top" textRotation="0" wrapText="1" indent="0" relativeIndent="255" justifyLastLine="0" shrinkToFit="0" readingOrder="0"/>
    </dxf>
    <dxf>
      <font>
        <b/>
        <i val="0"/>
        <strike val="0"/>
        <condense val="0"/>
        <extend val="0"/>
        <outline val="0"/>
        <shadow val="0"/>
        <u val="none"/>
        <vertAlign val="baseline"/>
        <sz val="9"/>
        <color theme="1"/>
        <name val="EYInterstate Light"/>
        <scheme val="none"/>
      </font>
      <fill>
        <patternFill patternType="none">
          <fgColor indexed="64"/>
          <bgColor indexed="65"/>
        </patternFill>
      </fill>
      <alignment horizontal="center" vertical="center" textRotation="0" wrapText="1" indent="0" relativeIndent="255" justifyLastLine="0" shrinkToFit="0" readingOrder="0"/>
      <border diagonalUp="0" diagonalDown="0" outline="0">
        <left style="thin">
          <color auto="1"/>
        </left>
        <right style="thin">
          <color auto="1"/>
        </right>
        <top/>
        <bottom/>
      </border>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97FC8"/>
        </patternFill>
      </fill>
    </dxf>
    <dxf>
      <fill>
        <patternFill>
          <bgColor theme="6" tint="0.59996337778862885"/>
        </patternFill>
      </fill>
    </dxf>
    <dxf>
      <fill>
        <patternFill>
          <bgColor theme="9" tint="0.59996337778862885"/>
        </patternFill>
      </fill>
    </dxf>
    <dxf>
      <fill>
        <patternFill>
          <bgColor theme="8" tint="0.59996337778862885"/>
        </patternFill>
      </fill>
    </dxf>
    <dxf>
      <fill>
        <patternFill>
          <bgColor theme="7" tint="0.59996337778862885"/>
        </patternFill>
      </fill>
    </dxf>
    <dxf>
      <fill>
        <patternFill>
          <bgColor theme="6" tint="0.59996337778862885"/>
        </patternFill>
      </fill>
    </dxf>
    <dxf>
      <fill>
        <patternFill>
          <bgColor theme="2" tint="-0.24994659260841701"/>
        </patternFill>
      </fill>
    </dxf>
    <dxf>
      <fill>
        <patternFill>
          <bgColor rgb="FFFFFFA7"/>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s>
  <tableStyles count="0" defaultTableStyle="TableStyleMedium9" defaultPivotStyle="PivotStyleLight16"/>
  <colors>
    <mruColors>
      <color rgb="FFFFFF99"/>
      <color rgb="FF333399"/>
      <color rgb="FF6699FF"/>
      <color rgb="FF777777"/>
      <color rgb="FF800080"/>
      <color rgb="FF339933"/>
      <color rgb="FFFFCC00"/>
      <color rgb="FFFF9900"/>
      <color rgb="FFA85893"/>
      <color rgb="FFCC000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autoTitleDeleted val="1"/>
    <c:plotArea>
      <c:layout/>
      <c:lineChart>
        <c:grouping val="standard"/>
        <c:ser>
          <c:idx val="0"/>
          <c:order val="0"/>
          <c:tx>
            <c:strRef>
              <c:f>'RAID Summary'!$A$2</c:f>
              <c:strCache>
                <c:ptCount val="1"/>
                <c:pt idx="0">
                  <c:v>Total Open Risks</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Summary'!$B$2:$V$2</c:f>
              <c:numCache>
                <c:formatCode>General</c:formatCode>
                <c:ptCount val="21"/>
                <c:pt idx="0">
                  <c:v>40</c:v>
                </c:pt>
                <c:pt idx="1">
                  <c:v>34</c:v>
                </c:pt>
                <c:pt idx="2">
                  <c:v>33</c:v>
                </c:pt>
                <c:pt idx="3">
                  <c:v>30</c:v>
                </c:pt>
                <c:pt idx="4">
                  <c:v>32</c:v>
                </c:pt>
                <c:pt idx="5">
                  <c:v>32</c:v>
                </c:pt>
                <c:pt idx="6">
                  <c:v>30</c:v>
                </c:pt>
                <c:pt idx="7">
                  <c:v>30</c:v>
                </c:pt>
                <c:pt idx="8">
                  <c:v>32</c:v>
                </c:pt>
                <c:pt idx="9">
                  <c:v>39</c:v>
                </c:pt>
                <c:pt idx="10">
                  <c:v>45</c:v>
                </c:pt>
                <c:pt idx="11">
                  <c:v>38</c:v>
                </c:pt>
                <c:pt idx="12">
                  <c:v>37</c:v>
                </c:pt>
                <c:pt idx="13">
                  <c:v>32</c:v>
                </c:pt>
                <c:pt idx="14">
                  <c:v>30</c:v>
                </c:pt>
                <c:pt idx="15">
                  <c:v>29</c:v>
                </c:pt>
                <c:pt idx="16">
                  <c:v>32</c:v>
                </c:pt>
                <c:pt idx="17">
                  <c:v>32</c:v>
                </c:pt>
                <c:pt idx="18">
                  <c:v>32</c:v>
                </c:pt>
                <c:pt idx="19">
                  <c:v>35</c:v>
                </c:pt>
                <c:pt idx="20">
                  <c:v>35</c:v>
                </c:pt>
              </c:numCache>
            </c:numRef>
          </c:val>
        </c:ser>
        <c:ser>
          <c:idx val="1"/>
          <c:order val="1"/>
          <c:tx>
            <c:strRef>
              <c:f>'RAID Summary'!$A$3</c:f>
              <c:strCache>
                <c:ptCount val="1"/>
                <c:pt idx="0">
                  <c:v>Total Open High or Critical Risks</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Summary'!$B$3:$V$3</c:f>
              <c:numCache>
                <c:formatCode>General</c:formatCode>
                <c:ptCount val="21"/>
                <c:pt idx="0">
                  <c:v>15</c:v>
                </c:pt>
                <c:pt idx="1">
                  <c:v>10</c:v>
                </c:pt>
                <c:pt idx="2">
                  <c:v>13</c:v>
                </c:pt>
                <c:pt idx="3">
                  <c:v>13</c:v>
                </c:pt>
                <c:pt idx="4">
                  <c:v>14</c:v>
                </c:pt>
                <c:pt idx="5">
                  <c:v>14</c:v>
                </c:pt>
                <c:pt idx="6">
                  <c:v>16</c:v>
                </c:pt>
                <c:pt idx="7">
                  <c:v>16</c:v>
                </c:pt>
                <c:pt idx="8">
                  <c:v>21</c:v>
                </c:pt>
                <c:pt idx="9">
                  <c:v>28</c:v>
                </c:pt>
                <c:pt idx="10">
                  <c:v>25</c:v>
                </c:pt>
                <c:pt idx="11">
                  <c:v>19</c:v>
                </c:pt>
                <c:pt idx="12">
                  <c:v>17</c:v>
                </c:pt>
                <c:pt idx="13">
                  <c:v>14</c:v>
                </c:pt>
                <c:pt idx="14">
                  <c:v>14</c:v>
                </c:pt>
                <c:pt idx="15">
                  <c:v>14</c:v>
                </c:pt>
                <c:pt idx="16">
                  <c:v>17</c:v>
                </c:pt>
                <c:pt idx="17">
                  <c:v>16</c:v>
                </c:pt>
                <c:pt idx="18">
                  <c:v>16</c:v>
                </c:pt>
                <c:pt idx="19">
                  <c:v>15</c:v>
                </c:pt>
                <c:pt idx="20">
                  <c:v>15</c:v>
                </c:pt>
              </c:numCache>
            </c:numRef>
          </c:val>
        </c:ser>
        <c:ser>
          <c:idx val="2"/>
          <c:order val="2"/>
          <c:tx>
            <c:strRef>
              <c:f>'RAID Summary'!$A$4</c:f>
              <c:strCache>
                <c:ptCount val="1"/>
                <c:pt idx="0">
                  <c:v>Risks: Missed Required Resolution Date</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Summary'!$B$4:$V$4</c:f>
              <c:numCache>
                <c:formatCode>General</c:formatCode>
                <c:ptCount val="21"/>
                <c:pt idx="2">
                  <c:v>2</c:v>
                </c:pt>
                <c:pt idx="3">
                  <c:v>3</c:v>
                </c:pt>
                <c:pt idx="4">
                  <c:v>5</c:v>
                </c:pt>
                <c:pt idx="5">
                  <c:v>7</c:v>
                </c:pt>
                <c:pt idx="6">
                  <c:v>8</c:v>
                </c:pt>
                <c:pt idx="7">
                  <c:v>10</c:v>
                </c:pt>
                <c:pt idx="8">
                  <c:v>9</c:v>
                </c:pt>
                <c:pt idx="9">
                  <c:v>13</c:v>
                </c:pt>
                <c:pt idx="10">
                  <c:v>9</c:v>
                </c:pt>
                <c:pt idx="11">
                  <c:v>2</c:v>
                </c:pt>
                <c:pt idx="12">
                  <c:v>2</c:v>
                </c:pt>
                <c:pt idx="13">
                  <c:v>1</c:v>
                </c:pt>
                <c:pt idx="14">
                  <c:v>1</c:v>
                </c:pt>
                <c:pt idx="15">
                  <c:v>0</c:v>
                </c:pt>
                <c:pt idx="16">
                  <c:v>1</c:v>
                </c:pt>
                <c:pt idx="17">
                  <c:v>1</c:v>
                </c:pt>
                <c:pt idx="18">
                  <c:v>0</c:v>
                </c:pt>
                <c:pt idx="19">
                  <c:v>0</c:v>
                </c:pt>
                <c:pt idx="20">
                  <c:v>0</c:v>
                </c:pt>
              </c:numCache>
            </c:numRef>
          </c:val>
        </c:ser>
        <c:ser>
          <c:idx val="3"/>
          <c:order val="3"/>
          <c:tx>
            <c:strRef>
              <c:f>'RAID Summary'!$A$5</c:f>
              <c:strCache>
                <c:ptCount val="1"/>
                <c:pt idx="0">
                  <c:v>Total Open Issues</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Summary'!$B$5:$V$5</c:f>
              <c:numCache>
                <c:formatCode>General</c:formatCode>
                <c:ptCount val="21"/>
                <c:pt idx="0">
                  <c:v>37</c:v>
                </c:pt>
                <c:pt idx="1">
                  <c:v>37</c:v>
                </c:pt>
                <c:pt idx="2">
                  <c:v>42</c:v>
                </c:pt>
                <c:pt idx="3">
                  <c:v>42</c:v>
                </c:pt>
                <c:pt idx="4">
                  <c:v>45</c:v>
                </c:pt>
                <c:pt idx="5">
                  <c:v>48</c:v>
                </c:pt>
                <c:pt idx="6">
                  <c:v>52</c:v>
                </c:pt>
                <c:pt idx="7">
                  <c:v>43</c:v>
                </c:pt>
                <c:pt idx="8">
                  <c:v>49</c:v>
                </c:pt>
                <c:pt idx="9">
                  <c:v>51</c:v>
                </c:pt>
                <c:pt idx="10">
                  <c:v>55</c:v>
                </c:pt>
                <c:pt idx="11">
                  <c:v>51</c:v>
                </c:pt>
                <c:pt idx="12">
                  <c:v>53</c:v>
                </c:pt>
                <c:pt idx="13">
                  <c:v>46</c:v>
                </c:pt>
                <c:pt idx="14">
                  <c:v>47</c:v>
                </c:pt>
                <c:pt idx="15">
                  <c:v>44</c:v>
                </c:pt>
                <c:pt idx="16">
                  <c:v>44</c:v>
                </c:pt>
                <c:pt idx="17">
                  <c:v>42</c:v>
                </c:pt>
                <c:pt idx="18">
                  <c:v>41</c:v>
                </c:pt>
                <c:pt idx="19">
                  <c:v>37</c:v>
                </c:pt>
                <c:pt idx="20">
                  <c:v>37</c:v>
                </c:pt>
              </c:numCache>
            </c:numRef>
          </c:val>
        </c:ser>
        <c:ser>
          <c:idx val="4"/>
          <c:order val="4"/>
          <c:tx>
            <c:strRef>
              <c:f>'RAID Summary'!$A$6</c:f>
              <c:strCache>
                <c:ptCount val="1"/>
                <c:pt idx="0">
                  <c:v>Total Open High or Critical Issues</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Summary'!$B$6:$V$6</c:f>
              <c:numCache>
                <c:formatCode>General</c:formatCode>
                <c:ptCount val="21"/>
                <c:pt idx="2">
                  <c:v>25</c:v>
                </c:pt>
                <c:pt idx="3">
                  <c:v>25</c:v>
                </c:pt>
                <c:pt idx="4">
                  <c:v>28</c:v>
                </c:pt>
                <c:pt idx="5">
                  <c:v>33</c:v>
                </c:pt>
                <c:pt idx="6">
                  <c:v>39</c:v>
                </c:pt>
                <c:pt idx="7">
                  <c:v>31</c:v>
                </c:pt>
                <c:pt idx="8">
                  <c:v>37</c:v>
                </c:pt>
                <c:pt idx="9">
                  <c:v>40</c:v>
                </c:pt>
                <c:pt idx="10">
                  <c:v>45</c:v>
                </c:pt>
                <c:pt idx="11">
                  <c:v>42</c:v>
                </c:pt>
                <c:pt idx="12">
                  <c:v>45</c:v>
                </c:pt>
                <c:pt idx="13">
                  <c:v>37</c:v>
                </c:pt>
                <c:pt idx="14">
                  <c:v>37</c:v>
                </c:pt>
                <c:pt idx="15">
                  <c:v>36</c:v>
                </c:pt>
                <c:pt idx="16">
                  <c:v>36</c:v>
                </c:pt>
                <c:pt idx="17">
                  <c:v>34</c:v>
                </c:pt>
                <c:pt idx="18">
                  <c:v>33</c:v>
                </c:pt>
                <c:pt idx="19">
                  <c:v>29</c:v>
                </c:pt>
                <c:pt idx="20">
                  <c:v>29</c:v>
                </c:pt>
              </c:numCache>
            </c:numRef>
          </c:val>
        </c:ser>
        <c:ser>
          <c:idx val="5"/>
          <c:order val="5"/>
          <c:tx>
            <c:strRef>
              <c:f>'RAID Summary'!$A$7</c:f>
              <c:strCache>
                <c:ptCount val="1"/>
                <c:pt idx="0">
                  <c:v>Issues: Missed Required Resolution Date</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Summary'!$B$7:$V$7</c:f>
              <c:numCache>
                <c:formatCode>General</c:formatCode>
                <c:ptCount val="21"/>
                <c:pt idx="2">
                  <c:v>13</c:v>
                </c:pt>
                <c:pt idx="3">
                  <c:v>12</c:v>
                </c:pt>
                <c:pt idx="4">
                  <c:v>7</c:v>
                </c:pt>
                <c:pt idx="5">
                  <c:v>13</c:v>
                </c:pt>
                <c:pt idx="6">
                  <c:v>16</c:v>
                </c:pt>
                <c:pt idx="7">
                  <c:v>14</c:v>
                </c:pt>
                <c:pt idx="8">
                  <c:v>12</c:v>
                </c:pt>
                <c:pt idx="9">
                  <c:v>22</c:v>
                </c:pt>
                <c:pt idx="10">
                  <c:v>20</c:v>
                </c:pt>
                <c:pt idx="11">
                  <c:v>14</c:v>
                </c:pt>
                <c:pt idx="12">
                  <c:v>16</c:v>
                </c:pt>
                <c:pt idx="13">
                  <c:v>13</c:v>
                </c:pt>
                <c:pt idx="14">
                  <c:v>8</c:v>
                </c:pt>
                <c:pt idx="15">
                  <c:v>6</c:v>
                </c:pt>
                <c:pt idx="16">
                  <c:v>4</c:v>
                </c:pt>
                <c:pt idx="17">
                  <c:v>7</c:v>
                </c:pt>
                <c:pt idx="18">
                  <c:v>6</c:v>
                </c:pt>
                <c:pt idx="19">
                  <c:v>3</c:v>
                </c:pt>
                <c:pt idx="20">
                  <c:v>4</c:v>
                </c:pt>
              </c:numCache>
            </c:numRef>
          </c:val>
        </c:ser>
        <c:ser>
          <c:idx val="6"/>
          <c:order val="6"/>
          <c:tx>
            <c:strRef>
              <c:f>'RAID Summary'!$A$8</c:f>
              <c:strCache>
                <c:ptCount val="1"/>
                <c:pt idx="0">
                  <c:v>Total Assumptions</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Summary'!$B$8:$V$8</c:f>
              <c:numCache>
                <c:formatCode>General</c:formatCode>
                <c:ptCount val="21"/>
                <c:pt idx="0">
                  <c:v>78</c:v>
                </c:pt>
                <c:pt idx="1">
                  <c:v>70</c:v>
                </c:pt>
                <c:pt idx="2">
                  <c:v>67</c:v>
                </c:pt>
                <c:pt idx="3">
                  <c:v>67</c:v>
                </c:pt>
                <c:pt idx="4">
                  <c:v>68</c:v>
                </c:pt>
                <c:pt idx="5">
                  <c:v>69</c:v>
                </c:pt>
                <c:pt idx="6">
                  <c:v>69</c:v>
                </c:pt>
                <c:pt idx="7">
                  <c:v>69</c:v>
                </c:pt>
                <c:pt idx="8">
                  <c:v>63</c:v>
                </c:pt>
                <c:pt idx="9">
                  <c:v>63</c:v>
                </c:pt>
                <c:pt idx="10">
                  <c:v>63</c:v>
                </c:pt>
                <c:pt idx="11">
                  <c:v>63</c:v>
                </c:pt>
                <c:pt idx="12">
                  <c:v>63</c:v>
                </c:pt>
                <c:pt idx="13">
                  <c:v>63</c:v>
                </c:pt>
                <c:pt idx="14">
                  <c:v>62</c:v>
                </c:pt>
                <c:pt idx="15">
                  <c:v>62</c:v>
                </c:pt>
                <c:pt idx="16">
                  <c:v>62</c:v>
                </c:pt>
                <c:pt idx="17">
                  <c:v>62</c:v>
                </c:pt>
                <c:pt idx="18">
                  <c:v>62</c:v>
                </c:pt>
                <c:pt idx="19">
                  <c:v>62</c:v>
                </c:pt>
                <c:pt idx="20">
                  <c:v>54</c:v>
                </c:pt>
              </c:numCache>
            </c:numRef>
          </c:val>
        </c:ser>
        <c:ser>
          <c:idx val="7"/>
          <c:order val="7"/>
          <c:tx>
            <c:strRef>
              <c:f>'RAID Summary'!$A$9</c:f>
              <c:strCache>
                <c:ptCount val="1"/>
                <c:pt idx="0">
                  <c:v>Total Decisions</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Summary'!$B$9:$V$9</c:f>
              <c:numCache>
                <c:formatCode>General</c:formatCode>
                <c:ptCount val="21"/>
                <c:pt idx="0">
                  <c:v>153</c:v>
                </c:pt>
                <c:pt idx="1">
                  <c:v>153</c:v>
                </c:pt>
                <c:pt idx="2">
                  <c:v>154</c:v>
                </c:pt>
                <c:pt idx="3">
                  <c:v>154</c:v>
                </c:pt>
                <c:pt idx="4">
                  <c:v>161</c:v>
                </c:pt>
                <c:pt idx="5">
                  <c:v>182</c:v>
                </c:pt>
                <c:pt idx="6">
                  <c:v>183</c:v>
                </c:pt>
                <c:pt idx="7">
                  <c:v>179</c:v>
                </c:pt>
                <c:pt idx="8">
                  <c:v>179</c:v>
                </c:pt>
                <c:pt idx="9">
                  <c:v>179</c:v>
                </c:pt>
                <c:pt idx="10">
                  <c:v>181</c:v>
                </c:pt>
                <c:pt idx="11">
                  <c:v>194</c:v>
                </c:pt>
                <c:pt idx="12">
                  <c:v>192</c:v>
                </c:pt>
                <c:pt idx="13">
                  <c:v>191</c:v>
                </c:pt>
                <c:pt idx="14">
                  <c:v>192</c:v>
                </c:pt>
                <c:pt idx="15">
                  <c:v>193</c:v>
                </c:pt>
                <c:pt idx="16">
                  <c:v>193</c:v>
                </c:pt>
                <c:pt idx="17">
                  <c:v>191</c:v>
                </c:pt>
                <c:pt idx="18">
                  <c:v>191</c:v>
                </c:pt>
                <c:pt idx="19">
                  <c:v>191</c:v>
                </c:pt>
                <c:pt idx="20">
                  <c:v>176</c:v>
                </c:pt>
              </c:numCache>
            </c:numRef>
          </c:val>
        </c:ser>
        <c:ser>
          <c:idx val="8"/>
          <c:order val="8"/>
          <c:tx>
            <c:strRef>
              <c:f>'RAID Summary'!$A$10</c:f>
              <c:strCache>
                <c:ptCount val="1"/>
                <c:pt idx="0">
                  <c:v>Total Pending Decisions</c:v>
                </c:pt>
              </c:strCache>
            </c:strRef>
          </c:tx>
          <c:cat>
            <c:numRef>
              <c:f>'RAID Summary'!$B$1:$V$1</c:f>
              <c:numCache>
                <c:formatCode>dd\-mmm\-yy</c:formatCode>
                <c:ptCount val="21"/>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pt idx="20">
                  <c:v>40988</c:v>
                </c:pt>
              </c:numCache>
            </c:numRef>
          </c:cat>
          <c:val>
            <c:numRef>
              <c:f>'RAID Summary'!$B$10:$V$10</c:f>
              <c:numCache>
                <c:formatCode>General</c:formatCode>
                <c:ptCount val="21"/>
                <c:pt idx="0">
                  <c:v>24</c:v>
                </c:pt>
                <c:pt idx="1">
                  <c:v>24</c:v>
                </c:pt>
                <c:pt idx="2">
                  <c:v>25</c:v>
                </c:pt>
                <c:pt idx="3">
                  <c:v>24</c:v>
                </c:pt>
                <c:pt idx="4">
                  <c:v>30</c:v>
                </c:pt>
                <c:pt idx="5">
                  <c:v>39</c:v>
                </c:pt>
                <c:pt idx="6">
                  <c:v>40</c:v>
                </c:pt>
                <c:pt idx="7">
                  <c:v>29</c:v>
                </c:pt>
                <c:pt idx="8">
                  <c:v>28</c:v>
                </c:pt>
                <c:pt idx="9">
                  <c:v>27</c:v>
                </c:pt>
                <c:pt idx="10">
                  <c:v>22</c:v>
                </c:pt>
                <c:pt idx="11">
                  <c:v>33</c:v>
                </c:pt>
                <c:pt idx="12">
                  <c:v>28</c:v>
                </c:pt>
                <c:pt idx="13">
                  <c:v>26</c:v>
                </c:pt>
                <c:pt idx="14">
                  <c:v>26</c:v>
                </c:pt>
                <c:pt idx="15">
                  <c:v>26</c:v>
                </c:pt>
                <c:pt idx="16">
                  <c:v>26</c:v>
                </c:pt>
                <c:pt idx="17">
                  <c:v>23</c:v>
                </c:pt>
                <c:pt idx="18">
                  <c:v>22</c:v>
                </c:pt>
                <c:pt idx="19">
                  <c:v>21</c:v>
                </c:pt>
                <c:pt idx="20">
                  <c:v>21</c:v>
                </c:pt>
              </c:numCache>
            </c:numRef>
          </c:val>
        </c:ser>
        <c:marker val="1"/>
        <c:axId val="159701248"/>
        <c:axId val="152240128"/>
      </c:lineChart>
      <c:dateAx>
        <c:axId val="159701248"/>
        <c:scaling>
          <c:orientation val="minMax"/>
        </c:scaling>
        <c:axPos val="b"/>
        <c:numFmt formatCode="dd\-mmm\-yy" sourceLinked="1"/>
        <c:majorTickMark val="none"/>
        <c:tickLblPos val="nextTo"/>
        <c:txPr>
          <a:bodyPr/>
          <a:lstStyle/>
          <a:p>
            <a:pPr>
              <a:defRPr sz="800"/>
            </a:pPr>
            <a:endParaRPr lang="en-US"/>
          </a:p>
        </c:txPr>
        <c:crossAx val="152240128"/>
        <c:crosses val="autoZero"/>
        <c:auto val="1"/>
        <c:lblOffset val="100"/>
        <c:baseTimeUnit val="days"/>
        <c:majorUnit val="7"/>
        <c:majorTimeUnit val="days"/>
      </c:dateAx>
      <c:valAx>
        <c:axId val="152240128"/>
        <c:scaling>
          <c:orientation val="minMax"/>
        </c:scaling>
        <c:axPos val="l"/>
        <c:majorGridlines/>
        <c:numFmt formatCode="General" sourceLinked="1"/>
        <c:majorTickMark val="none"/>
        <c:tickLblPos val="nextTo"/>
        <c:txPr>
          <a:bodyPr/>
          <a:lstStyle/>
          <a:p>
            <a:pPr>
              <a:defRPr sz="800"/>
            </a:pPr>
            <a:endParaRPr lang="en-US"/>
          </a:p>
        </c:txPr>
        <c:crossAx val="159701248"/>
        <c:crosses val="autoZero"/>
        <c:crossBetween val="between"/>
      </c:valAx>
    </c:plotArea>
    <c:legend>
      <c:legendPos val="r"/>
      <c:txPr>
        <a:bodyPr/>
        <a:lstStyle/>
        <a:p>
          <a:pPr>
            <a:defRPr sz="800"/>
          </a:pPr>
          <a:endParaRPr lang="en-US"/>
        </a:p>
      </c:txP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200"/>
            </a:pPr>
            <a:r>
              <a:rPr lang="en-US" sz="1200"/>
              <a:t>Risks</a:t>
            </a:r>
          </a:p>
        </c:rich>
      </c:tx>
    </c:title>
    <c:plotArea>
      <c:layout/>
      <c:lineChart>
        <c:grouping val="standard"/>
        <c:ser>
          <c:idx val="0"/>
          <c:order val="0"/>
          <c:tx>
            <c:strRef>
              <c:f>'RAID Summary'!$A$2</c:f>
              <c:strCache>
                <c:ptCount val="1"/>
                <c:pt idx="0">
                  <c:v>Total Open Risks</c:v>
                </c:pt>
              </c:strCache>
            </c:strRef>
          </c:tx>
          <c:marker>
            <c:symbol val="none"/>
          </c:marker>
          <c:cat>
            <c:numRef>
              <c:f>'RAID Summary'!$B$1:$U$1</c:f>
              <c:numCache>
                <c:formatCode>dd\-mmm\-yy</c:formatCode>
                <c:ptCount val="20"/>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numCache>
            </c:numRef>
          </c:cat>
          <c:val>
            <c:numRef>
              <c:f>'RAID Summary'!$B$2:$U$2</c:f>
              <c:numCache>
                <c:formatCode>General</c:formatCode>
                <c:ptCount val="20"/>
                <c:pt idx="0">
                  <c:v>40</c:v>
                </c:pt>
                <c:pt idx="1">
                  <c:v>34</c:v>
                </c:pt>
                <c:pt idx="2">
                  <c:v>33</c:v>
                </c:pt>
                <c:pt idx="3">
                  <c:v>30</c:v>
                </c:pt>
                <c:pt idx="4">
                  <c:v>32</c:v>
                </c:pt>
                <c:pt idx="5">
                  <c:v>32</c:v>
                </c:pt>
                <c:pt idx="6">
                  <c:v>30</c:v>
                </c:pt>
                <c:pt idx="7">
                  <c:v>30</c:v>
                </c:pt>
                <c:pt idx="8">
                  <c:v>32</c:v>
                </c:pt>
                <c:pt idx="9">
                  <c:v>39</c:v>
                </c:pt>
                <c:pt idx="10">
                  <c:v>45</c:v>
                </c:pt>
                <c:pt idx="11">
                  <c:v>38</c:v>
                </c:pt>
                <c:pt idx="12">
                  <c:v>37</c:v>
                </c:pt>
                <c:pt idx="13">
                  <c:v>32</c:v>
                </c:pt>
                <c:pt idx="14">
                  <c:v>30</c:v>
                </c:pt>
                <c:pt idx="15">
                  <c:v>29</c:v>
                </c:pt>
                <c:pt idx="16">
                  <c:v>32</c:v>
                </c:pt>
                <c:pt idx="17">
                  <c:v>32</c:v>
                </c:pt>
                <c:pt idx="18">
                  <c:v>32</c:v>
                </c:pt>
                <c:pt idx="19">
                  <c:v>35</c:v>
                </c:pt>
              </c:numCache>
            </c:numRef>
          </c:val>
        </c:ser>
        <c:ser>
          <c:idx val="1"/>
          <c:order val="1"/>
          <c:tx>
            <c:strRef>
              <c:f>'RAID Summary'!$A$4</c:f>
              <c:strCache>
                <c:ptCount val="1"/>
                <c:pt idx="0">
                  <c:v>Risks: Missed Required Resolution Date</c:v>
                </c:pt>
              </c:strCache>
            </c:strRef>
          </c:tx>
          <c:marker>
            <c:symbol val="none"/>
          </c:marker>
          <c:cat>
            <c:numRef>
              <c:f>'RAID Summary'!$B$1:$U$1</c:f>
              <c:numCache>
                <c:formatCode>dd\-mmm\-yy</c:formatCode>
                <c:ptCount val="20"/>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numCache>
            </c:numRef>
          </c:cat>
          <c:val>
            <c:numRef>
              <c:f>'RAID Summary'!$B$4:$U$4</c:f>
              <c:numCache>
                <c:formatCode>General</c:formatCode>
                <c:ptCount val="20"/>
                <c:pt idx="2">
                  <c:v>2</c:v>
                </c:pt>
                <c:pt idx="3">
                  <c:v>3</c:v>
                </c:pt>
                <c:pt idx="4">
                  <c:v>5</c:v>
                </c:pt>
                <c:pt idx="5">
                  <c:v>7</c:v>
                </c:pt>
                <c:pt idx="6">
                  <c:v>8</c:v>
                </c:pt>
                <c:pt idx="7">
                  <c:v>10</c:v>
                </c:pt>
                <c:pt idx="8">
                  <c:v>9</c:v>
                </c:pt>
                <c:pt idx="9">
                  <c:v>13</c:v>
                </c:pt>
                <c:pt idx="10">
                  <c:v>9</c:v>
                </c:pt>
                <c:pt idx="11">
                  <c:v>2</c:v>
                </c:pt>
                <c:pt idx="12">
                  <c:v>2</c:v>
                </c:pt>
                <c:pt idx="13">
                  <c:v>1</c:v>
                </c:pt>
                <c:pt idx="14">
                  <c:v>1</c:v>
                </c:pt>
                <c:pt idx="15">
                  <c:v>0</c:v>
                </c:pt>
                <c:pt idx="16">
                  <c:v>1</c:v>
                </c:pt>
                <c:pt idx="17">
                  <c:v>1</c:v>
                </c:pt>
                <c:pt idx="18">
                  <c:v>0</c:v>
                </c:pt>
                <c:pt idx="19">
                  <c:v>0</c:v>
                </c:pt>
              </c:numCache>
            </c:numRef>
          </c:val>
        </c:ser>
        <c:marker val="1"/>
        <c:axId val="159650176"/>
        <c:axId val="159651712"/>
      </c:lineChart>
      <c:dateAx>
        <c:axId val="159650176"/>
        <c:scaling>
          <c:orientation val="minMax"/>
        </c:scaling>
        <c:axPos val="b"/>
        <c:numFmt formatCode="dd\-mmm\-yy" sourceLinked="1"/>
        <c:majorTickMark val="none"/>
        <c:tickLblPos val="nextTo"/>
        <c:txPr>
          <a:bodyPr/>
          <a:lstStyle/>
          <a:p>
            <a:pPr>
              <a:defRPr sz="800"/>
            </a:pPr>
            <a:endParaRPr lang="en-US"/>
          </a:p>
        </c:txPr>
        <c:crossAx val="159651712"/>
        <c:crosses val="autoZero"/>
        <c:auto val="1"/>
        <c:lblOffset val="100"/>
        <c:baseTimeUnit val="days"/>
        <c:majorUnit val="7"/>
        <c:majorTimeUnit val="days"/>
      </c:dateAx>
      <c:valAx>
        <c:axId val="159651712"/>
        <c:scaling>
          <c:orientation val="minMax"/>
        </c:scaling>
        <c:axPos val="l"/>
        <c:majorGridlines/>
        <c:numFmt formatCode="General" sourceLinked="1"/>
        <c:majorTickMark val="none"/>
        <c:tickLblPos val="nextTo"/>
        <c:txPr>
          <a:bodyPr/>
          <a:lstStyle/>
          <a:p>
            <a:pPr>
              <a:defRPr sz="800"/>
            </a:pPr>
            <a:endParaRPr lang="en-US"/>
          </a:p>
        </c:txPr>
        <c:crossAx val="159650176"/>
        <c:crosses val="autoZero"/>
        <c:crossBetween val="between"/>
      </c:valAx>
    </c:plotArea>
    <c:legend>
      <c:legendPos val="r"/>
    </c:legend>
    <c:plotVisOnly val="1"/>
    <c:dispBlanksAs val="gap"/>
  </c:chart>
  <c:printSettings>
    <c:headerFooter/>
    <c:pageMargins b="0.75000000000000566" l="0.70000000000000062" r="0.70000000000000062" t="0.7500000000000056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200"/>
            </a:pPr>
            <a:r>
              <a:rPr lang="en-US" sz="1200"/>
              <a:t>Issues</a:t>
            </a:r>
          </a:p>
        </c:rich>
      </c:tx>
    </c:title>
    <c:plotArea>
      <c:layout/>
      <c:lineChart>
        <c:grouping val="standard"/>
        <c:ser>
          <c:idx val="0"/>
          <c:order val="0"/>
          <c:tx>
            <c:strRef>
              <c:f>'RAID Summary'!$A$5</c:f>
              <c:strCache>
                <c:ptCount val="1"/>
                <c:pt idx="0">
                  <c:v>Total Open Issues</c:v>
                </c:pt>
              </c:strCache>
            </c:strRef>
          </c:tx>
          <c:marker>
            <c:symbol val="none"/>
          </c:marker>
          <c:cat>
            <c:numRef>
              <c:f>'RAID Summary'!$B$1:$U$1</c:f>
              <c:numCache>
                <c:formatCode>dd\-mmm\-yy</c:formatCode>
                <c:ptCount val="20"/>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numCache>
            </c:numRef>
          </c:cat>
          <c:val>
            <c:numRef>
              <c:f>'RAID Summary'!$B$5:$U$5</c:f>
              <c:numCache>
                <c:formatCode>General</c:formatCode>
                <c:ptCount val="20"/>
                <c:pt idx="0">
                  <c:v>37</c:v>
                </c:pt>
                <c:pt idx="1">
                  <c:v>37</c:v>
                </c:pt>
                <c:pt idx="2">
                  <c:v>42</c:v>
                </c:pt>
                <c:pt idx="3">
                  <c:v>42</c:v>
                </c:pt>
                <c:pt idx="4">
                  <c:v>45</c:v>
                </c:pt>
                <c:pt idx="5">
                  <c:v>48</c:v>
                </c:pt>
                <c:pt idx="6">
                  <c:v>52</c:v>
                </c:pt>
                <c:pt idx="7">
                  <c:v>43</c:v>
                </c:pt>
                <c:pt idx="8">
                  <c:v>49</c:v>
                </c:pt>
                <c:pt idx="9">
                  <c:v>51</c:v>
                </c:pt>
                <c:pt idx="10">
                  <c:v>55</c:v>
                </c:pt>
                <c:pt idx="11">
                  <c:v>51</c:v>
                </c:pt>
                <c:pt idx="12">
                  <c:v>53</c:v>
                </c:pt>
                <c:pt idx="13">
                  <c:v>46</c:v>
                </c:pt>
                <c:pt idx="14">
                  <c:v>47</c:v>
                </c:pt>
                <c:pt idx="15">
                  <c:v>44</c:v>
                </c:pt>
                <c:pt idx="16">
                  <c:v>44</c:v>
                </c:pt>
                <c:pt idx="17">
                  <c:v>42</c:v>
                </c:pt>
                <c:pt idx="18">
                  <c:v>41</c:v>
                </c:pt>
                <c:pt idx="19">
                  <c:v>37</c:v>
                </c:pt>
              </c:numCache>
            </c:numRef>
          </c:val>
        </c:ser>
        <c:ser>
          <c:idx val="1"/>
          <c:order val="1"/>
          <c:tx>
            <c:strRef>
              <c:f>'RAID Summary'!$A$7</c:f>
              <c:strCache>
                <c:ptCount val="1"/>
                <c:pt idx="0">
                  <c:v>Issues: Missed Required Resolution Date</c:v>
                </c:pt>
              </c:strCache>
            </c:strRef>
          </c:tx>
          <c:marker>
            <c:symbol val="none"/>
          </c:marker>
          <c:cat>
            <c:numRef>
              <c:f>'RAID Summary'!$B$1:$U$1</c:f>
              <c:numCache>
                <c:formatCode>dd\-mmm\-yy</c:formatCode>
                <c:ptCount val="20"/>
                <c:pt idx="0">
                  <c:v>40898</c:v>
                </c:pt>
                <c:pt idx="1">
                  <c:v>40912</c:v>
                </c:pt>
                <c:pt idx="2">
                  <c:v>40919</c:v>
                </c:pt>
                <c:pt idx="3">
                  <c:v>40926</c:v>
                </c:pt>
                <c:pt idx="4">
                  <c:v>40933</c:v>
                </c:pt>
                <c:pt idx="5">
                  <c:v>40940</c:v>
                </c:pt>
                <c:pt idx="6">
                  <c:v>40947</c:v>
                </c:pt>
                <c:pt idx="7">
                  <c:v>40954</c:v>
                </c:pt>
                <c:pt idx="8">
                  <c:v>40961</c:v>
                </c:pt>
                <c:pt idx="9">
                  <c:v>40968</c:v>
                </c:pt>
                <c:pt idx="10">
                  <c:v>40974</c:v>
                </c:pt>
                <c:pt idx="11">
                  <c:v>40975</c:v>
                </c:pt>
                <c:pt idx="12">
                  <c:v>40976</c:v>
                </c:pt>
                <c:pt idx="13">
                  <c:v>40977</c:v>
                </c:pt>
                <c:pt idx="14">
                  <c:v>40980</c:v>
                </c:pt>
                <c:pt idx="15">
                  <c:v>40981</c:v>
                </c:pt>
                <c:pt idx="16">
                  <c:v>40982</c:v>
                </c:pt>
                <c:pt idx="17">
                  <c:v>40983</c:v>
                </c:pt>
                <c:pt idx="18">
                  <c:v>40984</c:v>
                </c:pt>
                <c:pt idx="19">
                  <c:v>40987</c:v>
                </c:pt>
              </c:numCache>
            </c:numRef>
          </c:cat>
          <c:val>
            <c:numRef>
              <c:f>'RAID Summary'!$B$7:$U$7</c:f>
              <c:numCache>
                <c:formatCode>General</c:formatCode>
                <c:ptCount val="20"/>
                <c:pt idx="2">
                  <c:v>13</c:v>
                </c:pt>
                <c:pt idx="3">
                  <c:v>12</c:v>
                </c:pt>
                <c:pt idx="4">
                  <c:v>7</c:v>
                </c:pt>
                <c:pt idx="5">
                  <c:v>13</c:v>
                </c:pt>
                <c:pt idx="6">
                  <c:v>16</c:v>
                </c:pt>
                <c:pt idx="7">
                  <c:v>14</c:v>
                </c:pt>
                <c:pt idx="8">
                  <c:v>12</c:v>
                </c:pt>
                <c:pt idx="9">
                  <c:v>22</c:v>
                </c:pt>
                <c:pt idx="10">
                  <c:v>20</c:v>
                </c:pt>
                <c:pt idx="11">
                  <c:v>14</c:v>
                </c:pt>
                <c:pt idx="12">
                  <c:v>16</c:v>
                </c:pt>
                <c:pt idx="13">
                  <c:v>13</c:v>
                </c:pt>
                <c:pt idx="14">
                  <c:v>8</c:v>
                </c:pt>
                <c:pt idx="15">
                  <c:v>6</c:v>
                </c:pt>
                <c:pt idx="16">
                  <c:v>4</c:v>
                </c:pt>
                <c:pt idx="17">
                  <c:v>7</c:v>
                </c:pt>
                <c:pt idx="18">
                  <c:v>6</c:v>
                </c:pt>
                <c:pt idx="19">
                  <c:v>3</c:v>
                </c:pt>
              </c:numCache>
            </c:numRef>
          </c:val>
        </c:ser>
        <c:marker val="1"/>
        <c:axId val="152296064"/>
        <c:axId val="159715712"/>
      </c:lineChart>
      <c:dateAx>
        <c:axId val="152296064"/>
        <c:scaling>
          <c:orientation val="minMax"/>
        </c:scaling>
        <c:axPos val="b"/>
        <c:numFmt formatCode="dd\-mmm\-yy" sourceLinked="1"/>
        <c:majorTickMark val="none"/>
        <c:tickLblPos val="nextTo"/>
        <c:txPr>
          <a:bodyPr/>
          <a:lstStyle/>
          <a:p>
            <a:pPr>
              <a:defRPr sz="800"/>
            </a:pPr>
            <a:endParaRPr lang="en-US"/>
          </a:p>
        </c:txPr>
        <c:crossAx val="159715712"/>
        <c:crosses val="autoZero"/>
        <c:auto val="1"/>
        <c:lblOffset val="100"/>
        <c:baseTimeUnit val="days"/>
        <c:majorUnit val="7"/>
        <c:majorTimeUnit val="days"/>
      </c:dateAx>
      <c:valAx>
        <c:axId val="159715712"/>
        <c:scaling>
          <c:orientation val="minMax"/>
        </c:scaling>
        <c:axPos val="l"/>
        <c:majorGridlines/>
        <c:numFmt formatCode="General" sourceLinked="1"/>
        <c:majorTickMark val="none"/>
        <c:tickLblPos val="nextTo"/>
        <c:txPr>
          <a:bodyPr/>
          <a:lstStyle/>
          <a:p>
            <a:pPr>
              <a:defRPr sz="800"/>
            </a:pPr>
            <a:endParaRPr lang="en-US"/>
          </a:p>
        </c:txPr>
        <c:crossAx val="152296064"/>
        <c:crosses val="autoZero"/>
        <c:crossBetween val="between"/>
      </c:valAx>
    </c:plotArea>
    <c:legend>
      <c:legendPos val="r"/>
    </c:legend>
    <c:plotVisOnly val="1"/>
    <c:dispBlanksAs val="gap"/>
  </c:chart>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200"/>
            </a:pPr>
            <a:r>
              <a:rPr lang="en-US" sz="1200"/>
              <a:t>Assumptions</a:t>
            </a:r>
          </a:p>
        </c:rich>
      </c:tx>
    </c:title>
    <c:plotArea>
      <c:layout/>
      <c:lineChart>
        <c:grouping val="standard"/>
        <c:ser>
          <c:idx val="0"/>
          <c:order val="0"/>
          <c:tx>
            <c:strRef>
              <c:f>'RAID Summary'!$A$11</c:f>
              <c:strCache>
                <c:ptCount val="1"/>
                <c:pt idx="0">
                  <c:v>Total Assumptions to be Validated</c:v>
                </c:pt>
              </c:strCache>
            </c:strRef>
          </c:tx>
          <c:cat>
            <c:numRef>
              <c:f>'RAID Summary'!$N$1:$U$1</c:f>
              <c:numCache>
                <c:formatCode>dd\-mmm\-yy</c:formatCode>
                <c:ptCount val="8"/>
                <c:pt idx="0">
                  <c:v>40976</c:v>
                </c:pt>
                <c:pt idx="1">
                  <c:v>40977</c:v>
                </c:pt>
                <c:pt idx="2">
                  <c:v>40980</c:v>
                </c:pt>
                <c:pt idx="3">
                  <c:v>40981</c:v>
                </c:pt>
                <c:pt idx="4">
                  <c:v>40982</c:v>
                </c:pt>
                <c:pt idx="5">
                  <c:v>40983</c:v>
                </c:pt>
                <c:pt idx="6">
                  <c:v>40984</c:v>
                </c:pt>
                <c:pt idx="7">
                  <c:v>40987</c:v>
                </c:pt>
              </c:numCache>
            </c:numRef>
          </c:cat>
          <c:val>
            <c:numRef>
              <c:f>'RAID Summary'!$N$11:$U$11</c:f>
              <c:numCache>
                <c:formatCode>General</c:formatCode>
                <c:ptCount val="8"/>
                <c:pt idx="4">
                  <c:v>43</c:v>
                </c:pt>
                <c:pt idx="5">
                  <c:v>43</c:v>
                </c:pt>
                <c:pt idx="6">
                  <c:v>43</c:v>
                </c:pt>
                <c:pt idx="7">
                  <c:v>43</c:v>
                </c:pt>
              </c:numCache>
            </c:numRef>
          </c:val>
        </c:ser>
        <c:ser>
          <c:idx val="1"/>
          <c:order val="1"/>
          <c:tx>
            <c:strRef>
              <c:f>'RAID Summary'!$A$12</c:f>
              <c:strCache>
                <c:ptCount val="1"/>
                <c:pt idx="0">
                  <c:v>Total Assumptions to be Validated - Past Due</c:v>
                </c:pt>
              </c:strCache>
            </c:strRef>
          </c:tx>
          <c:cat>
            <c:numRef>
              <c:f>'RAID Summary'!$N$1:$U$1</c:f>
              <c:numCache>
                <c:formatCode>dd\-mmm\-yy</c:formatCode>
                <c:ptCount val="8"/>
                <c:pt idx="0">
                  <c:v>40976</c:v>
                </c:pt>
                <c:pt idx="1">
                  <c:v>40977</c:v>
                </c:pt>
                <c:pt idx="2">
                  <c:v>40980</c:v>
                </c:pt>
                <c:pt idx="3">
                  <c:v>40981</c:v>
                </c:pt>
                <c:pt idx="4">
                  <c:v>40982</c:v>
                </c:pt>
                <c:pt idx="5">
                  <c:v>40983</c:v>
                </c:pt>
                <c:pt idx="6">
                  <c:v>40984</c:v>
                </c:pt>
                <c:pt idx="7">
                  <c:v>40987</c:v>
                </c:pt>
              </c:numCache>
            </c:numRef>
          </c:cat>
          <c:val>
            <c:numRef>
              <c:f>'RAID Summary'!$N$12:$U$12</c:f>
              <c:numCache>
                <c:formatCode>General</c:formatCode>
                <c:ptCount val="8"/>
                <c:pt idx="0">
                  <c:v>41</c:v>
                </c:pt>
                <c:pt idx="1">
                  <c:v>41</c:v>
                </c:pt>
                <c:pt idx="2">
                  <c:v>40</c:v>
                </c:pt>
                <c:pt idx="3">
                  <c:v>39</c:v>
                </c:pt>
                <c:pt idx="4">
                  <c:v>39</c:v>
                </c:pt>
                <c:pt idx="5">
                  <c:v>38</c:v>
                </c:pt>
                <c:pt idx="6">
                  <c:v>38</c:v>
                </c:pt>
                <c:pt idx="7">
                  <c:v>37</c:v>
                </c:pt>
              </c:numCache>
            </c:numRef>
          </c:val>
        </c:ser>
        <c:marker val="1"/>
        <c:axId val="159748864"/>
        <c:axId val="159750400"/>
      </c:lineChart>
      <c:dateAx>
        <c:axId val="159748864"/>
        <c:scaling>
          <c:orientation val="minMax"/>
        </c:scaling>
        <c:axPos val="b"/>
        <c:numFmt formatCode="dd\-mmm\-yy" sourceLinked="1"/>
        <c:majorTickMark val="none"/>
        <c:tickLblPos val="nextTo"/>
        <c:txPr>
          <a:bodyPr/>
          <a:lstStyle/>
          <a:p>
            <a:pPr>
              <a:defRPr sz="800"/>
            </a:pPr>
            <a:endParaRPr lang="en-US"/>
          </a:p>
        </c:txPr>
        <c:crossAx val="159750400"/>
        <c:crosses val="autoZero"/>
        <c:auto val="1"/>
        <c:lblOffset val="100"/>
        <c:baseTimeUnit val="days"/>
      </c:dateAx>
      <c:valAx>
        <c:axId val="159750400"/>
        <c:scaling>
          <c:orientation val="minMax"/>
        </c:scaling>
        <c:axPos val="l"/>
        <c:majorGridlines/>
        <c:numFmt formatCode="General" sourceLinked="1"/>
        <c:majorTickMark val="none"/>
        <c:tickLblPos val="nextTo"/>
        <c:txPr>
          <a:bodyPr/>
          <a:lstStyle/>
          <a:p>
            <a:pPr>
              <a:defRPr sz="800"/>
            </a:pPr>
            <a:endParaRPr lang="en-US"/>
          </a:p>
        </c:txPr>
        <c:crossAx val="159748864"/>
        <c:crosses val="autoZero"/>
        <c:crossBetween val="between"/>
      </c:valAx>
    </c:plotArea>
    <c:legend>
      <c:legendPos val="r"/>
    </c:legend>
    <c:plotVisOnly val="1"/>
    <c:dispBlanksAs val="gap"/>
  </c:chart>
  <c:printSettings>
    <c:headerFooter/>
    <c:pageMargins b="0.75000000000000488" l="0.70000000000000062" r="0.70000000000000062" t="0.7500000000000048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200"/>
            </a:pPr>
            <a:r>
              <a:rPr lang="en-US" sz="1200"/>
              <a:t>Decisions</a:t>
            </a:r>
          </a:p>
        </c:rich>
      </c:tx>
    </c:title>
    <c:plotArea>
      <c:layout/>
      <c:lineChart>
        <c:grouping val="standard"/>
        <c:ser>
          <c:idx val="0"/>
          <c:order val="0"/>
          <c:tx>
            <c:strRef>
              <c:f>'RAID Summary'!$A$10</c:f>
              <c:strCache>
                <c:ptCount val="1"/>
                <c:pt idx="0">
                  <c:v>Total Pending Decisions</c:v>
                </c:pt>
              </c:strCache>
            </c:strRef>
          </c:tx>
          <c:marker>
            <c:symbol val="none"/>
          </c:marker>
          <c:cat>
            <c:numRef>
              <c:f>'RAID Summary'!$N$1:$U$1</c:f>
              <c:numCache>
                <c:formatCode>dd\-mmm\-yy</c:formatCode>
                <c:ptCount val="8"/>
                <c:pt idx="0">
                  <c:v>40976</c:v>
                </c:pt>
                <c:pt idx="1">
                  <c:v>40977</c:v>
                </c:pt>
                <c:pt idx="2">
                  <c:v>40980</c:v>
                </c:pt>
                <c:pt idx="3">
                  <c:v>40981</c:v>
                </c:pt>
                <c:pt idx="4">
                  <c:v>40982</c:v>
                </c:pt>
                <c:pt idx="5">
                  <c:v>40983</c:v>
                </c:pt>
                <c:pt idx="6">
                  <c:v>40984</c:v>
                </c:pt>
                <c:pt idx="7">
                  <c:v>40987</c:v>
                </c:pt>
              </c:numCache>
            </c:numRef>
          </c:cat>
          <c:val>
            <c:numRef>
              <c:f>'RAID Summary'!$N$10:$U$10</c:f>
              <c:numCache>
                <c:formatCode>General</c:formatCode>
                <c:ptCount val="8"/>
                <c:pt idx="0">
                  <c:v>28</c:v>
                </c:pt>
                <c:pt idx="1">
                  <c:v>26</c:v>
                </c:pt>
                <c:pt idx="2">
                  <c:v>26</c:v>
                </c:pt>
                <c:pt idx="3">
                  <c:v>26</c:v>
                </c:pt>
                <c:pt idx="4">
                  <c:v>26</c:v>
                </c:pt>
                <c:pt idx="5">
                  <c:v>23</c:v>
                </c:pt>
                <c:pt idx="6">
                  <c:v>22</c:v>
                </c:pt>
                <c:pt idx="7">
                  <c:v>21</c:v>
                </c:pt>
              </c:numCache>
            </c:numRef>
          </c:val>
        </c:ser>
        <c:ser>
          <c:idx val="1"/>
          <c:order val="1"/>
          <c:tx>
            <c:strRef>
              <c:f>'RAID Summary'!$A$13</c:f>
              <c:strCache>
                <c:ptCount val="1"/>
                <c:pt idx="0">
                  <c:v>Total Pending Decisions - Past Due</c:v>
                </c:pt>
              </c:strCache>
            </c:strRef>
          </c:tx>
          <c:marker>
            <c:symbol val="none"/>
          </c:marker>
          <c:cat>
            <c:numRef>
              <c:f>'RAID Summary'!$N$1:$U$1</c:f>
              <c:numCache>
                <c:formatCode>dd\-mmm\-yy</c:formatCode>
                <c:ptCount val="8"/>
                <c:pt idx="0">
                  <c:v>40976</c:v>
                </c:pt>
                <c:pt idx="1">
                  <c:v>40977</c:v>
                </c:pt>
                <c:pt idx="2">
                  <c:v>40980</c:v>
                </c:pt>
                <c:pt idx="3">
                  <c:v>40981</c:v>
                </c:pt>
                <c:pt idx="4">
                  <c:v>40982</c:v>
                </c:pt>
                <c:pt idx="5">
                  <c:v>40983</c:v>
                </c:pt>
                <c:pt idx="6">
                  <c:v>40984</c:v>
                </c:pt>
                <c:pt idx="7">
                  <c:v>40987</c:v>
                </c:pt>
              </c:numCache>
            </c:numRef>
          </c:cat>
          <c:val>
            <c:numRef>
              <c:f>'RAID Summary'!$N$13:$U$13</c:f>
              <c:numCache>
                <c:formatCode>General</c:formatCode>
                <c:ptCount val="8"/>
                <c:pt idx="0">
                  <c:v>11</c:v>
                </c:pt>
                <c:pt idx="1">
                  <c:v>9</c:v>
                </c:pt>
                <c:pt idx="2">
                  <c:v>9</c:v>
                </c:pt>
                <c:pt idx="3">
                  <c:v>9</c:v>
                </c:pt>
                <c:pt idx="4">
                  <c:v>8</c:v>
                </c:pt>
                <c:pt idx="5">
                  <c:v>5</c:v>
                </c:pt>
                <c:pt idx="6">
                  <c:v>2</c:v>
                </c:pt>
                <c:pt idx="7">
                  <c:v>1</c:v>
                </c:pt>
              </c:numCache>
            </c:numRef>
          </c:val>
        </c:ser>
        <c:marker val="1"/>
        <c:axId val="159767168"/>
        <c:axId val="159781248"/>
      </c:lineChart>
      <c:dateAx>
        <c:axId val="159767168"/>
        <c:scaling>
          <c:orientation val="minMax"/>
        </c:scaling>
        <c:axPos val="b"/>
        <c:numFmt formatCode="dd\-mmm\-yy" sourceLinked="1"/>
        <c:majorTickMark val="none"/>
        <c:tickLblPos val="nextTo"/>
        <c:txPr>
          <a:bodyPr/>
          <a:lstStyle/>
          <a:p>
            <a:pPr>
              <a:defRPr sz="800"/>
            </a:pPr>
            <a:endParaRPr lang="en-US"/>
          </a:p>
        </c:txPr>
        <c:crossAx val="159781248"/>
        <c:crosses val="autoZero"/>
        <c:auto val="1"/>
        <c:lblOffset val="100"/>
        <c:baseTimeUnit val="days"/>
      </c:dateAx>
      <c:valAx>
        <c:axId val="159781248"/>
        <c:scaling>
          <c:orientation val="minMax"/>
        </c:scaling>
        <c:axPos val="l"/>
        <c:majorGridlines/>
        <c:numFmt formatCode="General" sourceLinked="1"/>
        <c:majorTickMark val="none"/>
        <c:tickLblPos val="nextTo"/>
        <c:txPr>
          <a:bodyPr/>
          <a:lstStyle/>
          <a:p>
            <a:pPr>
              <a:defRPr sz="800"/>
            </a:pPr>
            <a:endParaRPr lang="en-US"/>
          </a:p>
        </c:txPr>
        <c:crossAx val="159767168"/>
        <c:crosses val="autoZero"/>
        <c:crossBetween val="between"/>
      </c:valAx>
    </c:plotArea>
    <c:legend>
      <c:legendPos val="r"/>
    </c:legend>
    <c:plotVisOnly val="1"/>
    <c:dispBlanksAs val="gap"/>
  </c:chart>
  <c:printSettings>
    <c:headerFooter/>
    <c:pageMargins b="0.75000000000000488" l="0.70000000000000062" r="0.70000000000000062" t="0.7500000000000048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800"/>
            </a:pPr>
            <a:r>
              <a:rPr lang="en-US" sz="800"/>
              <a:t>Change Management</a:t>
            </a:r>
          </a:p>
        </c:rich>
      </c:tx>
    </c:title>
    <c:plotArea>
      <c:layout/>
      <c:lineChart>
        <c:grouping val="standard"/>
        <c:ser>
          <c:idx val="0"/>
          <c:order val="0"/>
          <c:tx>
            <c:strRef>
              <c:f>'Project Summary'!$A$21</c:f>
              <c:strCache>
                <c:ptCount val="1"/>
                <c:pt idx="0">
                  <c:v>Total Open Risks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Summary'!$B$21:$S$21</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er>
        <c:ser>
          <c:idx val="1"/>
          <c:order val="1"/>
          <c:tx>
            <c:strRef>
              <c:f>'Project Summary'!$A$22</c:f>
              <c:strCache>
                <c:ptCount val="1"/>
                <c:pt idx="0">
                  <c:v>Total Open High or Critical Risks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Summary'!$B$22:$S$22</c:f>
              <c:numCache>
                <c:formatCode>General</c:formatCode>
                <c:ptCount val="18"/>
                <c:pt idx="0">
                  <c:v>1</c:v>
                </c:pt>
                <c:pt idx="1">
                  <c:v>1</c:v>
                </c:pt>
                <c:pt idx="2">
                  <c:v>1</c:v>
                </c:pt>
                <c:pt idx="3">
                  <c:v>1</c:v>
                </c:pt>
                <c:pt idx="4">
                  <c:v>1</c:v>
                </c:pt>
                <c:pt idx="5">
                  <c:v>1</c:v>
                </c:pt>
                <c:pt idx="6">
                  <c:v>1</c:v>
                </c:pt>
                <c:pt idx="7">
                  <c:v>1</c:v>
                </c:pt>
                <c:pt idx="8">
                  <c:v>1</c:v>
                </c:pt>
                <c:pt idx="9">
                  <c:v>0</c:v>
                </c:pt>
                <c:pt idx="10">
                  <c:v>0</c:v>
                </c:pt>
                <c:pt idx="11">
                  <c:v>0</c:v>
                </c:pt>
                <c:pt idx="12">
                  <c:v>0</c:v>
                </c:pt>
                <c:pt idx="13">
                  <c:v>0</c:v>
                </c:pt>
                <c:pt idx="14">
                  <c:v>0</c:v>
                </c:pt>
                <c:pt idx="15">
                  <c:v>0</c:v>
                </c:pt>
                <c:pt idx="16">
                  <c:v>0</c:v>
                </c:pt>
                <c:pt idx="17">
                  <c:v>0</c:v>
                </c:pt>
              </c:numCache>
            </c:numRef>
          </c:val>
        </c:ser>
        <c:ser>
          <c:idx val="2"/>
          <c:order val="2"/>
          <c:tx>
            <c:strRef>
              <c:f>'Project Summary'!$A$23</c:f>
              <c:strCache>
                <c:ptCount val="1"/>
                <c:pt idx="0">
                  <c:v>Risks: Missed Required Resolution Date</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Summary'!$B$23:$S$23</c:f>
              <c:numCache>
                <c:formatCode>General</c:formatCode>
                <c:ptCount val="18"/>
                <c:pt idx="0">
                  <c:v>0</c:v>
                </c:pt>
                <c:pt idx="1">
                  <c:v>0</c:v>
                </c:pt>
                <c:pt idx="2">
                  <c:v>0</c:v>
                </c:pt>
                <c:pt idx="3">
                  <c:v>0</c:v>
                </c:pt>
                <c:pt idx="4">
                  <c:v>0</c:v>
                </c:pt>
                <c:pt idx="5">
                  <c:v>1</c:v>
                </c:pt>
                <c:pt idx="6">
                  <c:v>1</c:v>
                </c:pt>
                <c:pt idx="7">
                  <c:v>1</c:v>
                </c:pt>
                <c:pt idx="8">
                  <c:v>1</c:v>
                </c:pt>
                <c:pt idx="9">
                  <c:v>1</c:v>
                </c:pt>
                <c:pt idx="10">
                  <c:v>1</c:v>
                </c:pt>
                <c:pt idx="11">
                  <c:v>1</c:v>
                </c:pt>
                <c:pt idx="12">
                  <c:v>0</c:v>
                </c:pt>
                <c:pt idx="13">
                  <c:v>0</c:v>
                </c:pt>
                <c:pt idx="14">
                  <c:v>0</c:v>
                </c:pt>
                <c:pt idx="15">
                  <c:v>0</c:v>
                </c:pt>
                <c:pt idx="16">
                  <c:v>0</c:v>
                </c:pt>
                <c:pt idx="17">
                  <c:v>0</c:v>
                </c:pt>
              </c:numCache>
            </c:numRef>
          </c:val>
        </c:ser>
        <c:ser>
          <c:idx val="3"/>
          <c:order val="3"/>
          <c:tx>
            <c:strRef>
              <c:f>'Project Summary'!$A$24</c:f>
              <c:strCache>
                <c:ptCount val="1"/>
                <c:pt idx="0">
                  <c:v>Risks with no Required Resolution Date</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Summary'!$B$24:$S$24</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7"/>
          <c:order val="4"/>
          <c:tx>
            <c:strRef>
              <c:f>'Project Summary'!$A$25</c:f>
              <c:strCache>
                <c:ptCount val="1"/>
                <c:pt idx="0">
                  <c:v>Risks open 1-3 months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Summary'!$B$25:$S$25</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8"/>
          <c:order val="5"/>
          <c:tx>
            <c:strRef>
              <c:f>'Project Summary'!$A$26</c:f>
              <c:strCache>
                <c:ptCount val="1"/>
                <c:pt idx="0">
                  <c:v>Risks open 3-6 months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Summary'!$B$26:$S$26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9"/>
          <c:order val="6"/>
          <c:tx>
            <c:strRef>
              <c:f>'Project Summary'!$A$27</c:f>
              <c:strCache>
                <c:ptCount val="1"/>
                <c:pt idx="0">
                  <c:v>Risks open longer than 6 months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Summary'!$B$27:$S$27</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er>
        <c:ser>
          <c:idx val="10"/>
          <c:order val="7"/>
          <c:tx>
            <c:strRef>
              <c:f>'Project Summary'!$A$28</c:f>
              <c:strCache>
                <c:ptCount val="1"/>
                <c:pt idx="0">
                  <c:v>Total Open Issues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Summary'!$B$28:$S$28</c:f>
              <c:numCache>
                <c:formatCode>General</c:formatCode>
                <c:ptCount val="18"/>
                <c:pt idx="0">
                  <c:v>3</c:v>
                </c:pt>
                <c:pt idx="1">
                  <c:v>2</c:v>
                </c:pt>
                <c:pt idx="2">
                  <c:v>2</c:v>
                </c:pt>
                <c:pt idx="3">
                  <c:v>2</c:v>
                </c:pt>
                <c:pt idx="4">
                  <c:v>2</c:v>
                </c:pt>
                <c:pt idx="5">
                  <c:v>2</c:v>
                </c:pt>
                <c:pt idx="6">
                  <c:v>2</c:v>
                </c:pt>
                <c:pt idx="7">
                  <c:v>2</c:v>
                </c:pt>
                <c:pt idx="8">
                  <c:v>2</c:v>
                </c:pt>
                <c:pt idx="9">
                  <c:v>1</c:v>
                </c:pt>
                <c:pt idx="10">
                  <c:v>1</c:v>
                </c:pt>
                <c:pt idx="11">
                  <c:v>1</c:v>
                </c:pt>
                <c:pt idx="12">
                  <c:v>1</c:v>
                </c:pt>
                <c:pt idx="13">
                  <c:v>1</c:v>
                </c:pt>
                <c:pt idx="14">
                  <c:v>1</c:v>
                </c:pt>
                <c:pt idx="15">
                  <c:v>1</c:v>
                </c:pt>
                <c:pt idx="16">
                  <c:v>1</c:v>
                </c:pt>
                <c:pt idx="17">
                  <c:v>1</c:v>
                </c:pt>
              </c:numCache>
            </c:numRef>
          </c:val>
        </c:ser>
        <c:ser>
          <c:idx val="4"/>
          <c:order val="8"/>
          <c:tx>
            <c:strRef>
              <c:f>'Project Summary'!$A$29</c:f>
              <c:strCache>
                <c:ptCount val="1"/>
                <c:pt idx="0">
                  <c:v>Total Open High or Critical Issues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Summary'!$B$29:$S$29</c:f>
              <c:numCache>
                <c:formatCode>General</c:formatCode>
                <c:ptCount val="18"/>
                <c:pt idx="0">
                  <c:v>2</c:v>
                </c:pt>
                <c:pt idx="1">
                  <c:v>2</c:v>
                </c:pt>
                <c:pt idx="2">
                  <c:v>2</c:v>
                </c:pt>
                <c:pt idx="3">
                  <c:v>2</c:v>
                </c:pt>
                <c:pt idx="4">
                  <c:v>2</c:v>
                </c:pt>
                <c:pt idx="5">
                  <c:v>2</c:v>
                </c:pt>
                <c:pt idx="6">
                  <c:v>2</c:v>
                </c:pt>
                <c:pt idx="7">
                  <c:v>2</c:v>
                </c:pt>
                <c:pt idx="8">
                  <c:v>2</c:v>
                </c:pt>
                <c:pt idx="9">
                  <c:v>1</c:v>
                </c:pt>
                <c:pt idx="10">
                  <c:v>1</c:v>
                </c:pt>
                <c:pt idx="11">
                  <c:v>1</c:v>
                </c:pt>
                <c:pt idx="12">
                  <c:v>1</c:v>
                </c:pt>
                <c:pt idx="13">
                  <c:v>1</c:v>
                </c:pt>
                <c:pt idx="14">
                  <c:v>1</c:v>
                </c:pt>
                <c:pt idx="15">
                  <c:v>1</c:v>
                </c:pt>
                <c:pt idx="16">
                  <c:v>1</c:v>
                </c:pt>
                <c:pt idx="17">
                  <c:v>1</c:v>
                </c:pt>
              </c:numCache>
            </c:numRef>
          </c:val>
        </c:ser>
        <c:ser>
          <c:idx val="5"/>
          <c:order val="9"/>
          <c:tx>
            <c:strRef>
              <c:f>'Project Summary'!$A$30</c:f>
              <c:strCache>
                <c:ptCount val="1"/>
                <c:pt idx="0">
                  <c:v>Issues: Missed Required Resolution Date</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Summary'!$B$30:$S$30</c:f>
              <c:numCache>
                <c:formatCode>General</c:formatCode>
                <c:ptCount val="18"/>
                <c:pt idx="0">
                  <c:v>3</c:v>
                </c:pt>
                <c:pt idx="1">
                  <c:v>2</c:v>
                </c:pt>
                <c:pt idx="2">
                  <c:v>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6"/>
          <c:order val="10"/>
          <c:tx>
            <c:strRef>
              <c:f>'Project Summary'!$A$31</c:f>
              <c:strCache>
                <c:ptCount val="1"/>
                <c:pt idx="0">
                  <c:v>Issues with no Required Resolution Date</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Summary'!$B$31:$S$31</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1"/>
          <c:order val="11"/>
          <c:tx>
            <c:strRef>
              <c:f>'Project Summary'!$A$32</c:f>
              <c:strCache>
                <c:ptCount val="1"/>
                <c:pt idx="0">
                  <c:v>Issues open 1-3 months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Summary'!$B$32:$S$32</c:f>
              <c:numCache>
                <c:formatCode>General</c:formatCode>
                <c:ptCount val="18"/>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2"/>
          <c:order val="12"/>
          <c:tx>
            <c:strRef>
              <c:f>'Project Summary'!$A$33</c:f>
              <c:strCache>
                <c:ptCount val="1"/>
                <c:pt idx="0">
                  <c:v>Issues open 3-6 months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Summary'!$B$33:$S$33</c:f>
              <c:numCache>
                <c:formatCode>General</c:formatCode>
                <c:ptCount val="18"/>
                <c:pt idx="0">
                  <c:v>2</c:v>
                </c:pt>
                <c:pt idx="1">
                  <c:v>2</c:v>
                </c:pt>
                <c:pt idx="2">
                  <c:v>2</c:v>
                </c:pt>
                <c:pt idx="3">
                  <c:v>2</c:v>
                </c:pt>
                <c:pt idx="4">
                  <c:v>2</c:v>
                </c:pt>
                <c:pt idx="5">
                  <c:v>2</c:v>
                </c:pt>
                <c:pt idx="6">
                  <c:v>2</c:v>
                </c:pt>
                <c:pt idx="7">
                  <c:v>2</c:v>
                </c:pt>
                <c:pt idx="8">
                  <c:v>2</c:v>
                </c:pt>
                <c:pt idx="9">
                  <c:v>1</c:v>
                </c:pt>
                <c:pt idx="10">
                  <c:v>1</c:v>
                </c:pt>
                <c:pt idx="11">
                  <c:v>1</c:v>
                </c:pt>
                <c:pt idx="12">
                  <c:v>1</c:v>
                </c:pt>
                <c:pt idx="13">
                  <c:v>1</c:v>
                </c:pt>
                <c:pt idx="14">
                  <c:v>1</c:v>
                </c:pt>
                <c:pt idx="15">
                  <c:v>1</c:v>
                </c:pt>
                <c:pt idx="16">
                  <c:v>1</c:v>
                </c:pt>
                <c:pt idx="17">
                  <c:v>1</c:v>
                </c:pt>
              </c:numCache>
            </c:numRef>
          </c:val>
        </c:ser>
        <c:ser>
          <c:idx val="13"/>
          <c:order val="13"/>
          <c:tx>
            <c:strRef>
              <c:f>'Project Summary'!$A$34</c:f>
              <c:strCache>
                <c:ptCount val="1"/>
                <c:pt idx="0">
                  <c:v>Issues open longer than 6 months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Summary'!$B$34:$S$34</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4"/>
          <c:order val="14"/>
          <c:tx>
            <c:strRef>
              <c:f>'Project Summary'!$A$35</c:f>
              <c:strCache>
                <c:ptCount val="1"/>
                <c:pt idx="0">
                  <c:v>Total Assumptions not yet validated</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Summary'!$B$35:$S$35</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5"/>
          <c:order val="15"/>
          <c:tx>
            <c:strRef>
              <c:f>'Project Summary'!$A$36</c:f>
              <c:strCache>
                <c:ptCount val="1"/>
                <c:pt idx="0">
                  <c:v>Total Pending Decisions</c:v>
                </c:pt>
              </c:strCache>
            </c:strRef>
          </c:tx>
          <c:cat>
            <c:numRef>
              <c:f>'Project Summary'!$B$20:$S$20</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Summary'!$B$36:$S$36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marker val="1"/>
        <c:axId val="151933312"/>
        <c:axId val="151934848"/>
      </c:lineChart>
      <c:dateAx>
        <c:axId val="151933312"/>
        <c:scaling>
          <c:orientation val="minMax"/>
        </c:scaling>
        <c:axPos val="b"/>
        <c:numFmt formatCode="dd\-mmm" sourceLinked="1"/>
        <c:majorTickMark val="none"/>
        <c:tickLblPos val="nextTo"/>
        <c:txPr>
          <a:bodyPr/>
          <a:lstStyle/>
          <a:p>
            <a:pPr>
              <a:defRPr sz="700"/>
            </a:pPr>
            <a:endParaRPr lang="en-US"/>
          </a:p>
        </c:txPr>
        <c:crossAx val="151934848"/>
        <c:crosses val="autoZero"/>
        <c:auto val="1"/>
        <c:lblOffset val="100"/>
        <c:baseTimeUnit val="days"/>
        <c:majorUnit val="3"/>
        <c:majorTimeUnit val="days"/>
      </c:dateAx>
      <c:valAx>
        <c:axId val="151934848"/>
        <c:scaling>
          <c:orientation val="minMax"/>
        </c:scaling>
        <c:axPos val="l"/>
        <c:majorGridlines/>
        <c:numFmt formatCode="General" sourceLinked="1"/>
        <c:majorTickMark val="none"/>
        <c:tickLblPos val="nextTo"/>
        <c:txPr>
          <a:bodyPr/>
          <a:lstStyle/>
          <a:p>
            <a:pPr>
              <a:defRPr sz="700"/>
            </a:pPr>
            <a:endParaRPr lang="en-US"/>
          </a:p>
        </c:txPr>
        <c:crossAx val="151933312"/>
        <c:crosses val="autoZero"/>
        <c:crossBetween val="between"/>
      </c:valAx>
    </c:plotArea>
    <c:legend>
      <c:legendPos val="r"/>
      <c:txPr>
        <a:bodyPr/>
        <a:lstStyle/>
        <a:p>
          <a:pPr>
            <a:defRPr sz="650"/>
          </a:pPr>
          <a:endParaRPr lang="en-US"/>
        </a:p>
      </c:txP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800"/>
            </a:pPr>
            <a:r>
              <a:rPr lang="en-US" sz="800"/>
              <a:t>M&amp;C Program</a:t>
            </a:r>
          </a:p>
        </c:rich>
      </c:tx>
    </c:title>
    <c:plotArea>
      <c:layout/>
      <c:lineChart>
        <c:grouping val="standard"/>
        <c:ser>
          <c:idx val="0"/>
          <c:order val="0"/>
          <c:tx>
            <c:strRef>
              <c:f>'Project Summary'!$A$40</c:f>
              <c:strCache>
                <c:ptCount val="1"/>
                <c:pt idx="0">
                  <c:v>Total Open Risks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Summary'!$B$40:$S$40</c:f>
              <c:numCache>
                <c:formatCode>General</c:formatCode>
                <c:ptCount val="18"/>
                <c:pt idx="0">
                  <c:v>4</c:v>
                </c:pt>
                <c:pt idx="1">
                  <c:v>4</c:v>
                </c:pt>
                <c:pt idx="2">
                  <c:v>4</c:v>
                </c:pt>
                <c:pt idx="3">
                  <c:v>4</c:v>
                </c:pt>
                <c:pt idx="4">
                  <c:v>4</c:v>
                </c:pt>
                <c:pt idx="5">
                  <c:v>9</c:v>
                </c:pt>
                <c:pt idx="6">
                  <c:v>9</c:v>
                </c:pt>
                <c:pt idx="7">
                  <c:v>8</c:v>
                </c:pt>
                <c:pt idx="8">
                  <c:v>7</c:v>
                </c:pt>
                <c:pt idx="9">
                  <c:v>7</c:v>
                </c:pt>
                <c:pt idx="10">
                  <c:v>7</c:v>
                </c:pt>
                <c:pt idx="11">
                  <c:v>7</c:v>
                </c:pt>
                <c:pt idx="12">
                  <c:v>7</c:v>
                </c:pt>
                <c:pt idx="13">
                  <c:v>6</c:v>
                </c:pt>
                <c:pt idx="14">
                  <c:v>7</c:v>
                </c:pt>
                <c:pt idx="15">
                  <c:v>7</c:v>
                </c:pt>
                <c:pt idx="16">
                  <c:v>7</c:v>
                </c:pt>
                <c:pt idx="17">
                  <c:v>7</c:v>
                </c:pt>
              </c:numCache>
            </c:numRef>
          </c:val>
        </c:ser>
        <c:ser>
          <c:idx val="1"/>
          <c:order val="1"/>
          <c:tx>
            <c:strRef>
              <c:f>'Project Summary'!$A$41</c:f>
              <c:strCache>
                <c:ptCount val="1"/>
                <c:pt idx="0">
                  <c:v>Total Open High or Critical Risks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Summary'!$B$41:$S$41</c:f>
              <c:numCache>
                <c:formatCode>General</c:formatCode>
                <c:ptCount val="18"/>
                <c:pt idx="0">
                  <c:v>1</c:v>
                </c:pt>
                <c:pt idx="1">
                  <c:v>1</c:v>
                </c:pt>
                <c:pt idx="2">
                  <c:v>1</c:v>
                </c:pt>
                <c:pt idx="3">
                  <c:v>1</c:v>
                </c:pt>
                <c:pt idx="4">
                  <c:v>1</c:v>
                </c:pt>
                <c:pt idx="5">
                  <c:v>6</c:v>
                </c:pt>
                <c:pt idx="6">
                  <c:v>6</c:v>
                </c:pt>
                <c:pt idx="7">
                  <c:v>6</c:v>
                </c:pt>
                <c:pt idx="8">
                  <c:v>5</c:v>
                </c:pt>
                <c:pt idx="9">
                  <c:v>5</c:v>
                </c:pt>
                <c:pt idx="10">
                  <c:v>5</c:v>
                </c:pt>
                <c:pt idx="11">
                  <c:v>5</c:v>
                </c:pt>
                <c:pt idx="12">
                  <c:v>5</c:v>
                </c:pt>
                <c:pt idx="13">
                  <c:v>4</c:v>
                </c:pt>
                <c:pt idx="14">
                  <c:v>5</c:v>
                </c:pt>
                <c:pt idx="15">
                  <c:v>5</c:v>
                </c:pt>
                <c:pt idx="16">
                  <c:v>5</c:v>
                </c:pt>
                <c:pt idx="17">
                  <c:v>5</c:v>
                </c:pt>
              </c:numCache>
            </c:numRef>
          </c:val>
        </c:ser>
        <c:ser>
          <c:idx val="2"/>
          <c:order val="2"/>
          <c:tx>
            <c:strRef>
              <c:f>'Project Summary'!$A$42</c:f>
              <c:strCache>
                <c:ptCount val="1"/>
                <c:pt idx="0">
                  <c:v>Risks: Missed Required Resolution Date</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Summary'!$B$42:$S$42</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3"/>
          <c:order val="3"/>
          <c:tx>
            <c:strRef>
              <c:f>'Project Summary'!$A$43</c:f>
              <c:strCache>
                <c:ptCount val="1"/>
                <c:pt idx="0">
                  <c:v>Risks with no Required Resolution Date</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Summary'!$B$43:$S$43</c:f>
              <c:numCache>
                <c:formatCode>General</c:formatCode>
                <c:ptCount val="18"/>
                <c:pt idx="0">
                  <c:v>3</c:v>
                </c:pt>
                <c:pt idx="1">
                  <c:v>3</c:v>
                </c:pt>
                <c:pt idx="2">
                  <c:v>3</c:v>
                </c:pt>
                <c:pt idx="3">
                  <c:v>2</c:v>
                </c:pt>
                <c:pt idx="4">
                  <c:v>2</c:v>
                </c:pt>
                <c:pt idx="5">
                  <c:v>7</c:v>
                </c:pt>
                <c:pt idx="6">
                  <c:v>7</c:v>
                </c:pt>
                <c:pt idx="7">
                  <c:v>6</c:v>
                </c:pt>
                <c:pt idx="8">
                  <c:v>3</c:v>
                </c:pt>
                <c:pt idx="9">
                  <c:v>1</c:v>
                </c:pt>
                <c:pt idx="10">
                  <c:v>1</c:v>
                </c:pt>
                <c:pt idx="11">
                  <c:v>2</c:v>
                </c:pt>
                <c:pt idx="12">
                  <c:v>1</c:v>
                </c:pt>
                <c:pt idx="13">
                  <c:v>0</c:v>
                </c:pt>
                <c:pt idx="14">
                  <c:v>1</c:v>
                </c:pt>
                <c:pt idx="15">
                  <c:v>0</c:v>
                </c:pt>
                <c:pt idx="16">
                  <c:v>0</c:v>
                </c:pt>
                <c:pt idx="17">
                  <c:v>0</c:v>
                </c:pt>
              </c:numCache>
            </c:numRef>
          </c:val>
        </c:ser>
        <c:ser>
          <c:idx val="7"/>
          <c:order val="4"/>
          <c:tx>
            <c:strRef>
              <c:f>'Project Summary'!$A$44</c:f>
              <c:strCache>
                <c:ptCount val="1"/>
                <c:pt idx="0">
                  <c:v>Risks open 1-3 months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Summary'!$B$44:$S$44</c:f>
              <c:numCache>
                <c:formatCode>General</c:formatCode>
                <c:ptCount val="18"/>
                <c:pt idx="0">
                  <c:v>3</c:v>
                </c:pt>
                <c:pt idx="1">
                  <c:v>3</c:v>
                </c:pt>
                <c:pt idx="2">
                  <c:v>3</c:v>
                </c:pt>
                <c:pt idx="3">
                  <c:v>3</c:v>
                </c:pt>
                <c:pt idx="4">
                  <c:v>3</c:v>
                </c:pt>
                <c:pt idx="5">
                  <c:v>3</c:v>
                </c:pt>
                <c:pt idx="6">
                  <c:v>2</c:v>
                </c:pt>
                <c:pt idx="7">
                  <c:v>2</c:v>
                </c:pt>
                <c:pt idx="8">
                  <c:v>2</c:v>
                </c:pt>
                <c:pt idx="9">
                  <c:v>2</c:v>
                </c:pt>
                <c:pt idx="10">
                  <c:v>2</c:v>
                </c:pt>
                <c:pt idx="11">
                  <c:v>2</c:v>
                </c:pt>
                <c:pt idx="12">
                  <c:v>2</c:v>
                </c:pt>
                <c:pt idx="13">
                  <c:v>1</c:v>
                </c:pt>
                <c:pt idx="14">
                  <c:v>0</c:v>
                </c:pt>
                <c:pt idx="15">
                  <c:v>0</c:v>
                </c:pt>
                <c:pt idx="16">
                  <c:v>2</c:v>
                </c:pt>
                <c:pt idx="17">
                  <c:v>3</c:v>
                </c:pt>
              </c:numCache>
            </c:numRef>
          </c:val>
        </c:ser>
        <c:ser>
          <c:idx val="8"/>
          <c:order val="5"/>
          <c:tx>
            <c:strRef>
              <c:f>'Project Summary'!$A$45</c:f>
              <c:strCache>
                <c:ptCount val="1"/>
                <c:pt idx="0">
                  <c:v>Risks open 3-6 months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Summary'!$B$45:$S$45</c:f>
              <c:numCache>
                <c:formatCode>General</c:formatCode>
                <c:ptCount val="18"/>
                <c:pt idx="0">
                  <c:v>1</c:v>
                </c:pt>
                <c:pt idx="1">
                  <c:v>1</c:v>
                </c:pt>
                <c:pt idx="2">
                  <c:v>1</c:v>
                </c:pt>
                <c:pt idx="3">
                  <c:v>1</c:v>
                </c:pt>
                <c:pt idx="4">
                  <c:v>1</c:v>
                </c:pt>
                <c:pt idx="5">
                  <c:v>1</c:v>
                </c:pt>
                <c:pt idx="6">
                  <c:v>2</c:v>
                </c:pt>
                <c:pt idx="7">
                  <c:v>1</c:v>
                </c:pt>
                <c:pt idx="8">
                  <c:v>1</c:v>
                </c:pt>
                <c:pt idx="9">
                  <c:v>1</c:v>
                </c:pt>
                <c:pt idx="10">
                  <c:v>1</c:v>
                </c:pt>
                <c:pt idx="11">
                  <c:v>1</c:v>
                </c:pt>
                <c:pt idx="12">
                  <c:v>1</c:v>
                </c:pt>
                <c:pt idx="13">
                  <c:v>1</c:v>
                </c:pt>
                <c:pt idx="14">
                  <c:v>2</c:v>
                </c:pt>
                <c:pt idx="15">
                  <c:v>2</c:v>
                </c:pt>
                <c:pt idx="16">
                  <c:v>2</c:v>
                </c:pt>
                <c:pt idx="17">
                  <c:v>2</c:v>
                </c:pt>
              </c:numCache>
            </c:numRef>
          </c:val>
        </c:ser>
        <c:ser>
          <c:idx val="9"/>
          <c:order val="6"/>
          <c:tx>
            <c:strRef>
              <c:f>'Project Summary'!$A$46</c:f>
              <c:strCache>
                <c:ptCount val="1"/>
                <c:pt idx="0">
                  <c:v>Risks open longer than 6 months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Summary'!$B$46:$S$46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0"/>
          <c:order val="7"/>
          <c:tx>
            <c:strRef>
              <c:f>'Project Summary'!$A$47</c:f>
              <c:strCache>
                <c:ptCount val="1"/>
                <c:pt idx="0">
                  <c:v>Total Open Issues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Summary'!$B$47:$S$47</c:f>
              <c:numCache>
                <c:formatCode>General</c:formatCode>
                <c:ptCount val="18"/>
                <c:pt idx="0">
                  <c:v>8</c:v>
                </c:pt>
                <c:pt idx="1">
                  <c:v>8</c:v>
                </c:pt>
                <c:pt idx="2">
                  <c:v>8</c:v>
                </c:pt>
                <c:pt idx="3">
                  <c:v>8</c:v>
                </c:pt>
                <c:pt idx="4">
                  <c:v>8</c:v>
                </c:pt>
                <c:pt idx="5">
                  <c:v>8</c:v>
                </c:pt>
                <c:pt idx="6">
                  <c:v>8</c:v>
                </c:pt>
                <c:pt idx="7">
                  <c:v>7</c:v>
                </c:pt>
                <c:pt idx="8">
                  <c:v>7</c:v>
                </c:pt>
                <c:pt idx="9">
                  <c:v>8</c:v>
                </c:pt>
                <c:pt idx="10">
                  <c:v>14</c:v>
                </c:pt>
                <c:pt idx="11">
                  <c:v>15</c:v>
                </c:pt>
                <c:pt idx="12">
                  <c:v>15</c:v>
                </c:pt>
                <c:pt idx="13">
                  <c:v>15</c:v>
                </c:pt>
                <c:pt idx="14">
                  <c:v>15</c:v>
                </c:pt>
                <c:pt idx="15">
                  <c:v>15</c:v>
                </c:pt>
                <c:pt idx="16">
                  <c:v>14</c:v>
                </c:pt>
                <c:pt idx="17">
                  <c:v>14</c:v>
                </c:pt>
              </c:numCache>
            </c:numRef>
          </c:val>
        </c:ser>
        <c:ser>
          <c:idx val="4"/>
          <c:order val="8"/>
          <c:tx>
            <c:strRef>
              <c:f>'Project Summary'!$A$48</c:f>
              <c:strCache>
                <c:ptCount val="1"/>
                <c:pt idx="0">
                  <c:v>Total Open High or Critical Issues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Summary'!$B$48:$S$48</c:f>
              <c:numCache>
                <c:formatCode>General</c:formatCode>
                <c:ptCount val="18"/>
                <c:pt idx="0">
                  <c:v>8</c:v>
                </c:pt>
                <c:pt idx="1">
                  <c:v>8</c:v>
                </c:pt>
                <c:pt idx="2">
                  <c:v>8</c:v>
                </c:pt>
                <c:pt idx="3">
                  <c:v>8</c:v>
                </c:pt>
                <c:pt idx="4">
                  <c:v>8</c:v>
                </c:pt>
                <c:pt idx="5">
                  <c:v>8</c:v>
                </c:pt>
                <c:pt idx="6">
                  <c:v>8</c:v>
                </c:pt>
                <c:pt idx="7">
                  <c:v>7</c:v>
                </c:pt>
                <c:pt idx="8">
                  <c:v>7</c:v>
                </c:pt>
                <c:pt idx="9">
                  <c:v>8</c:v>
                </c:pt>
                <c:pt idx="10">
                  <c:v>10</c:v>
                </c:pt>
                <c:pt idx="11">
                  <c:v>10</c:v>
                </c:pt>
                <c:pt idx="12">
                  <c:v>10</c:v>
                </c:pt>
                <c:pt idx="13">
                  <c:v>10</c:v>
                </c:pt>
                <c:pt idx="14">
                  <c:v>10</c:v>
                </c:pt>
                <c:pt idx="15">
                  <c:v>10</c:v>
                </c:pt>
                <c:pt idx="16">
                  <c:v>9</c:v>
                </c:pt>
                <c:pt idx="17">
                  <c:v>9</c:v>
                </c:pt>
              </c:numCache>
            </c:numRef>
          </c:val>
        </c:ser>
        <c:ser>
          <c:idx val="5"/>
          <c:order val="9"/>
          <c:tx>
            <c:strRef>
              <c:f>'Project Summary'!$A$49</c:f>
              <c:strCache>
                <c:ptCount val="1"/>
                <c:pt idx="0">
                  <c:v>Issues: Missed Required Resolution Date</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Summary'!$B$49:$S$49</c:f>
              <c:numCache>
                <c:formatCode>General</c:formatCode>
                <c:ptCount val="18"/>
                <c:pt idx="0">
                  <c:v>1</c:v>
                </c:pt>
                <c:pt idx="1">
                  <c:v>1</c:v>
                </c:pt>
                <c:pt idx="2">
                  <c:v>1</c:v>
                </c:pt>
                <c:pt idx="3">
                  <c:v>2</c:v>
                </c:pt>
                <c:pt idx="4">
                  <c:v>2</c:v>
                </c:pt>
                <c:pt idx="5">
                  <c:v>3</c:v>
                </c:pt>
                <c:pt idx="6">
                  <c:v>3</c:v>
                </c:pt>
                <c:pt idx="7">
                  <c:v>3</c:v>
                </c:pt>
                <c:pt idx="8">
                  <c:v>3</c:v>
                </c:pt>
                <c:pt idx="9">
                  <c:v>3</c:v>
                </c:pt>
                <c:pt idx="10">
                  <c:v>3</c:v>
                </c:pt>
                <c:pt idx="11">
                  <c:v>2</c:v>
                </c:pt>
                <c:pt idx="12">
                  <c:v>2</c:v>
                </c:pt>
                <c:pt idx="13">
                  <c:v>2</c:v>
                </c:pt>
                <c:pt idx="14">
                  <c:v>2</c:v>
                </c:pt>
                <c:pt idx="15">
                  <c:v>2</c:v>
                </c:pt>
                <c:pt idx="16">
                  <c:v>1</c:v>
                </c:pt>
                <c:pt idx="17">
                  <c:v>1</c:v>
                </c:pt>
              </c:numCache>
            </c:numRef>
          </c:val>
        </c:ser>
        <c:ser>
          <c:idx val="6"/>
          <c:order val="10"/>
          <c:tx>
            <c:strRef>
              <c:f>'Project Summary'!$A$50</c:f>
              <c:strCache>
                <c:ptCount val="1"/>
                <c:pt idx="0">
                  <c:v>Issues with no Required Resolution Date</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Summary'!$B$50:$S$50</c:f>
              <c:numCache>
                <c:formatCode>General</c:formatCode>
                <c:ptCount val="18"/>
                <c:pt idx="0">
                  <c:v>3</c:v>
                </c:pt>
                <c:pt idx="1">
                  <c:v>2</c:v>
                </c:pt>
                <c:pt idx="2">
                  <c:v>2</c:v>
                </c:pt>
                <c:pt idx="3">
                  <c:v>2</c:v>
                </c:pt>
                <c:pt idx="4">
                  <c:v>1</c:v>
                </c:pt>
                <c:pt idx="5">
                  <c:v>1</c:v>
                </c:pt>
                <c:pt idx="6">
                  <c:v>1</c:v>
                </c:pt>
                <c:pt idx="7">
                  <c:v>1</c:v>
                </c:pt>
                <c:pt idx="8">
                  <c:v>1</c:v>
                </c:pt>
                <c:pt idx="9">
                  <c:v>2</c:v>
                </c:pt>
                <c:pt idx="10">
                  <c:v>3</c:v>
                </c:pt>
                <c:pt idx="11">
                  <c:v>4</c:v>
                </c:pt>
                <c:pt idx="12">
                  <c:v>2</c:v>
                </c:pt>
                <c:pt idx="13">
                  <c:v>1</c:v>
                </c:pt>
                <c:pt idx="14">
                  <c:v>1</c:v>
                </c:pt>
                <c:pt idx="15">
                  <c:v>1</c:v>
                </c:pt>
                <c:pt idx="16">
                  <c:v>0</c:v>
                </c:pt>
                <c:pt idx="17">
                  <c:v>0</c:v>
                </c:pt>
              </c:numCache>
            </c:numRef>
          </c:val>
        </c:ser>
        <c:ser>
          <c:idx val="11"/>
          <c:order val="11"/>
          <c:tx>
            <c:strRef>
              <c:f>'Project Summary'!$A$51</c:f>
              <c:strCache>
                <c:ptCount val="1"/>
                <c:pt idx="0">
                  <c:v>Issues open 1-3 months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Summary'!$B$51:$S$51</c:f>
              <c:numCache>
                <c:formatCode>General</c:formatCode>
                <c:ptCount val="18"/>
                <c:pt idx="0">
                  <c:v>3</c:v>
                </c:pt>
                <c:pt idx="1">
                  <c:v>3</c:v>
                </c:pt>
                <c:pt idx="2">
                  <c:v>5</c:v>
                </c:pt>
                <c:pt idx="3">
                  <c:v>6</c:v>
                </c:pt>
                <c:pt idx="4">
                  <c:v>7</c:v>
                </c:pt>
                <c:pt idx="5">
                  <c:v>7</c:v>
                </c:pt>
                <c:pt idx="6">
                  <c:v>7</c:v>
                </c:pt>
                <c:pt idx="7">
                  <c:v>5</c:v>
                </c:pt>
                <c:pt idx="8">
                  <c:v>5</c:v>
                </c:pt>
                <c:pt idx="9">
                  <c:v>6</c:v>
                </c:pt>
                <c:pt idx="10">
                  <c:v>6</c:v>
                </c:pt>
                <c:pt idx="11">
                  <c:v>9</c:v>
                </c:pt>
                <c:pt idx="12">
                  <c:v>9</c:v>
                </c:pt>
                <c:pt idx="13">
                  <c:v>9</c:v>
                </c:pt>
                <c:pt idx="14">
                  <c:v>9</c:v>
                </c:pt>
                <c:pt idx="15">
                  <c:v>9</c:v>
                </c:pt>
                <c:pt idx="16">
                  <c:v>9</c:v>
                </c:pt>
                <c:pt idx="17">
                  <c:v>10</c:v>
                </c:pt>
              </c:numCache>
            </c:numRef>
          </c:val>
        </c:ser>
        <c:ser>
          <c:idx val="12"/>
          <c:order val="12"/>
          <c:tx>
            <c:strRef>
              <c:f>'Project Summary'!$A$52</c:f>
              <c:strCache>
                <c:ptCount val="1"/>
                <c:pt idx="0">
                  <c:v>Issues open 3-6 months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Summary'!$B$52:$S$52</c:f>
              <c:numCache>
                <c:formatCode>General</c:formatCode>
                <c:ptCount val="18"/>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numCache>
            </c:numRef>
          </c:val>
        </c:ser>
        <c:ser>
          <c:idx val="13"/>
          <c:order val="13"/>
          <c:tx>
            <c:strRef>
              <c:f>'Project Summary'!$A$53</c:f>
              <c:strCache>
                <c:ptCount val="1"/>
                <c:pt idx="0">
                  <c:v>Issues open longer than 6 months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Summary'!$B$53:$S$53</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4"/>
          <c:order val="14"/>
          <c:tx>
            <c:strRef>
              <c:f>'Project Summary'!$A$54</c:f>
              <c:strCache>
                <c:ptCount val="1"/>
                <c:pt idx="0">
                  <c:v>Total Assumptions not yet validated</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Summary'!$B$54:$S$54</c:f>
              <c:numCache>
                <c:formatCode>General</c:formatCode>
                <c:ptCount val="18"/>
                <c:pt idx="0">
                  <c:v>3</c:v>
                </c:pt>
                <c:pt idx="1">
                  <c:v>3</c:v>
                </c:pt>
                <c:pt idx="2">
                  <c:v>3</c:v>
                </c:pt>
                <c:pt idx="3">
                  <c:v>3</c:v>
                </c:pt>
                <c:pt idx="4">
                  <c:v>3</c:v>
                </c:pt>
                <c:pt idx="5">
                  <c:v>3</c:v>
                </c:pt>
                <c:pt idx="6">
                  <c:v>3</c:v>
                </c:pt>
                <c:pt idx="7">
                  <c:v>1</c:v>
                </c:pt>
                <c:pt idx="8">
                  <c:v>1</c:v>
                </c:pt>
                <c:pt idx="9">
                  <c:v>1</c:v>
                </c:pt>
                <c:pt idx="10">
                  <c:v>1</c:v>
                </c:pt>
                <c:pt idx="11">
                  <c:v>1</c:v>
                </c:pt>
                <c:pt idx="12">
                  <c:v>1</c:v>
                </c:pt>
                <c:pt idx="13">
                  <c:v>1</c:v>
                </c:pt>
                <c:pt idx="14">
                  <c:v>1</c:v>
                </c:pt>
                <c:pt idx="15">
                  <c:v>1</c:v>
                </c:pt>
                <c:pt idx="16">
                  <c:v>1</c:v>
                </c:pt>
                <c:pt idx="17">
                  <c:v>1</c:v>
                </c:pt>
              </c:numCache>
            </c:numRef>
          </c:val>
        </c:ser>
        <c:ser>
          <c:idx val="15"/>
          <c:order val="15"/>
          <c:tx>
            <c:strRef>
              <c:f>'Project Summary'!$A$55</c:f>
              <c:strCache>
                <c:ptCount val="1"/>
                <c:pt idx="0">
                  <c:v>Total Pending Decisions</c:v>
                </c:pt>
              </c:strCache>
            </c:strRef>
          </c:tx>
          <c:cat>
            <c:numRef>
              <c:f>'Project Summary'!$B$39:$S$39</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Summary'!$B$55:$S$55</c:f>
              <c:numCache>
                <c:formatCode>General</c:formatCode>
                <c:ptCount val="18"/>
                <c:pt idx="0">
                  <c:v>1</c:v>
                </c:pt>
                <c:pt idx="1">
                  <c:v>1</c:v>
                </c:pt>
                <c:pt idx="2">
                  <c:v>1</c:v>
                </c:pt>
                <c:pt idx="3">
                  <c:v>1</c:v>
                </c:pt>
                <c:pt idx="4">
                  <c:v>3</c:v>
                </c:pt>
                <c:pt idx="5">
                  <c:v>3</c:v>
                </c:pt>
                <c:pt idx="6">
                  <c:v>3</c:v>
                </c:pt>
                <c:pt idx="7">
                  <c:v>3</c:v>
                </c:pt>
                <c:pt idx="8">
                  <c:v>3</c:v>
                </c:pt>
                <c:pt idx="9">
                  <c:v>3</c:v>
                </c:pt>
                <c:pt idx="10">
                  <c:v>3</c:v>
                </c:pt>
                <c:pt idx="11">
                  <c:v>2</c:v>
                </c:pt>
                <c:pt idx="12">
                  <c:v>2</c:v>
                </c:pt>
                <c:pt idx="13">
                  <c:v>2</c:v>
                </c:pt>
                <c:pt idx="14">
                  <c:v>2</c:v>
                </c:pt>
                <c:pt idx="15">
                  <c:v>2</c:v>
                </c:pt>
                <c:pt idx="16">
                  <c:v>2</c:v>
                </c:pt>
                <c:pt idx="17">
                  <c:v>2</c:v>
                </c:pt>
              </c:numCache>
            </c:numRef>
          </c:val>
        </c:ser>
        <c:marker val="1"/>
        <c:axId val="160040832"/>
        <c:axId val="160042368"/>
      </c:lineChart>
      <c:dateAx>
        <c:axId val="160040832"/>
        <c:scaling>
          <c:orientation val="minMax"/>
        </c:scaling>
        <c:axPos val="b"/>
        <c:numFmt formatCode="dd\-mmm" sourceLinked="1"/>
        <c:majorTickMark val="none"/>
        <c:tickLblPos val="nextTo"/>
        <c:txPr>
          <a:bodyPr/>
          <a:lstStyle/>
          <a:p>
            <a:pPr>
              <a:defRPr sz="700"/>
            </a:pPr>
            <a:endParaRPr lang="en-US"/>
          </a:p>
        </c:txPr>
        <c:crossAx val="160042368"/>
        <c:crosses val="autoZero"/>
        <c:auto val="1"/>
        <c:lblOffset val="100"/>
        <c:baseTimeUnit val="days"/>
        <c:majorUnit val="3"/>
        <c:majorTimeUnit val="days"/>
      </c:dateAx>
      <c:valAx>
        <c:axId val="160042368"/>
        <c:scaling>
          <c:orientation val="minMax"/>
        </c:scaling>
        <c:axPos val="l"/>
        <c:majorGridlines/>
        <c:numFmt formatCode="General" sourceLinked="1"/>
        <c:majorTickMark val="none"/>
        <c:tickLblPos val="nextTo"/>
        <c:txPr>
          <a:bodyPr/>
          <a:lstStyle/>
          <a:p>
            <a:pPr>
              <a:defRPr sz="700"/>
            </a:pPr>
            <a:endParaRPr lang="en-US"/>
          </a:p>
        </c:txPr>
        <c:crossAx val="160040832"/>
        <c:crosses val="autoZero"/>
        <c:crossBetween val="between"/>
      </c:valAx>
    </c:plotArea>
    <c:legend>
      <c:legendPos val="r"/>
      <c:txPr>
        <a:bodyPr/>
        <a:lstStyle/>
        <a:p>
          <a:pPr>
            <a:defRPr sz="650"/>
          </a:pPr>
          <a:endParaRPr lang="en-US"/>
        </a:p>
      </c:txP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800"/>
            </a:pPr>
            <a:r>
              <a:rPr lang="en-US" sz="800"/>
              <a:t>Technology Foundation</a:t>
            </a:r>
          </a:p>
        </c:rich>
      </c:tx>
    </c:title>
    <c:plotArea>
      <c:layout/>
      <c:lineChart>
        <c:grouping val="standard"/>
        <c:ser>
          <c:idx val="0"/>
          <c:order val="0"/>
          <c:tx>
            <c:strRef>
              <c:f>'Project Summary'!$A$78</c:f>
              <c:strCache>
                <c:ptCount val="1"/>
                <c:pt idx="0">
                  <c:v>Total Open Risks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Summary'!$B$78:$S$78</c:f>
              <c:numCache>
                <c:formatCode>General</c:formatCode>
                <c:ptCount val="18"/>
                <c:pt idx="0">
                  <c:v>10</c:v>
                </c:pt>
                <c:pt idx="1">
                  <c:v>9</c:v>
                </c:pt>
                <c:pt idx="2">
                  <c:v>9</c:v>
                </c:pt>
                <c:pt idx="3">
                  <c:v>9</c:v>
                </c:pt>
                <c:pt idx="4">
                  <c:v>9</c:v>
                </c:pt>
                <c:pt idx="5">
                  <c:v>9</c:v>
                </c:pt>
                <c:pt idx="6">
                  <c:v>8</c:v>
                </c:pt>
                <c:pt idx="7">
                  <c:v>5</c:v>
                </c:pt>
                <c:pt idx="8">
                  <c:v>4</c:v>
                </c:pt>
                <c:pt idx="9">
                  <c:v>4</c:v>
                </c:pt>
                <c:pt idx="10">
                  <c:v>4</c:v>
                </c:pt>
                <c:pt idx="11">
                  <c:v>4</c:v>
                </c:pt>
                <c:pt idx="12">
                  <c:v>5</c:v>
                </c:pt>
                <c:pt idx="13">
                  <c:v>5</c:v>
                </c:pt>
                <c:pt idx="14">
                  <c:v>5</c:v>
                </c:pt>
                <c:pt idx="15">
                  <c:v>5</c:v>
                </c:pt>
                <c:pt idx="16">
                  <c:v>7</c:v>
                </c:pt>
                <c:pt idx="17">
                  <c:v>7</c:v>
                </c:pt>
              </c:numCache>
            </c:numRef>
          </c:val>
        </c:ser>
        <c:ser>
          <c:idx val="1"/>
          <c:order val="1"/>
          <c:tx>
            <c:strRef>
              <c:f>'Project Summary'!$A$79</c:f>
              <c:strCache>
                <c:ptCount val="1"/>
                <c:pt idx="0">
                  <c:v>Total Open High or Critical Risks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Summary'!$B$79:$S$79</c:f>
              <c:numCache>
                <c:formatCode>General</c:formatCode>
                <c:ptCount val="18"/>
                <c:pt idx="0">
                  <c:v>7</c:v>
                </c:pt>
                <c:pt idx="1">
                  <c:v>6</c:v>
                </c:pt>
                <c:pt idx="2">
                  <c:v>6</c:v>
                </c:pt>
                <c:pt idx="3">
                  <c:v>6</c:v>
                </c:pt>
                <c:pt idx="4">
                  <c:v>6</c:v>
                </c:pt>
                <c:pt idx="5">
                  <c:v>6</c:v>
                </c:pt>
                <c:pt idx="6">
                  <c:v>4</c:v>
                </c:pt>
                <c:pt idx="7">
                  <c:v>2</c:v>
                </c:pt>
                <c:pt idx="8">
                  <c:v>1</c:v>
                </c:pt>
                <c:pt idx="9">
                  <c:v>1</c:v>
                </c:pt>
                <c:pt idx="10">
                  <c:v>1</c:v>
                </c:pt>
                <c:pt idx="11">
                  <c:v>1</c:v>
                </c:pt>
                <c:pt idx="12">
                  <c:v>2</c:v>
                </c:pt>
                <c:pt idx="13">
                  <c:v>2</c:v>
                </c:pt>
                <c:pt idx="14">
                  <c:v>2</c:v>
                </c:pt>
                <c:pt idx="15">
                  <c:v>2</c:v>
                </c:pt>
                <c:pt idx="16">
                  <c:v>1</c:v>
                </c:pt>
                <c:pt idx="17">
                  <c:v>1</c:v>
                </c:pt>
              </c:numCache>
            </c:numRef>
          </c:val>
        </c:ser>
        <c:ser>
          <c:idx val="2"/>
          <c:order val="2"/>
          <c:tx>
            <c:strRef>
              <c:f>'Project Summary'!$A$80</c:f>
              <c:strCache>
                <c:ptCount val="1"/>
                <c:pt idx="0">
                  <c:v>Risks: Missed Required Resolution Date</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Summary'!$B$80:$S$80</c:f>
              <c:numCache>
                <c:formatCode>General</c:formatCode>
                <c:ptCount val="18"/>
                <c:pt idx="0">
                  <c:v>2</c:v>
                </c:pt>
                <c:pt idx="1">
                  <c:v>1</c:v>
                </c:pt>
                <c:pt idx="2">
                  <c:v>2</c:v>
                </c:pt>
                <c:pt idx="3">
                  <c:v>2</c:v>
                </c:pt>
                <c:pt idx="4">
                  <c:v>2</c:v>
                </c:pt>
                <c:pt idx="5">
                  <c:v>4</c:v>
                </c:pt>
                <c:pt idx="6">
                  <c:v>3</c:v>
                </c:pt>
                <c:pt idx="7">
                  <c:v>0</c:v>
                </c:pt>
                <c:pt idx="8">
                  <c:v>0</c:v>
                </c:pt>
                <c:pt idx="9">
                  <c:v>0</c:v>
                </c:pt>
                <c:pt idx="10">
                  <c:v>0</c:v>
                </c:pt>
                <c:pt idx="11">
                  <c:v>0</c:v>
                </c:pt>
                <c:pt idx="12">
                  <c:v>0</c:v>
                </c:pt>
                <c:pt idx="13">
                  <c:v>1</c:v>
                </c:pt>
                <c:pt idx="14">
                  <c:v>1</c:v>
                </c:pt>
                <c:pt idx="15">
                  <c:v>0</c:v>
                </c:pt>
                <c:pt idx="16">
                  <c:v>0</c:v>
                </c:pt>
                <c:pt idx="17">
                  <c:v>0</c:v>
                </c:pt>
              </c:numCache>
            </c:numRef>
          </c:val>
        </c:ser>
        <c:ser>
          <c:idx val="3"/>
          <c:order val="3"/>
          <c:tx>
            <c:strRef>
              <c:f>'Project Summary'!$A$81</c:f>
              <c:strCache>
                <c:ptCount val="1"/>
                <c:pt idx="0">
                  <c:v>Risks with no Required Resolution Date</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Summary'!$B$81:$S$81</c:f>
              <c:numCache>
                <c:formatCode>General</c:formatCode>
                <c:ptCount val="18"/>
                <c:pt idx="0">
                  <c:v>3</c:v>
                </c:pt>
                <c:pt idx="1">
                  <c:v>3</c:v>
                </c:pt>
                <c:pt idx="2">
                  <c:v>3</c:v>
                </c:pt>
                <c:pt idx="3">
                  <c:v>3</c:v>
                </c:pt>
                <c:pt idx="4">
                  <c:v>3</c:v>
                </c:pt>
                <c:pt idx="5">
                  <c:v>3</c:v>
                </c:pt>
                <c:pt idx="6">
                  <c:v>3</c:v>
                </c:pt>
                <c:pt idx="7">
                  <c:v>2</c:v>
                </c:pt>
                <c:pt idx="8">
                  <c:v>1</c:v>
                </c:pt>
                <c:pt idx="9">
                  <c:v>1</c:v>
                </c:pt>
                <c:pt idx="10">
                  <c:v>1</c:v>
                </c:pt>
                <c:pt idx="11">
                  <c:v>1</c:v>
                </c:pt>
                <c:pt idx="12">
                  <c:v>0</c:v>
                </c:pt>
                <c:pt idx="13">
                  <c:v>0</c:v>
                </c:pt>
                <c:pt idx="14">
                  <c:v>0</c:v>
                </c:pt>
                <c:pt idx="15">
                  <c:v>0</c:v>
                </c:pt>
                <c:pt idx="16">
                  <c:v>4</c:v>
                </c:pt>
                <c:pt idx="17">
                  <c:v>4</c:v>
                </c:pt>
              </c:numCache>
            </c:numRef>
          </c:val>
        </c:ser>
        <c:ser>
          <c:idx val="7"/>
          <c:order val="4"/>
          <c:tx>
            <c:strRef>
              <c:f>'Project Summary'!$A$82</c:f>
              <c:strCache>
                <c:ptCount val="1"/>
                <c:pt idx="0">
                  <c:v>Risks open 1-3 months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Summary'!$B$82:$S$82</c:f>
              <c:numCache>
                <c:formatCode>General</c:formatCode>
                <c:ptCount val="18"/>
                <c:pt idx="0">
                  <c:v>3</c:v>
                </c:pt>
                <c:pt idx="1">
                  <c:v>3</c:v>
                </c:pt>
                <c:pt idx="2">
                  <c:v>3</c:v>
                </c:pt>
                <c:pt idx="3">
                  <c:v>3</c:v>
                </c:pt>
                <c:pt idx="4">
                  <c:v>5</c:v>
                </c:pt>
                <c:pt idx="5">
                  <c:v>4</c:v>
                </c:pt>
                <c:pt idx="6">
                  <c:v>5</c:v>
                </c:pt>
                <c:pt idx="7">
                  <c:v>4</c:v>
                </c:pt>
                <c:pt idx="8">
                  <c:v>3</c:v>
                </c:pt>
                <c:pt idx="9">
                  <c:v>3</c:v>
                </c:pt>
                <c:pt idx="10">
                  <c:v>3</c:v>
                </c:pt>
                <c:pt idx="11">
                  <c:v>3</c:v>
                </c:pt>
                <c:pt idx="12">
                  <c:v>3</c:v>
                </c:pt>
                <c:pt idx="13">
                  <c:v>3</c:v>
                </c:pt>
                <c:pt idx="14">
                  <c:v>3</c:v>
                </c:pt>
                <c:pt idx="15">
                  <c:v>3</c:v>
                </c:pt>
                <c:pt idx="16">
                  <c:v>3</c:v>
                </c:pt>
                <c:pt idx="17">
                  <c:v>3</c:v>
                </c:pt>
              </c:numCache>
            </c:numRef>
          </c:val>
        </c:ser>
        <c:ser>
          <c:idx val="8"/>
          <c:order val="5"/>
          <c:tx>
            <c:strRef>
              <c:f>'Project Summary'!$A$83</c:f>
              <c:strCache>
                <c:ptCount val="1"/>
                <c:pt idx="0">
                  <c:v>Risks open 3-6 months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Summary'!$B$83:$S$83</c:f>
              <c:numCache>
                <c:formatCode>General</c:formatCode>
                <c:ptCount val="18"/>
                <c:pt idx="0">
                  <c:v>0</c:v>
                </c:pt>
                <c:pt idx="1">
                  <c:v>0</c:v>
                </c:pt>
                <c:pt idx="2">
                  <c:v>0</c:v>
                </c:pt>
                <c:pt idx="3">
                  <c:v>0</c:v>
                </c:pt>
                <c:pt idx="4">
                  <c:v>0</c:v>
                </c:pt>
                <c:pt idx="5">
                  <c:v>1</c:v>
                </c:pt>
                <c:pt idx="6">
                  <c:v>1</c:v>
                </c:pt>
                <c:pt idx="7">
                  <c:v>0</c:v>
                </c:pt>
                <c:pt idx="8">
                  <c:v>0</c:v>
                </c:pt>
                <c:pt idx="9">
                  <c:v>0</c:v>
                </c:pt>
                <c:pt idx="10">
                  <c:v>0</c:v>
                </c:pt>
                <c:pt idx="11">
                  <c:v>0</c:v>
                </c:pt>
                <c:pt idx="12">
                  <c:v>0</c:v>
                </c:pt>
                <c:pt idx="13">
                  <c:v>0</c:v>
                </c:pt>
                <c:pt idx="14">
                  <c:v>0</c:v>
                </c:pt>
                <c:pt idx="15">
                  <c:v>0</c:v>
                </c:pt>
                <c:pt idx="16">
                  <c:v>0</c:v>
                </c:pt>
                <c:pt idx="17">
                  <c:v>0</c:v>
                </c:pt>
              </c:numCache>
            </c:numRef>
          </c:val>
        </c:ser>
        <c:ser>
          <c:idx val="9"/>
          <c:order val="6"/>
          <c:tx>
            <c:strRef>
              <c:f>'Project Summary'!$A$84</c:f>
              <c:strCache>
                <c:ptCount val="1"/>
                <c:pt idx="0">
                  <c:v>Risks open longer than 6 months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Summary'!$B$84:$S$84</c:f>
              <c:numCache>
                <c:formatCode>General</c:formatCode>
                <c:ptCount val="18"/>
                <c:pt idx="0">
                  <c:v>3</c:v>
                </c:pt>
                <c:pt idx="1">
                  <c:v>2</c:v>
                </c:pt>
                <c:pt idx="2">
                  <c:v>2</c:v>
                </c:pt>
                <c:pt idx="3">
                  <c:v>2</c:v>
                </c:pt>
                <c:pt idx="4">
                  <c:v>2</c:v>
                </c:pt>
                <c:pt idx="5">
                  <c:v>2</c:v>
                </c:pt>
                <c:pt idx="6">
                  <c:v>2</c:v>
                </c:pt>
                <c:pt idx="7">
                  <c:v>1</c:v>
                </c:pt>
                <c:pt idx="8">
                  <c:v>1</c:v>
                </c:pt>
                <c:pt idx="9">
                  <c:v>1</c:v>
                </c:pt>
                <c:pt idx="10">
                  <c:v>1</c:v>
                </c:pt>
                <c:pt idx="11">
                  <c:v>1</c:v>
                </c:pt>
                <c:pt idx="12">
                  <c:v>1</c:v>
                </c:pt>
                <c:pt idx="13">
                  <c:v>1</c:v>
                </c:pt>
                <c:pt idx="14">
                  <c:v>1</c:v>
                </c:pt>
                <c:pt idx="15">
                  <c:v>1</c:v>
                </c:pt>
                <c:pt idx="16">
                  <c:v>0</c:v>
                </c:pt>
                <c:pt idx="17">
                  <c:v>0</c:v>
                </c:pt>
              </c:numCache>
            </c:numRef>
          </c:val>
        </c:ser>
        <c:ser>
          <c:idx val="10"/>
          <c:order val="7"/>
          <c:tx>
            <c:strRef>
              <c:f>'Project Summary'!$A$85</c:f>
              <c:strCache>
                <c:ptCount val="1"/>
                <c:pt idx="0">
                  <c:v>Total Open Issues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Summary'!$B$85:$S$85</c:f>
              <c:numCache>
                <c:formatCode>General</c:formatCode>
                <c:ptCount val="18"/>
                <c:pt idx="0">
                  <c:v>20</c:v>
                </c:pt>
                <c:pt idx="1">
                  <c:v>13</c:v>
                </c:pt>
                <c:pt idx="2">
                  <c:v>13</c:v>
                </c:pt>
                <c:pt idx="3">
                  <c:v>13</c:v>
                </c:pt>
                <c:pt idx="4">
                  <c:v>15</c:v>
                </c:pt>
                <c:pt idx="5">
                  <c:v>15</c:v>
                </c:pt>
                <c:pt idx="6">
                  <c:v>15</c:v>
                </c:pt>
                <c:pt idx="7">
                  <c:v>12</c:v>
                </c:pt>
                <c:pt idx="8">
                  <c:v>11</c:v>
                </c:pt>
                <c:pt idx="9">
                  <c:v>12</c:v>
                </c:pt>
                <c:pt idx="10">
                  <c:v>12</c:v>
                </c:pt>
                <c:pt idx="11">
                  <c:v>12</c:v>
                </c:pt>
                <c:pt idx="12">
                  <c:v>11</c:v>
                </c:pt>
                <c:pt idx="13">
                  <c:v>11</c:v>
                </c:pt>
                <c:pt idx="14">
                  <c:v>11</c:v>
                </c:pt>
                <c:pt idx="15">
                  <c:v>11</c:v>
                </c:pt>
                <c:pt idx="16">
                  <c:v>11</c:v>
                </c:pt>
                <c:pt idx="17">
                  <c:v>11</c:v>
                </c:pt>
              </c:numCache>
            </c:numRef>
          </c:val>
        </c:ser>
        <c:ser>
          <c:idx val="4"/>
          <c:order val="8"/>
          <c:tx>
            <c:strRef>
              <c:f>'Project Summary'!$A$86</c:f>
              <c:strCache>
                <c:ptCount val="1"/>
                <c:pt idx="0">
                  <c:v>Total Open High or Critical Issues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Summary'!$B$86:$S$86</c:f>
              <c:numCache>
                <c:formatCode>General</c:formatCode>
                <c:ptCount val="18"/>
                <c:pt idx="0">
                  <c:v>16</c:v>
                </c:pt>
                <c:pt idx="1">
                  <c:v>9</c:v>
                </c:pt>
                <c:pt idx="2">
                  <c:v>9</c:v>
                </c:pt>
                <c:pt idx="3">
                  <c:v>9</c:v>
                </c:pt>
                <c:pt idx="4">
                  <c:v>11</c:v>
                </c:pt>
                <c:pt idx="5">
                  <c:v>11</c:v>
                </c:pt>
                <c:pt idx="6">
                  <c:v>11</c:v>
                </c:pt>
                <c:pt idx="7">
                  <c:v>11</c:v>
                </c:pt>
                <c:pt idx="8">
                  <c:v>10</c:v>
                </c:pt>
                <c:pt idx="9">
                  <c:v>8</c:v>
                </c:pt>
                <c:pt idx="10">
                  <c:v>9</c:v>
                </c:pt>
                <c:pt idx="11">
                  <c:v>11</c:v>
                </c:pt>
                <c:pt idx="12">
                  <c:v>10</c:v>
                </c:pt>
                <c:pt idx="13">
                  <c:v>10</c:v>
                </c:pt>
                <c:pt idx="14">
                  <c:v>10</c:v>
                </c:pt>
                <c:pt idx="15">
                  <c:v>10</c:v>
                </c:pt>
                <c:pt idx="16">
                  <c:v>10</c:v>
                </c:pt>
                <c:pt idx="17">
                  <c:v>10</c:v>
                </c:pt>
              </c:numCache>
            </c:numRef>
          </c:val>
        </c:ser>
        <c:ser>
          <c:idx val="5"/>
          <c:order val="9"/>
          <c:tx>
            <c:strRef>
              <c:f>'Project Summary'!$A$87</c:f>
              <c:strCache>
                <c:ptCount val="1"/>
                <c:pt idx="0">
                  <c:v>Issues: Missed Required Resolution Date</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Summary'!$B$87:$S$87</c:f>
              <c:numCache>
                <c:formatCode>General</c:formatCode>
                <c:ptCount val="18"/>
                <c:pt idx="0">
                  <c:v>7</c:v>
                </c:pt>
                <c:pt idx="1">
                  <c:v>5</c:v>
                </c:pt>
                <c:pt idx="2">
                  <c:v>5</c:v>
                </c:pt>
                <c:pt idx="3">
                  <c:v>5</c:v>
                </c:pt>
                <c:pt idx="4">
                  <c:v>5</c:v>
                </c:pt>
                <c:pt idx="5">
                  <c:v>5</c:v>
                </c:pt>
                <c:pt idx="6">
                  <c:v>5</c:v>
                </c:pt>
                <c:pt idx="7">
                  <c:v>2</c:v>
                </c:pt>
                <c:pt idx="8">
                  <c:v>1</c:v>
                </c:pt>
                <c:pt idx="9">
                  <c:v>2</c:v>
                </c:pt>
                <c:pt idx="10">
                  <c:v>2</c:v>
                </c:pt>
                <c:pt idx="11">
                  <c:v>2</c:v>
                </c:pt>
                <c:pt idx="12">
                  <c:v>1</c:v>
                </c:pt>
                <c:pt idx="13">
                  <c:v>1</c:v>
                </c:pt>
                <c:pt idx="14">
                  <c:v>1</c:v>
                </c:pt>
                <c:pt idx="15">
                  <c:v>1</c:v>
                </c:pt>
                <c:pt idx="16">
                  <c:v>2</c:v>
                </c:pt>
                <c:pt idx="17">
                  <c:v>3</c:v>
                </c:pt>
              </c:numCache>
            </c:numRef>
          </c:val>
        </c:ser>
        <c:ser>
          <c:idx val="6"/>
          <c:order val="10"/>
          <c:tx>
            <c:strRef>
              <c:f>'Project Summary'!$A$88</c:f>
              <c:strCache>
                <c:ptCount val="1"/>
                <c:pt idx="0">
                  <c:v>Issues with no Required Resolution Date</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Summary'!$B$88:$S$88</c:f>
              <c:numCache>
                <c:formatCode>General</c:formatCode>
                <c:ptCount val="18"/>
                <c:pt idx="0">
                  <c:v>12</c:v>
                </c:pt>
                <c:pt idx="1">
                  <c:v>2</c:v>
                </c:pt>
                <c:pt idx="2">
                  <c:v>2</c:v>
                </c:pt>
                <c:pt idx="3">
                  <c:v>2</c:v>
                </c:pt>
                <c:pt idx="4">
                  <c:v>4</c:v>
                </c:pt>
                <c:pt idx="5">
                  <c:v>4</c:v>
                </c:pt>
                <c:pt idx="6">
                  <c:v>4</c:v>
                </c:pt>
                <c:pt idx="7">
                  <c:v>2</c:v>
                </c:pt>
                <c:pt idx="8">
                  <c:v>2</c:v>
                </c:pt>
                <c:pt idx="9">
                  <c:v>2</c:v>
                </c:pt>
                <c:pt idx="10">
                  <c:v>0</c:v>
                </c:pt>
                <c:pt idx="11">
                  <c:v>0</c:v>
                </c:pt>
                <c:pt idx="12">
                  <c:v>0</c:v>
                </c:pt>
                <c:pt idx="13">
                  <c:v>0</c:v>
                </c:pt>
                <c:pt idx="14">
                  <c:v>0</c:v>
                </c:pt>
                <c:pt idx="15">
                  <c:v>0</c:v>
                </c:pt>
                <c:pt idx="16">
                  <c:v>0</c:v>
                </c:pt>
                <c:pt idx="17">
                  <c:v>0</c:v>
                </c:pt>
              </c:numCache>
            </c:numRef>
          </c:val>
        </c:ser>
        <c:ser>
          <c:idx val="11"/>
          <c:order val="11"/>
          <c:tx>
            <c:strRef>
              <c:f>'Project Summary'!$A$89</c:f>
              <c:strCache>
                <c:ptCount val="1"/>
                <c:pt idx="0">
                  <c:v>Issues open 1-3 months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Summary'!$B$89:$S$89</c:f>
              <c:numCache>
                <c:formatCode>General</c:formatCode>
                <c:ptCount val="18"/>
                <c:pt idx="0">
                  <c:v>9</c:v>
                </c:pt>
                <c:pt idx="1">
                  <c:v>7</c:v>
                </c:pt>
                <c:pt idx="2">
                  <c:v>7</c:v>
                </c:pt>
                <c:pt idx="3">
                  <c:v>8</c:v>
                </c:pt>
                <c:pt idx="4">
                  <c:v>8</c:v>
                </c:pt>
                <c:pt idx="5">
                  <c:v>7</c:v>
                </c:pt>
                <c:pt idx="6">
                  <c:v>7</c:v>
                </c:pt>
                <c:pt idx="7">
                  <c:v>3</c:v>
                </c:pt>
                <c:pt idx="8">
                  <c:v>2</c:v>
                </c:pt>
                <c:pt idx="9">
                  <c:v>1</c:v>
                </c:pt>
                <c:pt idx="10">
                  <c:v>3</c:v>
                </c:pt>
                <c:pt idx="11">
                  <c:v>3</c:v>
                </c:pt>
                <c:pt idx="12">
                  <c:v>3</c:v>
                </c:pt>
                <c:pt idx="13">
                  <c:v>3</c:v>
                </c:pt>
                <c:pt idx="14">
                  <c:v>3</c:v>
                </c:pt>
                <c:pt idx="15">
                  <c:v>3</c:v>
                </c:pt>
                <c:pt idx="16">
                  <c:v>3</c:v>
                </c:pt>
                <c:pt idx="17">
                  <c:v>3</c:v>
                </c:pt>
              </c:numCache>
            </c:numRef>
          </c:val>
        </c:ser>
        <c:ser>
          <c:idx val="12"/>
          <c:order val="12"/>
          <c:tx>
            <c:strRef>
              <c:f>'Project Summary'!$A$90</c:f>
              <c:strCache>
                <c:ptCount val="1"/>
                <c:pt idx="0">
                  <c:v>Issues open 3-6 months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Summary'!$B$90:$S$90</c:f>
              <c:numCache>
                <c:formatCode>General</c:formatCode>
                <c:ptCount val="18"/>
                <c:pt idx="0">
                  <c:v>1</c:v>
                </c:pt>
                <c:pt idx="1">
                  <c:v>1</c:v>
                </c:pt>
                <c:pt idx="2">
                  <c:v>1</c:v>
                </c:pt>
                <c:pt idx="3">
                  <c:v>1</c:v>
                </c:pt>
                <c:pt idx="4">
                  <c:v>1</c:v>
                </c:pt>
                <c:pt idx="5">
                  <c:v>1</c:v>
                </c:pt>
                <c:pt idx="6">
                  <c:v>1</c:v>
                </c:pt>
                <c:pt idx="7">
                  <c:v>4</c:v>
                </c:pt>
                <c:pt idx="8">
                  <c:v>4</c:v>
                </c:pt>
                <c:pt idx="9">
                  <c:v>3</c:v>
                </c:pt>
                <c:pt idx="10">
                  <c:v>4</c:v>
                </c:pt>
                <c:pt idx="11">
                  <c:v>5</c:v>
                </c:pt>
                <c:pt idx="12">
                  <c:v>5</c:v>
                </c:pt>
                <c:pt idx="13">
                  <c:v>5</c:v>
                </c:pt>
                <c:pt idx="14">
                  <c:v>4</c:v>
                </c:pt>
                <c:pt idx="15">
                  <c:v>4</c:v>
                </c:pt>
                <c:pt idx="16">
                  <c:v>4</c:v>
                </c:pt>
                <c:pt idx="17">
                  <c:v>4</c:v>
                </c:pt>
              </c:numCache>
            </c:numRef>
          </c:val>
        </c:ser>
        <c:ser>
          <c:idx val="13"/>
          <c:order val="13"/>
          <c:tx>
            <c:strRef>
              <c:f>'Project Summary'!$A$91</c:f>
              <c:strCache>
                <c:ptCount val="1"/>
                <c:pt idx="0">
                  <c:v>Issues open longer than 6 months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Summary'!$B$91:$S$91</c:f>
              <c:numCache>
                <c:formatCode>General</c:formatCode>
                <c:ptCount val="18"/>
                <c:pt idx="0">
                  <c:v>2</c:v>
                </c:pt>
                <c:pt idx="1">
                  <c:v>2</c:v>
                </c:pt>
                <c:pt idx="2">
                  <c:v>2</c:v>
                </c:pt>
                <c:pt idx="3">
                  <c:v>2</c:v>
                </c:pt>
                <c:pt idx="4">
                  <c:v>2</c:v>
                </c:pt>
                <c:pt idx="5">
                  <c:v>3</c:v>
                </c:pt>
                <c:pt idx="6">
                  <c:v>3</c:v>
                </c:pt>
                <c:pt idx="7">
                  <c:v>1</c:v>
                </c:pt>
                <c:pt idx="8">
                  <c:v>1</c:v>
                </c:pt>
                <c:pt idx="9">
                  <c:v>0</c:v>
                </c:pt>
                <c:pt idx="10">
                  <c:v>1</c:v>
                </c:pt>
                <c:pt idx="11">
                  <c:v>1</c:v>
                </c:pt>
                <c:pt idx="12">
                  <c:v>1</c:v>
                </c:pt>
                <c:pt idx="13">
                  <c:v>1</c:v>
                </c:pt>
                <c:pt idx="14">
                  <c:v>1</c:v>
                </c:pt>
                <c:pt idx="15">
                  <c:v>1</c:v>
                </c:pt>
                <c:pt idx="16">
                  <c:v>1</c:v>
                </c:pt>
                <c:pt idx="17">
                  <c:v>1</c:v>
                </c:pt>
              </c:numCache>
            </c:numRef>
          </c:val>
        </c:ser>
        <c:ser>
          <c:idx val="14"/>
          <c:order val="14"/>
          <c:tx>
            <c:strRef>
              <c:f>'Project Summary'!$A$92</c:f>
              <c:strCache>
                <c:ptCount val="1"/>
                <c:pt idx="0">
                  <c:v>Total Assumptions not yet validated</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Summary'!$B$92:$S$92</c:f>
              <c:numCache>
                <c:formatCode>General</c:formatCode>
                <c:ptCount val="18"/>
                <c:pt idx="0">
                  <c:v>1</c:v>
                </c:pt>
                <c:pt idx="1">
                  <c:v>1</c:v>
                </c:pt>
                <c:pt idx="2">
                  <c:v>1</c:v>
                </c:pt>
                <c:pt idx="3">
                  <c:v>1</c:v>
                </c:pt>
                <c:pt idx="4">
                  <c:v>1</c:v>
                </c:pt>
                <c:pt idx="5">
                  <c:v>1</c:v>
                </c:pt>
                <c:pt idx="6">
                  <c:v>1</c:v>
                </c:pt>
                <c:pt idx="7">
                  <c:v>2</c:v>
                </c:pt>
                <c:pt idx="8">
                  <c:v>2</c:v>
                </c:pt>
                <c:pt idx="9">
                  <c:v>2</c:v>
                </c:pt>
                <c:pt idx="10">
                  <c:v>2</c:v>
                </c:pt>
                <c:pt idx="11">
                  <c:v>2</c:v>
                </c:pt>
                <c:pt idx="12">
                  <c:v>2</c:v>
                </c:pt>
                <c:pt idx="13">
                  <c:v>2</c:v>
                </c:pt>
                <c:pt idx="14">
                  <c:v>2</c:v>
                </c:pt>
                <c:pt idx="15">
                  <c:v>2</c:v>
                </c:pt>
                <c:pt idx="16">
                  <c:v>2</c:v>
                </c:pt>
                <c:pt idx="17">
                  <c:v>2</c:v>
                </c:pt>
              </c:numCache>
            </c:numRef>
          </c:val>
        </c:ser>
        <c:ser>
          <c:idx val="15"/>
          <c:order val="15"/>
          <c:tx>
            <c:strRef>
              <c:f>'Project Summary'!$A$93</c:f>
              <c:strCache>
                <c:ptCount val="1"/>
                <c:pt idx="0">
                  <c:v>Total Pending Decisions</c:v>
                </c:pt>
              </c:strCache>
            </c:strRef>
          </c:tx>
          <c:cat>
            <c:numRef>
              <c:f>'Project Summary'!$B$77:$S$77</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Summary'!$B$93:$S$93</c:f>
              <c:numCache>
                <c:formatCode>General</c:formatCode>
                <c:ptCount val="18"/>
                <c:pt idx="0">
                  <c:v>14</c:v>
                </c:pt>
                <c:pt idx="1">
                  <c:v>14</c:v>
                </c:pt>
                <c:pt idx="2">
                  <c:v>14</c:v>
                </c:pt>
                <c:pt idx="3">
                  <c:v>14</c:v>
                </c:pt>
                <c:pt idx="4">
                  <c:v>14</c:v>
                </c:pt>
                <c:pt idx="5">
                  <c:v>14</c:v>
                </c:pt>
                <c:pt idx="6">
                  <c:v>14</c:v>
                </c:pt>
                <c:pt idx="7">
                  <c:v>12</c:v>
                </c:pt>
                <c:pt idx="8">
                  <c:v>22</c:v>
                </c:pt>
                <c:pt idx="9">
                  <c:v>17</c:v>
                </c:pt>
                <c:pt idx="10">
                  <c:v>15</c:v>
                </c:pt>
                <c:pt idx="11">
                  <c:v>16</c:v>
                </c:pt>
                <c:pt idx="12">
                  <c:v>16</c:v>
                </c:pt>
                <c:pt idx="13">
                  <c:v>16</c:v>
                </c:pt>
                <c:pt idx="14">
                  <c:v>16</c:v>
                </c:pt>
                <c:pt idx="15">
                  <c:v>15</c:v>
                </c:pt>
                <c:pt idx="16">
                  <c:v>15</c:v>
                </c:pt>
                <c:pt idx="17">
                  <c:v>15</c:v>
                </c:pt>
              </c:numCache>
            </c:numRef>
          </c:val>
        </c:ser>
        <c:marker val="1"/>
        <c:axId val="160206208"/>
        <c:axId val="160216192"/>
      </c:lineChart>
      <c:dateAx>
        <c:axId val="160206208"/>
        <c:scaling>
          <c:orientation val="minMax"/>
        </c:scaling>
        <c:axPos val="b"/>
        <c:numFmt formatCode="dd\-mmm" sourceLinked="1"/>
        <c:majorTickMark val="none"/>
        <c:tickLblPos val="nextTo"/>
        <c:txPr>
          <a:bodyPr/>
          <a:lstStyle/>
          <a:p>
            <a:pPr>
              <a:defRPr sz="700"/>
            </a:pPr>
            <a:endParaRPr lang="en-US"/>
          </a:p>
        </c:txPr>
        <c:crossAx val="160216192"/>
        <c:crosses val="autoZero"/>
        <c:auto val="1"/>
        <c:lblOffset val="100"/>
        <c:baseTimeUnit val="days"/>
        <c:majorUnit val="3"/>
        <c:majorTimeUnit val="days"/>
      </c:dateAx>
      <c:valAx>
        <c:axId val="160216192"/>
        <c:scaling>
          <c:orientation val="minMax"/>
        </c:scaling>
        <c:axPos val="l"/>
        <c:majorGridlines/>
        <c:numFmt formatCode="General" sourceLinked="1"/>
        <c:majorTickMark val="none"/>
        <c:tickLblPos val="nextTo"/>
        <c:txPr>
          <a:bodyPr/>
          <a:lstStyle/>
          <a:p>
            <a:pPr>
              <a:defRPr sz="700"/>
            </a:pPr>
            <a:endParaRPr lang="en-US"/>
          </a:p>
        </c:txPr>
        <c:crossAx val="160206208"/>
        <c:crosses val="autoZero"/>
        <c:crossBetween val="between"/>
      </c:valAx>
    </c:plotArea>
    <c:legend>
      <c:legendPos val="r"/>
      <c:txPr>
        <a:bodyPr/>
        <a:lstStyle/>
        <a:p>
          <a:pPr>
            <a:defRPr sz="650"/>
          </a:pPr>
          <a:endParaRPr lang="en-US"/>
        </a:p>
      </c:txP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800"/>
            </a:pPr>
            <a:r>
              <a:rPr lang="en-US" sz="800"/>
              <a:t>Unified Communications</a:t>
            </a:r>
          </a:p>
        </c:rich>
      </c:tx>
    </c:title>
    <c:plotArea>
      <c:layout/>
      <c:lineChart>
        <c:grouping val="standard"/>
        <c:ser>
          <c:idx val="0"/>
          <c:order val="0"/>
          <c:tx>
            <c:strRef>
              <c:f>'Project Summary'!$A$97</c:f>
              <c:strCache>
                <c:ptCount val="1"/>
                <c:pt idx="0">
                  <c:v>Total Open Risks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Summary'!$B$97:$S$97</c:f>
              <c:numCache>
                <c:formatCode>General</c:formatCode>
                <c:ptCount val="18"/>
                <c:pt idx="0">
                  <c:v>3</c:v>
                </c:pt>
                <c:pt idx="1">
                  <c:v>3</c:v>
                </c:pt>
                <c:pt idx="2">
                  <c:v>3</c:v>
                </c:pt>
                <c:pt idx="3">
                  <c:v>5</c:v>
                </c:pt>
                <c:pt idx="4">
                  <c:v>5</c:v>
                </c:pt>
                <c:pt idx="5">
                  <c:v>6</c:v>
                </c:pt>
                <c:pt idx="6">
                  <c:v>9</c:v>
                </c:pt>
                <c:pt idx="7">
                  <c:v>8</c:v>
                </c:pt>
                <c:pt idx="8">
                  <c:v>8</c:v>
                </c:pt>
                <c:pt idx="9">
                  <c:v>8</c:v>
                </c:pt>
                <c:pt idx="10">
                  <c:v>8</c:v>
                </c:pt>
                <c:pt idx="11">
                  <c:v>8</c:v>
                </c:pt>
                <c:pt idx="12">
                  <c:v>7</c:v>
                </c:pt>
                <c:pt idx="13">
                  <c:v>7</c:v>
                </c:pt>
                <c:pt idx="14">
                  <c:v>7</c:v>
                </c:pt>
                <c:pt idx="15">
                  <c:v>7</c:v>
                </c:pt>
                <c:pt idx="16">
                  <c:v>7</c:v>
                </c:pt>
                <c:pt idx="17">
                  <c:v>7</c:v>
                </c:pt>
              </c:numCache>
            </c:numRef>
          </c:val>
        </c:ser>
        <c:ser>
          <c:idx val="1"/>
          <c:order val="1"/>
          <c:tx>
            <c:strRef>
              <c:f>'Project Summary'!$A$98</c:f>
              <c:strCache>
                <c:ptCount val="1"/>
                <c:pt idx="0">
                  <c:v>Total Open High or Critical Risks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Summary'!$B$98:$S$98</c:f>
              <c:numCache>
                <c:formatCode>General</c:formatCode>
                <c:ptCount val="18"/>
                <c:pt idx="0">
                  <c:v>3</c:v>
                </c:pt>
                <c:pt idx="1">
                  <c:v>3</c:v>
                </c:pt>
                <c:pt idx="2">
                  <c:v>3</c:v>
                </c:pt>
                <c:pt idx="3">
                  <c:v>5</c:v>
                </c:pt>
                <c:pt idx="4">
                  <c:v>5</c:v>
                </c:pt>
                <c:pt idx="5">
                  <c:v>6</c:v>
                </c:pt>
                <c:pt idx="6">
                  <c:v>9</c:v>
                </c:pt>
                <c:pt idx="7">
                  <c:v>5</c:v>
                </c:pt>
                <c:pt idx="8">
                  <c:v>5</c:v>
                </c:pt>
                <c:pt idx="9">
                  <c:v>5</c:v>
                </c:pt>
                <c:pt idx="10">
                  <c:v>5</c:v>
                </c:pt>
                <c:pt idx="11">
                  <c:v>5</c:v>
                </c:pt>
                <c:pt idx="12">
                  <c:v>4</c:v>
                </c:pt>
                <c:pt idx="13">
                  <c:v>4</c:v>
                </c:pt>
                <c:pt idx="14">
                  <c:v>3</c:v>
                </c:pt>
                <c:pt idx="15">
                  <c:v>3</c:v>
                </c:pt>
                <c:pt idx="16">
                  <c:v>3</c:v>
                </c:pt>
                <c:pt idx="17">
                  <c:v>3</c:v>
                </c:pt>
              </c:numCache>
            </c:numRef>
          </c:val>
        </c:ser>
        <c:ser>
          <c:idx val="2"/>
          <c:order val="2"/>
          <c:tx>
            <c:strRef>
              <c:f>'Project Summary'!$A$99</c:f>
              <c:strCache>
                <c:ptCount val="1"/>
                <c:pt idx="0">
                  <c:v>Risks: Missed Required Resolution Date</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Summary'!$B$99:$S$99</c:f>
              <c:numCache>
                <c:formatCode>General</c:formatCode>
                <c:ptCount val="18"/>
                <c:pt idx="0">
                  <c:v>2</c:v>
                </c:pt>
                <c:pt idx="1">
                  <c:v>2</c:v>
                </c:pt>
                <c:pt idx="2">
                  <c:v>2</c:v>
                </c:pt>
                <c:pt idx="3">
                  <c:v>2</c:v>
                </c:pt>
                <c:pt idx="4">
                  <c:v>2</c:v>
                </c:pt>
                <c:pt idx="5">
                  <c:v>2</c:v>
                </c:pt>
                <c:pt idx="6">
                  <c:v>3</c:v>
                </c:pt>
                <c:pt idx="7">
                  <c:v>0</c:v>
                </c:pt>
                <c:pt idx="8">
                  <c:v>0</c:v>
                </c:pt>
                <c:pt idx="9">
                  <c:v>0</c:v>
                </c:pt>
                <c:pt idx="10">
                  <c:v>0</c:v>
                </c:pt>
                <c:pt idx="11">
                  <c:v>0</c:v>
                </c:pt>
                <c:pt idx="12">
                  <c:v>0</c:v>
                </c:pt>
                <c:pt idx="13">
                  <c:v>0</c:v>
                </c:pt>
                <c:pt idx="14">
                  <c:v>0</c:v>
                </c:pt>
                <c:pt idx="15">
                  <c:v>0</c:v>
                </c:pt>
                <c:pt idx="16">
                  <c:v>0</c:v>
                </c:pt>
                <c:pt idx="17">
                  <c:v>0</c:v>
                </c:pt>
              </c:numCache>
            </c:numRef>
          </c:val>
        </c:ser>
        <c:ser>
          <c:idx val="3"/>
          <c:order val="3"/>
          <c:tx>
            <c:strRef>
              <c:f>'Project Summary'!$A$100</c:f>
              <c:strCache>
                <c:ptCount val="1"/>
                <c:pt idx="0">
                  <c:v>Risks with no Required Resolution Date</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Summary'!$B$100:$S$100</c:f>
              <c:numCache>
                <c:formatCode>General</c:formatCode>
                <c:ptCount val="18"/>
                <c:pt idx="0">
                  <c:v>1</c:v>
                </c:pt>
                <c:pt idx="1">
                  <c:v>0</c:v>
                </c:pt>
                <c:pt idx="2">
                  <c:v>0</c:v>
                </c:pt>
                <c:pt idx="3">
                  <c:v>2</c:v>
                </c:pt>
                <c:pt idx="4">
                  <c:v>2</c:v>
                </c:pt>
                <c:pt idx="5">
                  <c:v>3</c:v>
                </c:pt>
                <c:pt idx="6">
                  <c:v>6</c:v>
                </c:pt>
                <c:pt idx="7">
                  <c:v>0</c:v>
                </c:pt>
                <c:pt idx="8">
                  <c:v>0</c:v>
                </c:pt>
                <c:pt idx="9">
                  <c:v>0</c:v>
                </c:pt>
                <c:pt idx="10">
                  <c:v>0</c:v>
                </c:pt>
                <c:pt idx="11">
                  <c:v>0</c:v>
                </c:pt>
                <c:pt idx="12">
                  <c:v>0</c:v>
                </c:pt>
                <c:pt idx="13">
                  <c:v>0</c:v>
                </c:pt>
                <c:pt idx="14">
                  <c:v>0</c:v>
                </c:pt>
                <c:pt idx="15">
                  <c:v>0</c:v>
                </c:pt>
                <c:pt idx="16">
                  <c:v>0</c:v>
                </c:pt>
                <c:pt idx="17">
                  <c:v>0</c:v>
                </c:pt>
              </c:numCache>
            </c:numRef>
          </c:val>
        </c:ser>
        <c:ser>
          <c:idx val="7"/>
          <c:order val="4"/>
          <c:tx>
            <c:strRef>
              <c:f>'Project Summary'!$A$101</c:f>
              <c:strCache>
                <c:ptCount val="1"/>
                <c:pt idx="0">
                  <c:v>Risks open 1-3 months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Summary'!$B$101:$S$101</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1</c:v>
                </c:pt>
                <c:pt idx="12">
                  <c:v>1</c:v>
                </c:pt>
                <c:pt idx="13">
                  <c:v>1</c:v>
                </c:pt>
                <c:pt idx="14">
                  <c:v>1</c:v>
                </c:pt>
                <c:pt idx="15">
                  <c:v>1</c:v>
                </c:pt>
                <c:pt idx="16">
                  <c:v>1</c:v>
                </c:pt>
                <c:pt idx="17">
                  <c:v>3</c:v>
                </c:pt>
              </c:numCache>
            </c:numRef>
          </c:val>
        </c:ser>
        <c:ser>
          <c:idx val="8"/>
          <c:order val="5"/>
          <c:tx>
            <c:strRef>
              <c:f>'Project Summary'!$A$102</c:f>
              <c:strCache>
                <c:ptCount val="1"/>
                <c:pt idx="0">
                  <c:v>Risks open 3-6 months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Summary'!$B$102:$S$102</c:f>
              <c:numCache>
                <c:formatCode>General</c:formatCode>
                <c:ptCount val="18"/>
                <c:pt idx="0">
                  <c:v>2</c:v>
                </c:pt>
                <c:pt idx="1">
                  <c:v>2</c:v>
                </c:pt>
                <c:pt idx="2">
                  <c:v>2</c:v>
                </c:pt>
                <c:pt idx="3">
                  <c:v>2</c:v>
                </c:pt>
                <c:pt idx="4">
                  <c:v>2</c:v>
                </c:pt>
                <c:pt idx="5">
                  <c:v>2</c:v>
                </c:pt>
                <c:pt idx="6">
                  <c:v>2</c:v>
                </c:pt>
                <c:pt idx="7">
                  <c:v>1</c:v>
                </c:pt>
                <c:pt idx="8">
                  <c:v>1</c:v>
                </c:pt>
                <c:pt idx="9">
                  <c:v>1</c:v>
                </c:pt>
                <c:pt idx="10">
                  <c:v>1</c:v>
                </c:pt>
                <c:pt idx="11">
                  <c:v>1</c:v>
                </c:pt>
                <c:pt idx="12">
                  <c:v>1</c:v>
                </c:pt>
                <c:pt idx="13">
                  <c:v>1</c:v>
                </c:pt>
                <c:pt idx="14">
                  <c:v>1</c:v>
                </c:pt>
                <c:pt idx="15">
                  <c:v>1</c:v>
                </c:pt>
                <c:pt idx="16">
                  <c:v>1</c:v>
                </c:pt>
                <c:pt idx="17">
                  <c:v>1</c:v>
                </c:pt>
              </c:numCache>
            </c:numRef>
          </c:val>
        </c:ser>
        <c:ser>
          <c:idx val="9"/>
          <c:order val="6"/>
          <c:tx>
            <c:strRef>
              <c:f>'Project Summary'!$A$103</c:f>
              <c:strCache>
                <c:ptCount val="1"/>
                <c:pt idx="0">
                  <c:v>Risks open longer than 6 months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Summary'!$B$103:$S$103</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0"/>
          <c:order val="7"/>
          <c:tx>
            <c:strRef>
              <c:f>'Project Summary'!$A$104</c:f>
              <c:strCache>
                <c:ptCount val="1"/>
                <c:pt idx="0">
                  <c:v>Total Open Issues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Summary'!$B$104:$S$104</c:f>
              <c:numCache>
                <c:formatCode>General</c:formatCode>
                <c:ptCount val="18"/>
                <c:pt idx="0">
                  <c:v>2</c:v>
                </c:pt>
                <c:pt idx="1">
                  <c:v>2</c:v>
                </c:pt>
                <c:pt idx="2">
                  <c:v>2</c:v>
                </c:pt>
                <c:pt idx="3">
                  <c:v>2</c:v>
                </c:pt>
                <c:pt idx="4">
                  <c:v>2</c:v>
                </c:pt>
                <c:pt idx="5">
                  <c:v>1</c:v>
                </c:pt>
                <c:pt idx="6">
                  <c:v>1</c:v>
                </c:pt>
                <c:pt idx="7">
                  <c:v>1</c:v>
                </c:pt>
                <c:pt idx="8">
                  <c:v>1</c:v>
                </c:pt>
                <c:pt idx="9">
                  <c:v>1</c:v>
                </c:pt>
                <c:pt idx="10">
                  <c:v>1</c:v>
                </c:pt>
                <c:pt idx="11">
                  <c:v>0</c:v>
                </c:pt>
                <c:pt idx="12">
                  <c:v>0</c:v>
                </c:pt>
                <c:pt idx="13">
                  <c:v>0</c:v>
                </c:pt>
                <c:pt idx="14">
                  <c:v>0</c:v>
                </c:pt>
                <c:pt idx="15">
                  <c:v>0</c:v>
                </c:pt>
                <c:pt idx="16">
                  <c:v>0</c:v>
                </c:pt>
                <c:pt idx="17">
                  <c:v>0</c:v>
                </c:pt>
              </c:numCache>
            </c:numRef>
          </c:val>
        </c:ser>
        <c:ser>
          <c:idx val="4"/>
          <c:order val="8"/>
          <c:tx>
            <c:strRef>
              <c:f>'Project Summary'!$A$105</c:f>
              <c:strCache>
                <c:ptCount val="1"/>
                <c:pt idx="0">
                  <c:v>Total Open High or Critical Issues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Summary'!$B$105:$S$105</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pt idx="17">
                  <c:v>0</c:v>
                </c:pt>
              </c:numCache>
            </c:numRef>
          </c:val>
        </c:ser>
        <c:ser>
          <c:idx val="5"/>
          <c:order val="9"/>
          <c:tx>
            <c:strRef>
              <c:f>'Project Summary'!$A$106</c:f>
              <c:strCache>
                <c:ptCount val="1"/>
                <c:pt idx="0">
                  <c:v>Issues: Missed Required Resolution Date</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Summary'!$B$106:$S$106</c:f>
              <c:numCache>
                <c:formatCode>General</c:formatCode>
                <c:ptCount val="18"/>
                <c:pt idx="0">
                  <c:v>0</c:v>
                </c:pt>
                <c:pt idx="1">
                  <c:v>0</c:v>
                </c:pt>
                <c:pt idx="2">
                  <c:v>0</c:v>
                </c:pt>
                <c:pt idx="3">
                  <c:v>0</c:v>
                </c:pt>
                <c:pt idx="4">
                  <c:v>0</c:v>
                </c:pt>
                <c:pt idx="5">
                  <c:v>1</c:v>
                </c:pt>
                <c:pt idx="6">
                  <c:v>1</c:v>
                </c:pt>
                <c:pt idx="7">
                  <c:v>1</c:v>
                </c:pt>
                <c:pt idx="8">
                  <c:v>1</c:v>
                </c:pt>
                <c:pt idx="9">
                  <c:v>1</c:v>
                </c:pt>
                <c:pt idx="10">
                  <c:v>1</c:v>
                </c:pt>
                <c:pt idx="11">
                  <c:v>0</c:v>
                </c:pt>
                <c:pt idx="12">
                  <c:v>0</c:v>
                </c:pt>
                <c:pt idx="13">
                  <c:v>0</c:v>
                </c:pt>
                <c:pt idx="14">
                  <c:v>0</c:v>
                </c:pt>
                <c:pt idx="15">
                  <c:v>0</c:v>
                </c:pt>
                <c:pt idx="16">
                  <c:v>0</c:v>
                </c:pt>
                <c:pt idx="17">
                  <c:v>0</c:v>
                </c:pt>
              </c:numCache>
            </c:numRef>
          </c:val>
        </c:ser>
        <c:ser>
          <c:idx val="6"/>
          <c:order val="10"/>
          <c:tx>
            <c:strRef>
              <c:f>'Project Summary'!$A$107</c:f>
              <c:strCache>
                <c:ptCount val="1"/>
                <c:pt idx="0">
                  <c:v>Issues with no Required Resolution Date</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Summary'!$B$107:$S$107</c:f>
              <c:numCache>
                <c:formatCode>General</c:formatCode>
                <c:ptCount val="18"/>
                <c:pt idx="0">
                  <c:v>1</c:v>
                </c:pt>
                <c:pt idx="1">
                  <c:v>1</c:v>
                </c:pt>
                <c:pt idx="2">
                  <c:v>1</c:v>
                </c:pt>
                <c:pt idx="3">
                  <c:v>1</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1"/>
          <c:order val="11"/>
          <c:tx>
            <c:strRef>
              <c:f>'Project Summary'!$A$108</c:f>
              <c:strCache>
                <c:ptCount val="1"/>
                <c:pt idx="0">
                  <c:v>Issues open 1-3 months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Summary'!$B$108:$S$108</c:f>
              <c:numCache>
                <c:formatCode>General</c:formatCode>
                <c:ptCount val="18"/>
                <c:pt idx="0">
                  <c:v>0</c:v>
                </c:pt>
                <c:pt idx="1">
                  <c:v>0</c:v>
                </c:pt>
                <c:pt idx="2">
                  <c:v>0</c:v>
                </c:pt>
                <c:pt idx="3">
                  <c:v>0</c:v>
                </c:pt>
                <c:pt idx="4">
                  <c:v>1</c:v>
                </c:pt>
                <c:pt idx="5">
                  <c:v>1</c:v>
                </c:pt>
                <c:pt idx="6">
                  <c:v>1</c:v>
                </c:pt>
                <c:pt idx="7">
                  <c:v>1</c:v>
                </c:pt>
                <c:pt idx="8">
                  <c:v>1</c:v>
                </c:pt>
                <c:pt idx="9">
                  <c:v>1</c:v>
                </c:pt>
                <c:pt idx="10">
                  <c:v>1</c:v>
                </c:pt>
                <c:pt idx="11">
                  <c:v>0</c:v>
                </c:pt>
                <c:pt idx="12">
                  <c:v>0</c:v>
                </c:pt>
                <c:pt idx="13">
                  <c:v>0</c:v>
                </c:pt>
                <c:pt idx="14">
                  <c:v>0</c:v>
                </c:pt>
                <c:pt idx="15">
                  <c:v>0</c:v>
                </c:pt>
                <c:pt idx="16">
                  <c:v>0</c:v>
                </c:pt>
                <c:pt idx="17">
                  <c:v>0</c:v>
                </c:pt>
              </c:numCache>
            </c:numRef>
          </c:val>
        </c:ser>
        <c:ser>
          <c:idx val="12"/>
          <c:order val="12"/>
          <c:tx>
            <c:strRef>
              <c:f>'Project Summary'!$A$109</c:f>
              <c:strCache>
                <c:ptCount val="1"/>
                <c:pt idx="0">
                  <c:v>Issues open 3-6 months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Summary'!$B$109:$S$109</c:f>
              <c:numCache>
                <c:formatCode>General</c:formatCode>
                <c:ptCount val="18"/>
                <c:pt idx="0">
                  <c:v>1</c:v>
                </c:pt>
                <c:pt idx="1">
                  <c:v>1</c:v>
                </c:pt>
                <c:pt idx="2">
                  <c:v>1</c:v>
                </c:pt>
                <c:pt idx="3">
                  <c:v>1</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3"/>
          <c:order val="13"/>
          <c:tx>
            <c:strRef>
              <c:f>'Project Summary'!$A$110</c:f>
              <c:strCache>
                <c:ptCount val="1"/>
                <c:pt idx="0">
                  <c:v>Issues open longer than 6 months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Summary'!$B$110:$S$110</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4"/>
          <c:order val="14"/>
          <c:tx>
            <c:strRef>
              <c:f>'Project Summary'!$A$111</c:f>
              <c:strCache>
                <c:ptCount val="1"/>
                <c:pt idx="0">
                  <c:v>Total Assumptions not yet validated</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Summary'!$B$111:$S$111</c:f>
              <c:numCache>
                <c:formatCode>General</c:formatCode>
                <c:ptCount val="18"/>
                <c:pt idx="0">
                  <c:v>4</c:v>
                </c:pt>
                <c:pt idx="1">
                  <c:v>4</c:v>
                </c:pt>
                <c:pt idx="2">
                  <c:v>4</c:v>
                </c:pt>
                <c:pt idx="3">
                  <c:v>2</c:v>
                </c:pt>
                <c:pt idx="4">
                  <c:v>2</c:v>
                </c:pt>
                <c:pt idx="5">
                  <c:v>2</c:v>
                </c:pt>
                <c:pt idx="6">
                  <c:v>2</c:v>
                </c:pt>
                <c:pt idx="7">
                  <c:v>2</c:v>
                </c:pt>
                <c:pt idx="8">
                  <c:v>2</c:v>
                </c:pt>
                <c:pt idx="9">
                  <c:v>3</c:v>
                </c:pt>
                <c:pt idx="10">
                  <c:v>3</c:v>
                </c:pt>
                <c:pt idx="11">
                  <c:v>2</c:v>
                </c:pt>
                <c:pt idx="12">
                  <c:v>2</c:v>
                </c:pt>
                <c:pt idx="13">
                  <c:v>2</c:v>
                </c:pt>
                <c:pt idx="14">
                  <c:v>1</c:v>
                </c:pt>
                <c:pt idx="15">
                  <c:v>1</c:v>
                </c:pt>
                <c:pt idx="16">
                  <c:v>1</c:v>
                </c:pt>
                <c:pt idx="17">
                  <c:v>1</c:v>
                </c:pt>
              </c:numCache>
            </c:numRef>
          </c:val>
        </c:ser>
        <c:ser>
          <c:idx val="15"/>
          <c:order val="15"/>
          <c:tx>
            <c:strRef>
              <c:f>'Project Summary'!$A$112</c:f>
              <c:strCache>
                <c:ptCount val="1"/>
                <c:pt idx="0">
                  <c:v>Total Pending Decisions</c:v>
                </c:pt>
              </c:strCache>
            </c:strRef>
          </c:tx>
          <c:cat>
            <c:numRef>
              <c:f>'Project Summary'!$B$96:$S$96</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Summary'!$B$112:$S$112</c:f>
              <c:numCache>
                <c:formatCode>General</c:formatCode>
                <c:ptCount val="18"/>
                <c:pt idx="0">
                  <c:v>4</c:v>
                </c:pt>
                <c:pt idx="1">
                  <c:v>4</c:v>
                </c:pt>
                <c:pt idx="2">
                  <c:v>4</c:v>
                </c:pt>
                <c:pt idx="3">
                  <c:v>4</c:v>
                </c:pt>
                <c:pt idx="4">
                  <c:v>4</c:v>
                </c:pt>
                <c:pt idx="5">
                  <c:v>4</c:v>
                </c:pt>
                <c:pt idx="6">
                  <c:v>2</c:v>
                </c:pt>
                <c:pt idx="7">
                  <c:v>1</c:v>
                </c:pt>
                <c:pt idx="8">
                  <c:v>1</c:v>
                </c:pt>
                <c:pt idx="9">
                  <c:v>1</c:v>
                </c:pt>
                <c:pt idx="10">
                  <c:v>1</c:v>
                </c:pt>
                <c:pt idx="11">
                  <c:v>1</c:v>
                </c:pt>
                <c:pt idx="12">
                  <c:v>1</c:v>
                </c:pt>
                <c:pt idx="13">
                  <c:v>1</c:v>
                </c:pt>
                <c:pt idx="14">
                  <c:v>1</c:v>
                </c:pt>
                <c:pt idx="15">
                  <c:v>1</c:v>
                </c:pt>
                <c:pt idx="16">
                  <c:v>1</c:v>
                </c:pt>
                <c:pt idx="17">
                  <c:v>1</c:v>
                </c:pt>
              </c:numCache>
            </c:numRef>
          </c:val>
        </c:ser>
        <c:marker val="1"/>
        <c:axId val="160322688"/>
        <c:axId val="160324224"/>
      </c:lineChart>
      <c:dateAx>
        <c:axId val="160322688"/>
        <c:scaling>
          <c:orientation val="minMax"/>
        </c:scaling>
        <c:axPos val="b"/>
        <c:numFmt formatCode="dd\-mmm" sourceLinked="1"/>
        <c:majorTickMark val="none"/>
        <c:tickLblPos val="nextTo"/>
        <c:txPr>
          <a:bodyPr/>
          <a:lstStyle/>
          <a:p>
            <a:pPr>
              <a:defRPr sz="700"/>
            </a:pPr>
            <a:endParaRPr lang="en-US"/>
          </a:p>
        </c:txPr>
        <c:crossAx val="160324224"/>
        <c:crosses val="autoZero"/>
        <c:auto val="1"/>
        <c:lblOffset val="100"/>
        <c:baseTimeUnit val="days"/>
        <c:majorUnit val="3"/>
        <c:majorTimeUnit val="days"/>
      </c:dateAx>
      <c:valAx>
        <c:axId val="160324224"/>
        <c:scaling>
          <c:orientation val="minMax"/>
        </c:scaling>
        <c:axPos val="l"/>
        <c:majorGridlines/>
        <c:numFmt formatCode="General" sourceLinked="1"/>
        <c:majorTickMark val="none"/>
        <c:tickLblPos val="nextTo"/>
        <c:txPr>
          <a:bodyPr/>
          <a:lstStyle/>
          <a:p>
            <a:pPr>
              <a:defRPr sz="700"/>
            </a:pPr>
            <a:endParaRPr lang="en-US"/>
          </a:p>
        </c:txPr>
        <c:crossAx val="160322688"/>
        <c:crosses val="autoZero"/>
        <c:crossBetween val="between"/>
      </c:valAx>
    </c:plotArea>
    <c:legend>
      <c:legendPos val="r"/>
      <c:txPr>
        <a:bodyPr/>
        <a:lstStyle/>
        <a:p>
          <a:pPr>
            <a:defRPr sz="650"/>
          </a:pPr>
          <a:endParaRPr lang="en-US"/>
        </a:p>
      </c:txP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800"/>
            </a:pPr>
            <a:r>
              <a:rPr lang="en-US" sz="800"/>
              <a:t>SharePoint</a:t>
            </a:r>
          </a:p>
        </c:rich>
      </c:tx>
    </c:title>
    <c:plotArea>
      <c:layout/>
      <c:lineChart>
        <c:grouping val="standard"/>
        <c:ser>
          <c:idx val="0"/>
          <c:order val="0"/>
          <c:tx>
            <c:strRef>
              <c:f>'Project Summary'!$A$59</c:f>
              <c:strCache>
                <c:ptCount val="1"/>
                <c:pt idx="0">
                  <c:v>Total Open Risks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Summary'!$B$59:$S$59</c:f>
              <c:numCache>
                <c:formatCode>General</c:formatCode>
                <c:ptCount val="18"/>
                <c:pt idx="0">
                  <c:v>6</c:v>
                </c:pt>
                <c:pt idx="1">
                  <c:v>6</c:v>
                </c:pt>
                <c:pt idx="2">
                  <c:v>6</c:v>
                </c:pt>
                <c:pt idx="3">
                  <c:v>4</c:v>
                </c:pt>
                <c:pt idx="4">
                  <c:v>4</c:v>
                </c:pt>
                <c:pt idx="5">
                  <c:v>4</c:v>
                </c:pt>
                <c:pt idx="6">
                  <c:v>4</c:v>
                </c:pt>
                <c:pt idx="7">
                  <c:v>13</c:v>
                </c:pt>
                <c:pt idx="8">
                  <c:v>13</c:v>
                </c:pt>
                <c:pt idx="9">
                  <c:v>12</c:v>
                </c:pt>
                <c:pt idx="10">
                  <c:v>7</c:v>
                </c:pt>
                <c:pt idx="11">
                  <c:v>5</c:v>
                </c:pt>
                <c:pt idx="12">
                  <c:v>4</c:v>
                </c:pt>
                <c:pt idx="13">
                  <c:v>5</c:v>
                </c:pt>
                <c:pt idx="14">
                  <c:v>5</c:v>
                </c:pt>
                <c:pt idx="15">
                  <c:v>5</c:v>
                </c:pt>
                <c:pt idx="16">
                  <c:v>6</c:v>
                </c:pt>
                <c:pt idx="17">
                  <c:v>6</c:v>
                </c:pt>
              </c:numCache>
            </c:numRef>
          </c:val>
        </c:ser>
        <c:ser>
          <c:idx val="1"/>
          <c:order val="1"/>
          <c:tx>
            <c:strRef>
              <c:f>'Project Summary'!$A$60</c:f>
              <c:strCache>
                <c:ptCount val="1"/>
                <c:pt idx="0">
                  <c:v>Total Open High or Critical Risks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Summary'!$B$60:$S$60</c:f>
              <c:numCache>
                <c:formatCode>General</c:formatCode>
                <c:ptCount val="18"/>
                <c:pt idx="0">
                  <c:v>1</c:v>
                </c:pt>
                <c:pt idx="1">
                  <c:v>1</c:v>
                </c:pt>
                <c:pt idx="2">
                  <c:v>1</c:v>
                </c:pt>
                <c:pt idx="3">
                  <c:v>2</c:v>
                </c:pt>
                <c:pt idx="4">
                  <c:v>2</c:v>
                </c:pt>
                <c:pt idx="5">
                  <c:v>2</c:v>
                </c:pt>
                <c:pt idx="6">
                  <c:v>2</c:v>
                </c:pt>
                <c:pt idx="7">
                  <c:v>4</c:v>
                </c:pt>
                <c:pt idx="8">
                  <c:v>4</c:v>
                </c:pt>
                <c:pt idx="9">
                  <c:v>3</c:v>
                </c:pt>
                <c:pt idx="10">
                  <c:v>0</c:v>
                </c:pt>
                <c:pt idx="11">
                  <c:v>0</c:v>
                </c:pt>
                <c:pt idx="12">
                  <c:v>0</c:v>
                </c:pt>
                <c:pt idx="13">
                  <c:v>0</c:v>
                </c:pt>
                <c:pt idx="14">
                  <c:v>0</c:v>
                </c:pt>
                <c:pt idx="15">
                  <c:v>0</c:v>
                </c:pt>
                <c:pt idx="16">
                  <c:v>0</c:v>
                </c:pt>
                <c:pt idx="17">
                  <c:v>0</c:v>
                </c:pt>
              </c:numCache>
            </c:numRef>
          </c:val>
        </c:ser>
        <c:ser>
          <c:idx val="2"/>
          <c:order val="2"/>
          <c:tx>
            <c:strRef>
              <c:f>'Project Summary'!$A$61</c:f>
              <c:strCache>
                <c:ptCount val="1"/>
                <c:pt idx="0">
                  <c:v>Risks: Missed Required Resolution Date</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Summary'!$B$61:$S$61</c:f>
              <c:numCache>
                <c:formatCode>General</c:formatCode>
                <c:ptCount val="18"/>
                <c:pt idx="0">
                  <c:v>2</c:v>
                </c:pt>
                <c:pt idx="1">
                  <c:v>2</c:v>
                </c:pt>
                <c:pt idx="2">
                  <c:v>2</c:v>
                </c:pt>
                <c:pt idx="3">
                  <c:v>1</c:v>
                </c:pt>
                <c:pt idx="4">
                  <c:v>1</c:v>
                </c:pt>
                <c:pt idx="5">
                  <c:v>1</c:v>
                </c:pt>
                <c:pt idx="6">
                  <c:v>1</c:v>
                </c:pt>
                <c:pt idx="7">
                  <c:v>1</c:v>
                </c:pt>
                <c:pt idx="8">
                  <c:v>1</c:v>
                </c:pt>
                <c:pt idx="9">
                  <c:v>1</c:v>
                </c:pt>
                <c:pt idx="10">
                  <c:v>0</c:v>
                </c:pt>
                <c:pt idx="11">
                  <c:v>0</c:v>
                </c:pt>
                <c:pt idx="12">
                  <c:v>0</c:v>
                </c:pt>
                <c:pt idx="13">
                  <c:v>0</c:v>
                </c:pt>
                <c:pt idx="14">
                  <c:v>0</c:v>
                </c:pt>
                <c:pt idx="15">
                  <c:v>0</c:v>
                </c:pt>
                <c:pt idx="16">
                  <c:v>0</c:v>
                </c:pt>
                <c:pt idx="17">
                  <c:v>0</c:v>
                </c:pt>
              </c:numCache>
            </c:numRef>
          </c:val>
        </c:ser>
        <c:ser>
          <c:idx val="3"/>
          <c:order val="3"/>
          <c:tx>
            <c:strRef>
              <c:f>'Project Summary'!$A$62</c:f>
              <c:strCache>
                <c:ptCount val="1"/>
                <c:pt idx="0">
                  <c:v>Risks with no Required Resolution Date</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Summary'!$B$62:$S$62</c:f>
              <c:numCache>
                <c:formatCode>General</c:formatCode>
                <c:ptCount val="18"/>
                <c:pt idx="0">
                  <c:v>3</c:v>
                </c:pt>
                <c:pt idx="1">
                  <c:v>3</c:v>
                </c:pt>
                <c:pt idx="2">
                  <c:v>3</c:v>
                </c:pt>
                <c:pt idx="3">
                  <c:v>3</c:v>
                </c:pt>
                <c:pt idx="4">
                  <c:v>3</c:v>
                </c:pt>
                <c:pt idx="5">
                  <c:v>3</c:v>
                </c:pt>
                <c:pt idx="6">
                  <c:v>3</c:v>
                </c:pt>
                <c:pt idx="7">
                  <c:v>1</c:v>
                </c:pt>
                <c:pt idx="8">
                  <c:v>1</c:v>
                </c:pt>
                <c:pt idx="9">
                  <c:v>1</c:v>
                </c:pt>
                <c:pt idx="10">
                  <c:v>1</c:v>
                </c:pt>
                <c:pt idx="11">
                  <c:v>1</c:v>
                </c:pt>
                <c:pt idx="12">
                  <c:v>1</c:v>
                </c:pt>
                <c:pt idx="13">
                  <c:v>1</c:v>
                </c:pt>
                <c:pt idx="14">
                  <c:v>1</c:v>
                </c:pt>
                <c:pt idx="15">
                  <c:v>1</c:v>
                </c:pt>
                <c:pt idx="16">
                  <c:v>2</c:v>
                </c:pt>
                <c:pt idx="17">
                  <c:v>2</c:v>
                </c:pt>
              </c:numCache>
            </c:numRef>
          </c:val>
        </c:ser>
        <c:ser>
          <c:idx val="7"/>
          <c:order val="4"/>
          <c:tx>
            <c:strRef>
              <c:f>'Project Summary'!$A$63</c:f>
              <c:strCache>
                <c:ptCount val="1"/>
                <c:pt idx="0">
                  <c:v>Risks open 1-3 months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Summary'!$B$63:$S$63</c:f>
              <c:numCache>
                <c:formatCode>General</c:formatCode>
                <c:ptCount val="18"/>
                <c:pt idx="0">
                  <c:v>1</c:v>
                </c:pt>
                <c:pt idx="1">
                  <c:v>1</c:v>
                </c:pt>
                <c:pt idx="2">
                  <c:v>1</c:v>
                </c:pt>
                <c:pt idx="3">
                  <c:v>1</c:v>
                </c:pt>
                <c:pt idx="4">
                  <c:v>1</c:v>
                </c:pt>
                <c:pt idx="5">
                  <c:v>2</c:v>
                </c:pt>
                <c:pt idx="6">
                  <c:v>1</c:v>
                </c:pt>
                <c:pt idx="7">
                  <c:v>1</c:v>
                </c:pt>
                <c:pt idx="8">
                  <c:v>1</c:v>
                </c:pt>
                <c:pt idx="9">
                  <c:v>1</c:v>
                </c:pt>
                <c:pt idx="10">
                  <c:v>0</c:v>
                </c:pt>
                <c:pt idx="11">
                  <c:v>0</c:v>
                </c:pt>
                <c:pt idx="12">
                  <c:v>0</c:v>
                </c:pt>
                <c:pt idx="13">
                  <c:v>0</c:v>
                </c:pt>
                <c:pt idx="14">
                  <c:v>0</c:v>
                </c:pt>
                <c:pt idx="15">
                  <c:v>0</c:v>
                </c:pt>
                <c:pt idx="16">
                  <c:v>0</c:v>
                </c:pt>
                <c:pt idx="17">
                  <c:v>0</c:v>
                </c:pt>
              </c:numCache>
            </c:numRef>
          </c:val>
        </c:ser>
        <c:ser>
          <c:idx val="8"/>
          <c:order val="5"/>
          <c:tx>
            <c:strRef>
              <c:f>'Project Summary'!$A$64</c:f>
              <c:strCache>
                <c:ptCount val="1"/>
                <c:pt idx="0">
                  <c:v>Risks open 3-6 months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Summary'!$B$64:$S$64</c:f>
              <c:numCache>
                <c:formatCode>General</c:formatCode>
                <c:ptCount val="18"/>
                <c:pt idx="0">
                  <c:v>1</c:v>
                </c:pt>
                <c:pt idx="1">
                  <c:v>1</c:v>
                </c:pt>
                <c:pt idx="2">
                  <c:v>1</c:v>
                </c:pt>
                <c:pt idx="3">
                  <c:v>1</c:v>
                </c:pt>
                <c:pt idx="4">
                  <c:v>1</c:v>
                </c:pt>
                <c:pt idx="5">
                  <c:v>1</c:v>
                </c:pt>
                <c:pt idx="6">
                  <c:v>2</c:v>
                </c:pt>
                <c:pt idx="7">
                  <c:v>2</c:v>
                </c:pt>
                <c:pt idx="8">
                  <c:v>2</c:v>
                </c:pt>
                <c:pt idx="9">
                  <c:v>2</c:v>
                </c:pt>
                <c:pt idx="10">
                  <c:v>0</c:v>
                </c:pt>
                <c:pt idx="11">
                  <c:v>0</c:v>
                </c:pt>
                <c:pt idx="12">
                  <c:v>0</c:v>
                </c:pt>
                <c:pt idx="13">
                  <c:v>0</c:v>
                </c:pt>
                <c:pt idx="14">
                  <c:v>0</c:v>
                </c:pt>
                <c:pt idx="15">
                  <c:v>0</c:v>
                </c:pt>
                <c:pt idx="16">
                  <c:v>0</c:v>
                </c:pt>
                <c:pt idx="17">
                  <c:v>0</c:v>
                </c:pt>
              </c:numCache>
            </c:numRef>
          </c:val>
        </c:ser>
        <c:ser>
          <c:idx val="9"/>
          <c:order val="6"/>
          <c:tx>
            <c:strRef>
              <c:f>'Project Summary'!$A$65</c:f>
              <c:strCache>
                <c:ptCount val="1"/>
                <c:pt idx="0">
                  <c:v>Risks open longer than 6 months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Summary'!$B$65:$S$65</c:f>
              <c:numCache>
                <c:formatCode>General</c:formatCode>
                <c:ptCount val="18"/>
                <c:pt idx="0">
                  <c:v>3</c:v>
                </c:pt>
                <c:pt idx="1">
                  <c:v>3</c:v>
                </c:pt>
                <c:pt idx="2">
                  <c:v>3</c:v>
                </c:pt>
                <c:pt idx="3">
                  <c:v>1</c:v>
                </c:pt>
                <c:pt idx="4">
                  <c:v>1</c:v>
                </c:pt>
                <c:pt idx="5">
                  <c:v>1</c:v>
                </c:pt>
                <c:pt idx="6">
                  <c:v>1</c:v>
                </c:pt>
                <c:pt idx="7">
                  <c:v>1</c:v>
                </c:pt>
                <c:pt idx="8">
                  <c:v>1</c:v>
                </c:pt>
                <c:pt idx="9">
                  <c:v>1</c:v>
                </c:pt>
                <c:pt idx="10">
                  <c:v>0</c:v>
                </c:pt>
                <c:pt idx="11">
                  <c:v>0</c:v>
                </c:pt>
                <c:pt idx="12">
                  <c:v>0</c:v>
                </c:pt>
                <c:pt idx="13">
                  <c:v>0</c:v>
                </c:pt>
                <c:pt idx="14">
                  <c:v>0</c:v>
                </c:pt>
                <c:pt idx="15">
                  <c:v>0</c:v>
                </c:pt>
                <c:pt idx="16">
                  <c:v>0</c:v>
                </c:pt>
                <c:pt idx="17">
                  <c:v>0</c:v>
                </c:pt>
              </c:numCache>
            </c:numRef>
          </c:val>
        </c:ser>
        <c:ser>
          <c:idx val="10"/>
          <c:order val="7"/>
          <c:tx>
            <c:strRef>
              <c:f>'Project Summary'!$A$66</c:f>
              <c:strCache>
                <c:ptCount val="1"/>
                <c:pt idx="0">
                  <c:v>Total Open Issues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Summary'!$B$66:$S$66</c:f>
              <c:numCache>
                <c:formatCode>General</c:formatCode>
                <c:ptCount val="18"/>
                <c:pt idx="0">
                  <c:v>12</c:v>
                </c:pt>
                <c:pt idx="1">
                  <c:v>13</c:v>
                </c:pt>
                <c:pt idx="2">
                  <c:v>13</c:v>
                </c:pt>
                <c:pt idx="3">
                  <c:v>18</c:v>
                </c:pt>
                <c:pt idx="4">
                  <c:v>18</c:v>
                </c:pt>
                <c:pt idx="5">
                  <c:v>18</c:v>
                </c:pt>
                <c:pt idx="6">
                  <c:v>18</c:v>
                </c:pt>
                <c:pt idx="7">
                  <c:v>26</c:v>
                </c:pt>
                <c:pt idx="8">
                  <c:v>26</c:v>
                </c:pt>
                <c:pt idx="9">
                  <c:v>27</c:v>
                </c:pt>
                <c:pt idx="10">
                  <c:v>14</c:v>
                </c:pt>
                <c:pt idx="11">
                  <c:v>15</c:v>
                </c:pt>
                <c:pt idx="12">
                  <c:v>13</c:v>
                </c:pt>
                <c:pt idx="13">
                  <c:v>11</c:v>
                </c:pt>
                <c:pt idx="14">
                  <c:v>9</c:v>
                </c:pt>
                <c:pt idx="15">
                  <c:v>8</c:v>
                </c:pt>
                <c:pt idx="16">
                  <c:v>6</c:v>
                </c:pt>
                <c:pt idx="17">
                  <c:v>6</c:v>
                </c:pt>
              </c:numCache>
            </c:numRef>
          </c:val>
        </c:ser>
        <c:ser>
          <c:idx val="4"/>
          <c:order val="8"/>
          <c:tx>
            <c:strRef>
              <c:f>'Project Summary'!$A$67</c:f>
              <c:strCache>
                <c:ptCount val="1"/>
                <c:pt idx="0">
                  <c:v>Total Open High or Critical Issues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Summary'!$B$67:$S$67</c:f>
              <c:numCache>
                <c:formatCode>General</c:formatCode>
                <c:ptCount val="18"/>
                <c:pt idx="0">
                  <c:v>5</c:v>
                </c:pt>
                <c:pt idx="1">
                  <c:v>6</c:v>
                </c:pt>
                <c:pt idx="2">
                  <c:v>6</c:v>
                </c:pt>
                <c:pt idx="3">
                  <c:v>11</c:v>
                </c:pt>
                <c:pt idx="4">
                  <c:v>11</c:v>
                </c:pt>
                <c:pt idx="5">
                  <c:v>12</c:v>
                </c:pt>
                <c:pt idx="6">
                  <c:v>12</c:v>
                </c:pt>
                <c:pt idx="7">
                  <c:v>18</c:v>
                </c:pt>
                <c:pt idx="8">
                  <c:v>18</c:v>
                </c:pt>
                <c:pt idx="9">
                  <c:v>20</c:v>
                </c:pt>
                <c:pt idx="10">
                  <c:v>9</c:v>
                </c:pt>
                <c:pt idx="11">
                  <c:v>11</c:v>
                </c:pt>
                <c:pt idx="12">
                  <c:v>11</c:v>
                </c:pt>
                <c:pt idx="13">
                  <c:v>9</c:v>
                </c:pt>
                <c:pt idx="14">
                  <c:v>7</c:v>
                </c:pt>
                <c:pt idx="15">
                  <c:v>6</c:v>
                </c:pt>
                <c:pt idx="16">
                  <c:v>4</c:v>
                </c:pt>
                <c:pt idx="17">
                  <c:v>4</c:v>
                </c:pt>
              </c:numCache>
            </c:numRef>
          </c:val>
        </c:ser>
        <c:ser>
          <c:idx val="5"/>
          <c:order val="9"/>
          <c:tx>
            <c:strRef>
              <c:f>'Project Summary'!$A$68</c:f>
              <c:strCache>
                <c:ptCount val="1"/>
                <c:pt idx="0">
                  <c:v>Issues: Missed Required Resolution Date</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Summary'!$B$68:$S$68</c:f>
              <c:numCache>
                <c:formatCode>General</c:formatCode>
                <c:ptCount val="18"/>
                <c:pt idx="0">
                  <c:v>2</c:v>
                </c:pt>
                <c:pt idx="1">
                  <c:v>3</c:v>
                </c:pt>
                <c:pt idx="2">
                  <c:v>3</c:v>
                </c:pt>
                <c:pt idx="3">
                  <c:v>4</c:v>
                </c:pt>
                <c:pt idx="4">
                  <c:v>4</c:v>
                </c:pt>
                <c:pt idx="5">
                  <c:v>7</c:v>
                </c:pt>
                <c:pt idx="6">
                  <c:v>8</c:v>
                </c:pt>
                <c:pt idx="7">
                  <c:v>8</c:v>
                </c:pt>
                <c:pt idx="8">
                  <c:v>8</c:v>
                </c:pt>
                <c:pt idx="9">
                  <c:v>9</c:v>
                </c:pt>
                <c:pt idx="10">
                  <c:v>6</c:v>
                </c:pt>
                <c:pt idx="11">
                  <c:v>3</c:v>
                </c:pt>
                <c:pt idx="12">
                  <c:v>2</c:v>
                </c:pt>
                <c:pt idx="13">
                  <c:v>1</c:v>
                </c:pt>
                <c:pt idx="14">
                  <c:v>3</c:v>
                </c:pt>
                <c:pt idx="15">
                  <c:v>3</c:v>
                </c:pt>
                <c:pt idx="16">
                  <c:v>0</c:v>
                </c:pt>
                <c:pt idx="17">
                  <c:v>0</c:v>
                </c:pt>
              </c:numCache>
            </c:numRef>
          </c:val>
        </c:ser>
        <c:ser>
          <c:idx val="6"/>
          <c:order val="10"/>
          <c:tx>
            <c:strRef>
              <c:f>'Project Summary'!$A$69</c:f>
              <c:strCache>
                <c:ptCount val="1"/>
                <c:pt idx="0">
                  <c:v>Issues with no Required Resolution Date</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Summary'!$B$69:$S$69</c:f>
              <c:numCache>
                <c:formatCode>General</c:formatCode>
                <c:ptCount val="18"/>
                <c:pt idx="0">
                  <c:v>6</c:v>
                </c:pt>
                <c:pt idx="1">
                  <c:v>7</c:v>
                </c:pt>
                <c:pt idx="2">
                  <c:v>7</c:v>
                </c:pt>
                <c:pt idx="3">
                  <c:v>6</c:v>
                </c:pt>
                <c:pt idx="4">
                  <c:v>6</c:v>
                </c:pt>
                <c:pt idx="5">
                  <c:v>6</c:v>
                </c:pt>
                <c:pt idx="6">
                  <c:v>6</c:v>
                </c:pt>
                <c:pt idx="7">
                  <c:v>3</c:v>
                </c:pt>
                <c:pt idx="8">
                  <c:v>3</c:v>
                </c:pt>
                <c:pt idx="9">
                  <c:v>4</c:v>
                </c:pt>
                <c:pt idx="10">
                  <c:v>1</c:v>
                </c:pt>
                <c:pt idx="11">
                  <c:v>0</c:v>
                </c:pt>
                <c:pt idx="12">
                  <c:v>0</c:v>
                </c:pt>
                <c:pt idx="13">
                  <c:v>0</c:v>
                </c:pt>
                <c:pt idx="14">
                  <c:v>0</c:v>
                </c:pt>
                <c:pt idx="15">
                  <c:v>0</c:v>
                </c:pt>
                <c:pt idx="16">
                  <c:v>0</c:v>
                </c:pt>
                <c:pt idx="17">
                  <c:v>0</c:v>
                </c:pt>
              </c:numCache>
            </c:numRef>
          </c:val>
        </c:ser>
        <c:ser>
          <c:idx val="11"/>
          <c:order val="11"/>
          <c:tx>
            <c:strRef>
              <c:f>'Project Summary'!$A$70</c:f>
              <c:strCache>
                <c:ptCount val="1"/>
                <c:pt idx="0">
                  <c:v>Issues open 1-3 months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Summary'!$B$70:$S$70</c:f>
              <c:numCache>
                <c:formatCode>General</c:formatCode>
                <c:ptCount val="18"/>
                <c:pt idx="0">
                  <c:v>8</c:v>
                </c:pt>
                <c:pt idx="1">
                  <c:v>9</c:v>
                </c:pt>
                <c:pt idx="2">
                  <c:v>9</c:v>
                </c:pt>
                <c:pt idx="3">
                  <c:v>8</c:v>
                </c:pt>
                <c:pt idx="4">
                  <c:v>8</c:v>
                </c:pt>
                <c:pt idx="5">
                  <c:v>10</c:v>
                </c:pt>
                <c:pt idx="6">
                  <c:v>10</c:v>
                </c:pt>
                <c:pt idx="7">
                  <c:v>7</c:v>
                </c:pt>
                <c:pt idx="8">
                  <c:v>7</c:v>
                </c:pt>
                <c:pt idx="9">
                  <c:v>6</c:v>
                </c:pt>
                <c:pt idx="10">
                  <c:v>2</c:v>
                </c:pt>
                <c:pt idx="11">
                  <c:v>2</c:v>
                </c:pt>
                <c:pt idx="12">
                  <c:v>2</c:v>
                </c:pt>
                <c:pt idx="13">
                  <c:v>2</c:v>
                </c:pt>
                <c:pt idx="14">
                  <c:v>2</c:v>
                </c:pt>
                <c:pt idx="15">
                  <c:v>2</c:v>
                </c:pt>
                <c:pt idx="16">
                  <c:v>1</c:v>
                </c:pt>
                <c:pt idx="17">
                  <c:v>1</c:v>
                </c:pt>
              </c:numCache>
            </c:numRef>
          </c:val>
        </c:ser>
        <c:ser>
          <c:idx val="12"/>
          <c:order val="12"/>
          <c:tx>
            <c:strRef>
              <c:f>'Project Summary'!$A$71</c:f>
              <c:strCache>
                <c:ptCount val="1"/>
                <c:pt idx="0">
                  <c:v>Issues open 3-6 months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Summary'!$B$71:$S$71</c:f>
              <c:numCache>
                <c:formatCode>General</c:formatCode>
                <c:ptCount val="18"/>
                <c:pt idx="0">
                  <c:v>1</c:v>
                </c:pt>
                <c:pt idx="1">
                  <c:v>1</c:v>
                </c:pt>
                <c:pt idx="2">
                  <c:v>1</c:v>
                </c:pt>
                <c:pt idx="3">
                  <c:v>1</c:v>
                </c:pt>
                <c:pt idx="4">
                  <c:v>1</c:v>
                </c:pt>
                <c:pt idx="5">
                  <c:v>1</c:v>
                </c:pt>
                <c:pt idx="6">
                  <c:v>1</c:v>
                </c:pt>
                <c:pt idx="7">
                  <c:v>3</c:v>
                </c:pt>
                <c:pt idx="8">
                  <c:v>3</c:v>
                </c:pt>
                <c:pt idx="9">
                  <c:v>3</c:v>
                </c:pt>
                <c:pt idx="10">
                  <c:v>1</c:v>
                </c:pt>
                <c:pt idx="11">
                  <c:v>3</c:v>
                </c:pt>
                <c:pt idx="12">
                  <c:v>3</c:v>
                </c:pt>
                <c:pt idx="13">
                  <c:v>3</c:v>
                </c:pt>
                <c:pt idx="14">
                  <c:v>2</c:v>
                </c:pt>
                <c:pt idx="15">
                  <c:v>1</c:v>
                </c:pt>
                <c:pt idx="16">
                  <c:v>1</c:v>
                </c:pt>
                <c:pt idx="17">
                  <c:v>1</c:v>
                </c:pt>
              </c:numCache>
            </c:numRef>
          </c:val>
        </c:ser>
        <c:ser>
          <c:idx val="13"/>
          <c:order val="13"/>
          <c:tx>
            <c:strRef>
              <c:f>'Project Summary'!$A$72</c:f>
              <c:strCache>
                <c:ptCount val="1"/>
                <c:pt idx="0">
                  <c:v>Issues open longer than 6 months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Summary'!$B$72:$S$72</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0</c:v>
                </c:pt>
                <c:pt idx="13">
                  <c:v>0</c:v>
                </c:pt>
                <c:pt idx="14">
                  <c:v>0</c:v>
                </c:pt>
                <c:pt idx="15">
                  <c:v>0</c:v>
                </c:pt>
                <c:pt idx="16">
                  <c:v>0</c:v>
                </c:pt>
                <c:pt idx="17">
                  <c:v>0</c:v>
                </c:pt>
              </c:numCache>
            </c:numRef>
          </c:val>
        </c:ser>
        <c:ser>
          <c:idx val="14"/>
          <c:order val="14"/>
          <c:tx>
            <c:strRef>
              <c:f>'Project Summary'!$A$73</c:f>
              <c:strCache>
                <c:ptCount val="1"/>
                <c:pt idx="0">
                  <c:v>Total Assumptions not yet validated</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Summary'!$B$73:$S$73</c:f>
              <c:numCache>
                <c:formatCode>General</c:formatCode>
                <c:ptCount val="18"/>
                <c:pt idx="0">
                  <c:v>37</c:v>
                </c:pt>
                <c:pt idx="1">
                  <c:v>37</c:v>
                </c:pt>
                <c:pt idx="2">
                  <c:v>37</c:v>
                </c:pt>
                <c:pt idx="3">
                  <c:v>37</c:v>
                </c:pt>
                <c:pt idx="4">
                  <c:v>37</c:v>
                </c:pt>
                <c:pt idx="5">
                  <c:v>37</c:v>
                </c:pt>
                <c:pt idx="6">
                  <c:v>37</c:v>
                </c:pt>
                <c:pt idx="7">
                  <c:v>37</c:v>
                </c:pt>
                <c:pt idx="8">
                  <c:v>37</c:v>
                </c:pt>
                <c:pt idx="9">
                  <c:v>36</c:v>
                </c:pt>
                <c:pt idx="10">
                  <c:v>36</c:v>
                </c:pt>
                <c:pt idx="11">
                  <c:v>36</c:v>
                </c:pt>
                <c:pt idx="12">
                  <c:v>36</c:v>
                </c:pt>
                <c:pt idx="13">
                  <c:v>36</c:v>
                </c:pt>
                <c:pt idx="14">
                  <c:v>37</c:v>
                </c:pt>
                <c:pt idx="15">
                  <c:v>37</c:v>
                </c:pt>
                <c:pt idx="16">
                  <c:v>37</c:v>
                </c:pt>
                <c:pt idx="17">
                  <c:v>6</c:v>
                </c:pt>
              </c:numCache>
            </c:numRef>
          </c:val>
        </c:ser>
        <c:ser>
          <c:idx val="15"/>
          <c:order val="15"/>
          <c:tx>
            <c:strRef>
              <c:f>'Project Summary'!$A$74</c:f>
              <c:strCache>
                <c:ptCount val="1"/>
                <c:pt idx="0">
                  <c:v>Total Pending Decisions</c:v>
                </c:pt>
              </c:strCache>
            </c:strRef>
          </c:tx>
          <c:cat>
            <c:numRef>
              <c:f>'Project Summary'!$B$58:$S$58</c:f>
              <c:numCache>
                <c:formatCode>[$-409]d\-mmm;@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formatCode="dd\-mmm">
                  <c:v>40988</c:v>
                </c:pt>
              </c:numCache>
            </c:numRef>
          </c:cat>
          <c:val>
            <c:numRef>
              <c:f>'Project Summary'!$B$74:$S$74</c:f>
              <c:numCache>
                <c:formatCode>General</c:formatCode>
                <c:ptCount val="18"/>
                <c:pt idx="0">
                  <c:v>7</c:v>
                </c:pt>
                <c:pt idx="1">
                  <c:v>7</c:v>
                </c:pt>
                <c:pt idx="2">
                  <c:v>7</c:v>
                </c:pt>
                <c:pt idx="3">
                  <c:v>7</c:v>
                </c:pt>
                <c:pt idx="4">
                  <c:v>7</c:v>
                </c:pt>
                <c:pt idx="5">
                  <c:v>4</c:v>
                </c:pt>
                <c:pt idx="6">
                  <c:v>4</c:v>
                </c:pt>
                <c:pt idx="7">
                  <c:v>4</c:v>
                </c:pt>
                <c:pt idx="8">
                  <c:v>4</c:v>
                </c:pt>
                <c:pt idx="9">
                  <c:v>4</c:v>
                </c:pt>
                <c:pt idx="10">
                  <c:v>4</c:v>
                </c:pt>
                <c:pt idx="11">
                  <c:v>4</c:v>
                </c:pt>
                <c:pt idx="12">
                  <c:v>4</c:v>
                </c:pt>
                <c:pt idx="13">
                  <c:v>4</c:v>
                </c:pt>
                <c:pt idx="14">
                  <c:v>1</c:v>
                </c:pt>
                <c:pt idx="15">
                  <c:v>1</c:v>
                </c:pt>
                <c:pt idx="16">
                  <c:v>0</c:v>
                </c:pt>
                <c:pt idx="17">
                  <c:v>0</c:v>
                </c:pt>
              </c:numCache>
            </c:numRef>
          </c:val>
        </c:ser>
        <c:marker val="1"/>
        <c:axId val="160471296"/>
        <c:axId val="160374784"/>
      </c:lineChart>
      <c:dateAx>
        <c:axId val="160471296"/>
        <c:scaling>
          <c:orientation val="minMax"/>
        </c:scaling>
        <c:axPos val="b"/>
        <c:numFmt formatCode="[$-409]d\-mmm;@" sourceLinked="1"/>
        <c:majorTickMark val="none"/>
        <c:tickLblPos val="nextTo"/>
        <c:txPr>
          <a:bodyPr/>
          <a:lstStyle/>
          <a:p>
            <a:pPr>
              <a:defRPr sz="700"/>
            </a:pPr>
            <a:endParaRPr lang="en-US"/>
          </a:p>
        </c:txPr>
        <c:crossAx val="160374784"/>
        <c:crosses val="autoZero"/>
        <c:auto val="1"/>
        <c:lblOffset val="100"/>
        <c:baseTimeUnit val="days"/>
        <c:majorUnit val="3"/>
        <c:majorTimeUnit val="days"/>
      </c:dateAx>
      <c:valAx>
        <c:axId val="160374784"/>
        <c:scaling>
          <c:orientation val="minMax"/>
        </c:scaling>
        <c:axPos val="l"/>
        <c:majorGridlines/>
        <c:numFmt formatCode="General" sourceLinked="1"/>
        <c:majorTickMark val="none"/>
        <c:tickLblPos val="nextTo"/>
        <c:txPr>
          <a:bodyPr/>
          <a:lstStyle/>
          <a:p>
            <a:pPr>
              <a:defRPr sz="700"/>
            </a:pPr>
            <a:endParaRPr lang="en-US"/>
          </a:p>
        </c:txPr>
        <c:crossAx val="160471296"/>
        <c:crosses val="autoZero"/>
        <c:crossBetween val="between"/>
      </c:valAx>
    </c:plotArea>
    <c:legend>
      <c:legendPos val="r"/>
      <c:txPr>
        <a:bodyPr/>
        <a:lstStyle/>
        <a:p>
          <a:pPr>
            <a:defRPr sz="650"/>
          </a:pPr>
          <a:endParaRPr lang="en-US"/>
        </a:p>
      </c:txP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800"/>
            </a:pPr>
            <a:r>
              <a:rPr lang="en-US" sz="800"/>
              <a:t>App and Data Migration</a:t>
            </a:r>
          </a:p>
        </c:rich>
      </c:tx>
    </c:title>
    <c:plotArea>
      <c:layout/>
      <c:lineChart>
        <c:grouping val="standard"/>
        <c:ser>
          <c:idx val="0"/>
          <c:order val="0"/>
          <c:tx>
            <c:strRef>
              <c:f>'Project Summary'!$A$2</c:f>
              <c:strCache>
                <c:ptCount val="1"/>
                <c:pt idx="0">
                  <c:v>Total Open Risks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Summary'!$B$2:$S$2</c:f>
              <c:numCache>
                <c:formatCode>General</c:formatCode>
                <c:ptCount val="18"/>
                <c:pt idx="0">
                  <c:v>7</c:v>
                </c:pt>
                <c:pt idx="1">
                  <c:v>7</c:v>
                </c:pt>
                <c:pt idx="2">
                  <c:v>7</c:v>
                </c:pt>
                <c:pt idx="3">
                  <c:v>6</c:v>
                </c:pt>
                <c:pt idx="4">
                  <c:v>6</c:v>
                </c:pt>
                <c:pt idx="5">
                  <c:v>7</c:v>
                </c:pt>
                <c:pt idx="6">
                  <c:v>7</c:v>
                </c:pt>
                <c:pt idx="7">
                  <c:v>7</c:v>
                </c:pt>
                <c:pt idx="8">
                  <c:v>2</c:v>
                </c:pt>
                <c:pt idx="9">
                  <c:v>2</c:v>
                </c:pt>
                <c:pt idx="10">
                  <c:v>2</c:v>
                </c:pt>
                <c:pt idx="11">
                  <c:v>2</c:v>
                </c:pt>
                <c:pt idx="12">
                  <c:v>2</c:v>
                </c:pt>
                <c:pt idx="13">
                  <c:v>2</c:v>
                </c:pt>
                <c:pt idx="14">
                  <c:v>2</c:v>
                </c:pt>
                <c:pt idx="15">
                  <c:v>2</c:v>
                </c:pt>
                <c:pt idx="16">
                  <c:v>2</c:v>
                </c:pt>
                <c:pt idx="17">
                  <c:v>2</c:v>
                </c:pt>
              </c:numCache>
            </c:numRef>
          </c:val>
        </c:ser>
        <c:ser>
          <c:idx val="1"/>
          <c:order val="1"/>
          <c:tx>
            <c:strRef>
              <c:f>'Project Summary'!$A$3</c:f>
              <c:strCache>
                <c:ptCount val="1"/>
                <c:pt idx="0">
                  <c:v>Total Open High or Critical Risks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Summary'!$B$3:$S$3</c:f>
              <c:numCache>
                <c:formatCode>General</c:formatCode>
                <c:ptCount val="18"/>
                <c:pt idx="0">
                  <c:v>4</c:v>
                </c:pt>
                <c:pt idx="1">
                  <c:v>4</c:v>
                </c:pt>
                <c:pt idx="2">
                  <c:v>4</c:v>
                </c:pt>
                <c:pt idx="3">
                  <c:v>3</c:v>
                </c:pt>
                <c:pt idx="4">
                  <c:v>3</c:v>
                </c:pt>
                <c:pt idx="5">
                  <c:v>4</c:v>
                </c:pt>
                <c:pt idx="6">
                  <c:v>4</c:v>
                </c:pt>
                <c:pt idx="7">
                  <c:v>2</c:v>
                </c:pt>
                <c:pt idx="8">
                  <c:v>0</c:v>
                </c:pt>
                <c:pt idx="9">
                  <c:v>0</c:v>
                </c:pt>
                <c:pt idx="10">
                  <c:v>0</c:v>
                </c:pt>
                <c:pt idx="11">
                  <c:v>1</c:v>
                </c:pt>
                <c:pt idx="12">
                  <c:v>1</c:v>
                </c:pt>
                <c:pt idx="13">
                  <c:v>1</c:v>
                </c:pt>
                <c:pt idx="14">
                  <c:v>1</c:v>
                </c:pt>
                <c:pt idx="15">
                  <c:v>1</c:v>
                </c:pt>
                <c:pt idx="16">
                  <c:v>1</c:v>
                </c:pt>
                <c:pt idx="17">
                  <c:v>1</c:v>
                </c:pt>
              </c:numCache>
            </c:numRef>
          </c:val>
        </c:ser>
        <c:ser>
          <c:idx val="2"/>
          <c:order val="2"/>
          <c:tx>
            <c:strRef>
              <c:f>'Project Summary'!$A$4</c:f>
              <c:strCache>
                <c:ptCount val="1"/>
                <c:pt idx="0">
                  <c:v>Risks: Missed Required Resolution Date</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Summary'!$B$4:$S$4</c:f>
              <c:numCache>
                <c:formatCode>General</c:formatCode>
                <c:ptCount val="18"/>
                <c:pt idx="0">
                  <c:v>3</c:v>
                </c:pt>
                <c:pt idx="1">
                  <c:v>5</c:v>
                </c:pt>
                <c:pt idx="2">
                  <c:v>6</c:v>
                </c:pt>
                <c:pt idx="3">
                  <c:v>5</c:v>
                </c:pt>
                <c:pt idx="4">
                  <c:v>5</c:v>
                </c:pt>
                <c:pt idx="5">
                  <c:v>5</c:v>
                </c:pt>
                <c:pt idx="6">
                  <c:v>7</c:v>
                </c:pt>
                <c:pt idx="7">
                  <c:v>7</c:v>
                </c:pt>
                <c:pt idx="8">
                  <c:v>0</c:v>
                </c:pt>
                <c:pt idx="9">
                  <c:v>0</c:v>
                </c:pt>
                <c:pt idx="10">
                  <c:v>0</c:v>
                </c:pt>
                <c:pt idx="11">
                  <c:v>0</c:v>
                </c:pt>
                <c:pt idx="12">
                  <c:v>0</c:v>
                </c:pt>
                <c:pt idx="13">
                  <c:v>0</c:v>
                </c:pt>
                <c:pt idx="14">
                  <c:v>0</c:v>
                </c:pt>
                <c:pt idx="15">
                  <c:v>0</c:v>
                </c:pt>
                <c:pt idx="16">
                  <c:v>0</c:v>
                </c:pt>
                <c:pt idx="17">
                  <c:v>0</c:v>
                </c:pt>
              </c:numCache>
            </c:numRef>
          </c:val>
        </c:ser>
        <c:ser>
          <c:idx val="3"/>
          <c:order val="3"/>
          <c:tx>
            <c:strRef>
              <c:f>'Project Summary'!$A$5</c:f>
              <c:strCache>
                <c:ptCount val="1"/>
                <c:pt idx="0">
                  <c:v>Risks with no Required Resolution Date</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Summary'!$B$5:$S$5</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4"/>
          <c:order val="4"/>
          <c:tx>
            <c:strRef>
              <c:f>'Project Summary'!$A$6</c:f>
              <c:strCache>
                <c:ptCount val="1"/>
                <c:pt idx="0">
                  <c:v>Risks open 1-3 months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Summary'!$B$6:$S$6</c:f>
              <c:numCache>
                <c:formatCode>General</c:formatCode>
                <c:ptCount val="18"/>
                <c:pt idx="0">
                  <c:v>2</c:v>
                </c:pt>
                <c:pt idx="1">
                  <c:v>2</c:v>
                </c:pt>
                <c:pt idx="2">
                  <c:v>2</c:v>
                </c:pt>
                <c:pt idx="3">
                  <c:v>1</c:v>
                </c:pt>
                <c:pt idx="4">
                  <c:v>1</c:v>
                </c:pt>
                <c:pt idx="5">
                  <c:v>1</c:v>
                </c:pt>
                <c:pt idx="6">
                  <c:v>2</c:v>
                </c:pt>
                <c:pt idx="7">
                  <c:v>2</c:v>
                </c:pt>
                <c:pt idx="8">
                  <c:v>1</c:v>
                </c:pt>
                <c:pt idx="9">
                  <c:v>1</c:v>
                </c:pt>
                <c:pt idx="10">
                  <c:v>1</c:v>
                </c:pt>
                <c:pt idx="11">
                  <c:v>1</c:v>
                </c:pt>
                <c:pt idx="12">
                  <c:v>1</c:v>
                </c:pt>
                <c:pt idx="13">
                  <c:v>1</c:v>
                </c:pt>
                <c:pt idx="14">
                  <c:v>1</c:v>
                </c:pt>
                <c:pt idx="15">
                  <c:v>1</c:v>
                </c:pt>
                <c:pt idx="16">
                  <c:v>1</c:v>
                </c:pt>
                <c:pt idx="17">
                  <c:v>1</c:v>
                </c:pt>
              </c:numCache>
            </c:numRef>
          </c:val>
        </c:ser>
        <c:ser>
          <c:idx val="5"/>
          <c:order val="5"/>
          <c:tx>
            <c:strRef>
              <c:f>'Project Summary'!$A$7</c:f>
              <c:strCache>
                <c:ptCount val="1"/>
                <c:pt idx="0">
                  <c:v>Risks open 3-6 months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Summary'!$B$7:$S$7</c:f>
              <c:numCache>
                <c:formatCode>General</c:formatCode>
                <c:ptCount val="18"/>
                <c:pt idx="0">
                  <c:v>1</c:v>
                </c:pt>
                <c:pt idx="1">
                  <c:v>1</c:v>
                </c:pt>
                <c:pt idx="2">
                  <c:v>1</c:v>
                </c:pt>
                <c:pt idx="3">
                  <c:v>2</c:v>
                </c:pt>
                <c:pt idx="4">
                  <c:v>2</c:v>
                </c:pt>
                <c:pt idx="5">
                  <c:v>2</c:v>
                </c:pt>
                <c:pt idx="6">
                  <c:v>2</c:v>
                </c:pt>
                <c:pt idx="7">
                  <c:v>2</c:v>
                </c:pt>
                <c:pt idx="8">
                  <c:v>0</c:v>
                </c:pt>
                <c:pt idx="9">
                  <c:v>0</c:v>
                </c:pt>
                <c:pt idx="10">
                  <c:v>0</c:v>
                </c:pt>
                <c:pt idx="11">
                  <c:v>0</c:v>
                </c:pt>
                <c:pt idx="12">
                  <c:v>0</c:v>
                </c:pt>
                <c:pt idx="13">
                  <c:v>0</c:v>
                </c:pt>
                <c:pt idx="14">
                  <c:v>0</c:v>
                </c:pt>
                <c:pt idx="15">
                  <c:v>0</c:v>
                </c:pt>
                <c:pt idx="16">
                  <c:v>0</c:v>
                </c:pt>
                <c:pt idx="17">
                  <c:v>0</c:v>
                </c:pt>
              </c:numCache>
            </c:numRef>
          </c:val>
        </c:ser>
        <c:ser>
          <c:idx val="6"/>
          <c:order val="6"/>
          <c:tx>
            <c:strRef>
              <c:f>'Project Summary'!$A$8</c:f>
              <c:strCache>
                <c:ptCount val="1"/>
                <c:pt idx="0">
                  <c:v>Risks open longer than 6 months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Summary'!$B$8:$S$8</c:f>
              <c:numCache>
                <c:formatCode>General</c:formatCode>
                <c:ptCount val="18"/>
                <c:pt idx="0">
                  <c:v>2</c:v>
                </c:pt>
                <c:pt idx="1">
                  <c:v>2</c:v>
                </c:pt>
                <c:pt idx="2">
                  <c:v>2</c:v>
                </c:pt>
                <c:pt idx="3">
                  <c:v>1</c:v>
                </c:pt>
                <c:pt idx="4">
                  <c:v>1</c:v>
                </c:pt>
                <c:pt idx="5">
                  <c:v>1</c:v>
                </c:pt>
                <c:pt idx="6">
                  <c:v>1</c:v>
                </c:pt>
                <c:pt idx="7">
                  <c:v>1</c:v>
                </c:pt>
                <c:pt idx="8">
                  <c:v>0</c:v>
                </c:pt>
                <c:pt idx="9">
                  <c:v>0</c:v>
                </c:pt>
                <c:pt idx="10">
                  <c:v>0</c:v>
                </c:pt>
                <c:pt idx="11">
                  <c:v>0</c:v>
                </c:pt>
                <c:pt idx="12">
                  <c:v>0</c:v>
                </c:pt>
                <c:pt idx="13">
                  <c:v>0</c:v>
                </c:pt>
                <c:pt idx="14">
                  <c:v>0</c:v>
                </c:pt>
                <c:pt idx="15">
                  <c:v>0</c:v>
                </c:pt>
                <c:pt idx="16">
                  <c:v>0</c:v>
                </c:pt>
                <c:pt idx="17">
                  <c:v>0</c:v>
                </c:pt>
              </c:numCache>
            </c:numRef>
          </c:val>
        </c:ser>
        <c:ser>
          <c:idx val="7"/>
          <c:order val="7"/>
          <c:tx>
            <c:strRef>
              <c:f>'Project Summary'!$A$9</c:f>
              <c:strCache>
                <c:ptCount val="1"/>
                <c:pt idx="0">
                  <c:v>Total Open Issues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Summary'!$B$9:$S$9</c:f>
              <c:numCache>
                <c:formatCode>General</c:formatCode>
                <c:ptCount val="18"/>
                <c:pt idx="0">
                  <c:v>5</c:v>
                </c:pt>
                <c:pt idx="1">
                  <c:v>4</c:v>
                </c:pt>
                <c:pt idx="2">
                  <c:v>4</c:v>
                </c:pt>
                <c:pt idx="3">
                  <c:v>5</c:v>
                </c:pt>
                <c:pt idx="4">
                  <c:v>5</c:v>
                </c:pt>
                <c:pt idx="5">
                  <c:v>6</c:v>
                </c:pt>
                <c:pt idx="6">
                  <c:v>6</c:v>
                </c:pt>
                <c:pt idx="7">
                  <c:v>6</c:v>
                </c:pt>
                <c:pt idx="8">
                  <c:v>3</c:v>
                </c:pt>
                <c:pt idx="9">
                  <c:v>3</c:v>
                </c:pt>
                <c:pt idx="10">
                  <c:v>3</c:v>
                </c:pt>
                <c:pt idx="11">
                  <c:v>3</c:v>
                </c:pt>
                <c:pt idx="12">
                  <c:v>3</c:v>
                </c:pt>
                <c:pt idx="13">
                  <c:v>3</c:v>
                </c:pt>
                <c:pt idx="14">
                  <c:v>3</c:v>
                </c:pt>
                <c:pt idx="15">
                  <c:v>3</c:v>
                </c:pt>
                <c:pt idx="16">
                  <c:v>3</c:v>
                </c:pt>
                <c:pt idx="17">
                  <c:v>3</c:v>
                </c:pt>
              </c:numCache>
            </c:numRef>
          </c:val>
        </c:ser>
        <c:ser>
          <c:idx val="8"/>
          <c:order val="8"/>
          <c:tx>
            <c:strRef>
              <c:f>'Project Summary'!$A$10</c:f>
              <c:strCache>
                <c:ptCount val="1"/>
                <c:pt idx="0">
                  <c:v>Total Open High or Critical Issues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Summary'!$B$10:$S$10</c:f>
              <c:numCache>
                <c:formatCode>General</c:formatCode>
                <c:ptCount val="18"/>
                <c:pt idx="0">
                  <c:v>5</c:v>
                </c:pt>
                <c:pt idx="1">
                  <c:v>4</c:v>
                </c:pt>
                <c:pt idx="2">
                  <c:v>4</c:v>
                </c:pt>
                <c:pt idx="3">
                  <c:v>5</c:v>
                </c:pt>
                <c:pt idx="4">
                  <c:v>5</c:v>
                </c:pt>
                <c:pt idx="5">
                  <c:v>5</c:v>
                </c:pt>
                <c:pt idx="6">
                  <c:v>5</c:v>
                </c:pt>
                <c:pt idx="7">
                  <c:v>5</c:v>
                </c:pt>
                <c:pt idx="8">
                  <c:v>3</c:v>
                </c:pt>
                <c:pt idx="9">
                  <c:v>3</c:v>
                </c:pt>
                <c:pt idx="10">
                  <c:v>3</c:v>
                </c:pt>
                <c:pt idx="11">
                  <c:v>3</c:v>
                </c:pt>
                <c:pt idx="12">
                  <c:v>3</c:v>
                </c:pt>
                <c:pt idx="13">
                  <c:v>3</c:v>
                </c:pt>
                <c:pt idx="14">
                  <c:v>3</c:v>
                </c:pt>
                <c:pt idx="15">
                  <c:v>3</c:v>
                </c:pt>
                <c:pt idx="16">
                  <c:v>3</c:v>
                </c:pt>
                <c:pt idx="17">
                  <c:v>3</c:v>
                </c:pt>
              </c:numCache>
            </c:numRef>
          </c:val>
        </c:ser>
        <c:ser>
          <c:idx val="9"/>
          <c:order val="9"/>
          <c:tx>
            <c:strRef>
              <c:f>'Project Summary'!$A$11</c:f>
              <c:strCache>
                <c:ptCount val="1"/>
                <c:pt idx="0">
                  <c:v>Issues: Missed Required Resolution Date</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Summary'!$B$11:$S$11</c:f>
              <c:numCache>
                <c:formatCode>General</c:formatCode>
                <c:ptCount val="18"/>
                <c:pt idx="0">
                  <c:v>4</c:v>
                </c:pt>
                <c:pt idx="1">
                  <c:v>3</c:v>
                </c:pt>
                <c:pt idx="2">
                  <c:v>3</c:v>
                </c:pt>
                <c:pt idx="3">
                  <c:v>3</c:v>
                </c:pt>
                <c:pt idx="4">
                  <c:v>4</c:v>
                </c:pt>
                <c:pt idx="5">
                  <c:v>5</c:v>
                </c:pt>
                <c:pt idx="6">
                  <c:v>5</c:v>
                </c:pt>
                <c:pt idx="7">
                  <c:v>5</c:v>
                </c:pt>
                <c:pt idx="8">
                  <c:v>0</c:v>
                </c:pt>
                <c:pt idx="9">
                  <c:v>0</c:v>
                </c:pt>
                <c:pt idx="10">
                  <c:v>0</c:v>
                </c:pt>
                <c:pt idx="11">
                  <c:v>0</c:v>
                </c:pt>
                <c:pt idx="12">
                  <c:v>0</c:v>
                </c:pt>
                <c:pt idx="13">
                  <c:v>0</c:v>
                </c:pt>
                <c:pt idx="14">
                  <c:v>0</c:v>
                </c:pt>
                <c:pt idx="15">
                  <c:v>0</c:v>
                </c:pt>
                <c:pt idx="16">
                  <c:v>0</c:v>
                </c:pt>
                <c:pt idx="17">
                  <c:v>0</c:v>
                </c:pt>
              </c:numCache>
            </c:numRef>
          </c:val>
        </c:ser>
        <c:ser>
          <c:idx val="10"/>
          <c:order val="10"/>
          <c:tx>
            <c:strRef>
              <c:f>'Project Summary'!$A$12</c:f>
              <c:strCache>
                <c:ptCount val="1"/>
                <c:pt idx="0">
                  <c:v>Issues with no Required Resolution Date</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Summary'!$B$12:$S$12</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1"/>
          <c:order val="11"/>
          <c:tx>
            <c:strRef>
              <c:f>'Project Summary'!$A$13</c:f>
              <c:strCache>
                <c:ptCount val="1"/>
                <c:pt idx="0">
                  <c:v>Issues open 1-3 months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Summary'!$B$13:$S$13</c:f>
              <c:numCache>
                <c:formatCode>General</c:formatCode>
                <c:ptCount val="18"/>
                <c:pt idx="0">
                  <c:v>3</c:v>
                </c:pt>
                <c:pt idx="1">
                  <c:v>3</c:v>
                </c:pt>
                <c:pt idx="2">
                  <c:v>3</c:v>
                </c:pt>
                <c:pt idx="3">
                  <c:v>3</c:v>
                </c:pt>
                <c:pt idx="4">
                  <c:v>4</c:v>
                </c:pt>
                <c:pt idx="5">
                  <c:v>4</c:v>
                </c:pt>
                <c:pt idx="6">
                  <c:v>4</c:v>
                </c:pt>
                <c:pt idx="7">
                  <c:v>4</c:v>
                </c:pt>
                <c:pt idx="8">
                  <c:v>1</c:v>
                </c:pt>
                <c:pt idx="9">
                  <c:v>1</c:v>
                </c:pt>
                <c:pt idx="10">
                  <c:v>1</c:v>
                </c:pt>
                <c:pt idx="11">
                  <c:v>1</c:v>
                </c:pt>
                <c:pt idx="12">
                  <c:v>1</c:v>
                </c:pt>
                <c:pt idx="13">
                  <c:v>1</c:v>
                </c:pt>
                <c:pt idx="14">
                  <c:v>1</c:v>
                </c:pt>
                <c:pt idx="15">
                  <c:v>1</c:v>
                </c:pt>
                <c:pt idx="16">
                  <c:v>1</c:v>
                </c:pt>
                <c:pt idx="17">
                  <c:v>1</c:v>
                </c:pt>
              </c:numCache>
            </c:numRef>
          </c:val>
        </c:ser>
        <c:ser>
          <c:idx val="12"/>
          <c:order val="12"/>
          <c:tx>
            <c:strRef>
              <c:f>'Project Summary'!$A$14</c:f>
              <c:strCache>
                <c:ptCount val="1"/>
                <c:pt idx="0">
                  <c:v>Issues open 3-6 months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Summary'!$B$14:$S$14</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3"/>
          <c:order val="13"/>
          <c:tx>
            <c:strRef>
              <c:f>'Project Summary'!$A$15</c:f>
              <c:strCache>
                <c:ptCount val="1"/>
                <c:pt idx="0">
                  <c:v>Issues open longer than 6 months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Summary'!$B$15:$S$15</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ser>
          <c:idx val="14"/>
          <c:order val="14"/>
          <c:tx>
            <c:strRef>
              <c:f>'Project Summary'!$A$16</c:f>
              <c:strCache>
                <c:ptCount val="1"/>
                <c:pt idx="0">
                  <c:v>Total Assumptions not yet validated</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Summary'!$B$16:$S$16</c:f>
              <c:numCache>
                <c:formatCode>General</c:formatCode>
                <c:ptCount val="18"/>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numCache>
            </c:numRef>
          </c:val>
        </c:ser>
        <c:ser>
          <c:idx val="15"/>
          <c:order val="15"/>
          <c:tx>
            <c:strRef>
              <c:f>'Project Summary'!$A$17</c:f>
              <c:strCache>
                <c:ptCount val="1"/>
                <c:pt idx="0">
                  <c:v>Total Pending Decisions</c:v>
                </c:pt>
              </c:strCache>
            </c:strRef>
          </c:tx>
          <c:cat>
            <c:numRef>
              <c:f>'Project Summary'!$B$1:$S$1</c:f>
              <c:numCache>
                <c:formatCode>dd\-mmm</c:formatCode>
                <c:ptCount val="18"/>
                <c:pt idx="0">
                  <c:v>40952</c:v>
                </c:pt>
                <c:pt idx="1">
                  <c:v>40955</c:v>
                </c:pt>
                <c:pt idx="2">
                  <c:v>40959</c:v>
                </c:pt>
                <c:pt idx="3">
                  <c:v>40962</c:v>
                </c:pt>
                <c:pt idx="4">
                  <c:v>40966</c:v>
                </c:pt>
                <c:pt idx="5">
                  <c:v>40969</c:v>
                </c:pt>
                <c:pt idx="6">
                  <c:v>40973</c:v>
                </c:pt>
                <c:pt idx="7">
                  <c:v>40974</c:v>
                </c:pt>
                <c:pt idx="8">
                  <c:v>40975</c:v>
                </c:pt>
                <c:pt idx="9">
                  <c:v>40976</c:v>
                </c:pt>
                <c:pt idx="10">
                  <c:v>40977</c:v>
                </c:pt>
                <c:pt idx="11">
                  <c:v>40980</c:v>
                </c:pt>
                <c:pt idx="12">
                  <c:v>40981</c:v>
                </c:pt>
                <c:pt idx="13">
                  <c:v>40982</c:v>
                </c:pt>
                <c:pt idx="14">
                  <c:v>40983</c:v>
                </c:pt>
                <c:pt idx="15">
                  <c:v>40984</c:v>
                </c:pt>
                <c:pt idx="16">
                  <c:v>40987</c:v>
                </c:pt>
                <c:pt idx="17">
                  <c:v>40988</c:v>
                </c:pt>
              </c:numCache>
            </c:numRef>
          </c:cat>
          <c:val>
            <c:numRef>
              <c:f>'Project Summary'!$B$17:$S$17</c:f>
              <c:numCache>
                <c:formatCode>General</c:formatCode>
                <c:ptCount val="18"/>
                <c:pt idx="0">
                  <c:v>3</c:v>
                </c:pt>
                <c:pt idx="1">
                  <c:v>3</c:v>
                </c:pt>
                <c:pt idx="2">
                  <c:v>3</c:v>
                </c:pt>
                <c:pt idx="3">
                  <c:v>2</c:v>
                </c:pt>
                <c:pt idx="4">
                  <c:v>2</c:v>
                </c:pt>
                <c:pt idx="5">
                  <c:v>2</c:v>
                </c:pt>
                <c:pt idx="6">
                  <c:v>2</c:v>
                </c:pt>
                <c:pt idx="7">
                  <c:v>2</c:v>
                </c:pt>
                <c:pt idx="8">
                  <c:v>3</c:v>
                </c:pt>
                <c:pt idx="9">
                  <c:v>3</c:v>
                </c:pt>
                <c:pt idx="10">
                  <c:v>3</c:v>
                </c:pt>
                <c:pt idx="11">
                  <c:v>3</c:v>
                </c:pt>
                <c:pt idx="12">
                  <c:v>3</c:v>
                </c:pt>
                <c:pt idx="13">
                  <c:v>3</c:v>
                </c:pt>
                <c:pt idx="14">
                  <c:v>3</c:v>
                </c:pt>
                <c:pt idx="15">
                  <c:v>3</c:v>
                </c:pt>
                <c:pt idx="16">
                  <c:v>3</c:v>
                </c:pt>
                <c:pt idx="17">
                  <c:v>3</c:v>
                </c:pt>
              </c:numCache>
            </c:numRef>
          </c:val>
        </c:ser>
        <c:marker val="1"/>
        <c:axId val="160587136"/>
        <c:axId val="160609408"/>
      </c:lineChart>
      <c:dateAx>
        <c:axId val="160587136"/>
        <c:scaling>
          <c:orientation val="minMax"/>
        </c:scaling>
        <c:axPos val="b"/>
        <c:numFmt formatCode="dd\-mmm" sourceLinked="1"/>
        <c:majorTickMark val="none"/>
        <c:tickLblPos val="nextTo"/>
        <c:txPr>
          <a:bodyPr/>
          <a:lstStyle/>
          <a:p>
            <a:pPr>
              <a:defRPr sz="650"/>
            </a:pPr>
            <a:endParaRPr lang="en-US"/>
          </a:p>
        </c:txPr>
        <c:crossAx val="160609408"/>
        <c:crosses val="autoZero"/>
        <c:auto val="1"/>
        <c:lblOffset val="100"/>
        <c:baseTimeUnit val="days"/>
        <c:majorUnit val="3"/>
        <c:majorTimeUnit val="days"/>
      </c:dateAx>
      <c:valAx>
        <c:axId val="160609408"/>
        <c:scaling>
          <c:orientation val="minMax"/>
        </c:scaling>
        <c:axPos val="l"/>
        <c:majorGridlines/>
        <c:numFmt formatCode="General" sourceLinked="1"/>
        <c:majorTickMark val="none"/>
        <c:tickLblPos val="nextTo"/>
        <c:txPr>
          <a:bodyPr/>
          <a:lstStyle/>
          <a:p>
            <a:pPr>
              <a:defRPr sz="700"/>
            </a:pPr>
            <a:endParaRPr lang="en-US"/>
          </a:p>
        </c:txPr>
        <c:crossAx val="160587136"/>
        <c:crosses val="autoZero"/>
        <c:crossBetween val="between"/>
      </c:valAx>
    </c:plotArea>
    <c:legend>
      <c:legendPos val="r"/>
      <c:layout>
        <c:manualLayout>
          <c:xMode val="edge"/>
          <c:yMode val="edge"/>
          <c:x val="0.71098218829516524"/>
          <c:y val="0.11722769028871394"/>
          <c:w val="0.27883969465648856"/>
          <c:h val="0.83390128317293677"/>
        </c:manualLayout>
      </c:layout>
      <c:txPr>
        <a:bodyPr/>
        <a:lstStyle/>
        <a:p>
          <a:pPr>
            <a:defRPr sz="650"/>
          </a:pPr>
          <a:endParaRPr lang="en-US"/>
        </a:p>
      </c:txPr>
    </c:legend>
    <c:plotVisOnly val="1"/>
    <c:dispBlanksAs val="gap"/>
  </c:chart>
  <c:printSettings>
    <c:headerFooter/>
    <c:pageMargins b="0.75000000000000622" l="0.70000000000000062" r="0.70000000000000062" t="0.7500000000000062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GB"/>
  <c:chart>
    <c:plotArea>
      <c:layout/>
      <c:barChart>
        <c:barDir val="col"/>
        <c:grouping val="clustered"/>
        <c:ser>
          <c:idx val="0"/>
          <c:order val="0"/>
          <c:tx>
            <c:strRef>
              <c:f>Snapshot!$A$2</c:f>
              <c:strCache>
                <c:ptCount val="1"/>
                <c:pt idx="0">
                  <c:v>App &amp; Data Migration</c:v>
                </c:pt>
              </c:strCache>
            </c:strRef>
          </c:tx>
          <c:spPr>
            <a:solidFill>
              <a:srgbClr val="C00000"/>
            </a:solidFill>
          </c:spPr>
          <c:cat>
            <c:strRef>
              <c:f>Snapshot!$B$1:$M$1</c:f>
              <c:strCache>
                <c:ptCount val="12"/>
                <c:pt idx="0">
                  <c:v>Risks: Past Required Resolution Date</c:v>
                </c:pt>
                <c:pt idx="1">
                  <c:v>Risks due in the next week</c:v>
                </c:pt>
                <c:pt idx="2">
                  <c:v>Risks with no required resolution date specified</c:v>
                </c:pt>
                <c:pt idx="3">
                  <c:v>Risks missing other information</c:v>
                </c:pt>
                <c:pt idx="4">
                  <c:v>Issues: Past Required Resolution Date</c:v>
                </c:pt>
                <c:pt idx="5">
                  <c:v>Issues due in the next week</c:v>
                </c:pt>
                <c:pt idx="6">
                  <c:v>Issues with no required resolution date specified</c:v>
                </c:pt>
                <c:pt idx="7">
                  <c:v>Issues missing other information</c:v>
                </c:pt>
                <c:pt idx="8">
                  <c:v>Assumptions not yet validated</c:v>
                </c:pt>
                <c:pt idx="9">
                  <c:v>Assumptions to be revalidated in light of BPOS decision</c:v>
                </c:pt>
                <c:pt idx="10">
                  <c:v>Pending Decisions</c:v>
                </c:pt>
                <c:pt idx="11">
                  <c:v>Decisions to be revalidated in light of BPOS decision</c:v>
                </c:pt>
              </c:strCache>
            </c:strRef>
          </c:cat>
          <c:val>
            <c:numRef>
              <c:f>Snapshot!$B$2:$M$2</c:f>
              <c:numCache>
                <c:formatCode>General</c:formatCode>
                <c:ptCount val="12"/>
                <c:pt idx="0">
                  <c:v>0</c:v>
                </c:pt>
                <c:pt idx="1">
                  <c:v>0</c:v>
                </c:pt>
                <c:pt idx="2">
                  <c:v>0</c:v>
                </c:pt>
                <c:pt idx="3">
                  <c:v>0</c:v>
                </c:pt>
                <c:pt idx="4">
                  <c:v>0</c:v>
                </c:pt>
                <c:pt idx="5">
                  <c:v>0</c:v>
                </c:pt>
                <c:pt idx="6">
                  <c:v>0</c:v>
                </c:pt>
                <c:pt idx="7">
                  <c:v>2</c:v>
                </c:pt>
                <c:pt idx="8">
                  <c:v>2</c:v>
                </c:pt>
                <c:pt idx="9">
                  <c:v>0</c:v>
                </c:pt>
                <c:pt idx="10">
                  <c:v>3</c:v>
                </c:pt>
                <c:pt idx="11">
                  <c:v>1</c:v>
                </c:pt>
              </c:numCache>
            </c:numRef>
          </c:val>
        </c:ser>
        <c:ser>
          <c:idx val="2"/>
          <c:order val="1"/>
          <c:tx>
            <c:strRef>
              <c:f>Snapshot!$A$3</c:f>
              <c:strCache>
                <c:ptCount val="1"/>
                <c:pt idx="0">
                  <c:v>Change Management</c:v>
                </c:pt>
              </c:strCache>
            </c:strRef>
          </c:tx>
          <c:spPr>
            <a:solidFill>
              <a:srgbClr val="FF9900"/>
            </a:solidFill>
          </c:spPr>
          <c:cat>
            <c:strRef>
              <c:f>Snapshot!$B$1:$M$1</c:f>
              <c:strCache>
                <c:ptCount val="12"/>
                <c:pt idx="0">
                  <c:v>Risks: Past Required Resolution Date</c:v>
                </c:pt>
                <c:pt idx="1">
                  <c:v>Risks due in the next week</c:v>
                </c:pt>
                <c:pt idx="2">
                  <c:v>Risks with no required resolution date specified</c:v>
                </c:pt>
                <c:pt idx="3">
                  <c:v>Risks missing other information</c:v>
                </c:pt>
                <c:pt idx="4">
                  <c:v>Issues: Past Required Resolution Date</c:v>
                </c:pt>
                <c:pt idx="5">
                  <c:v>Issues due in the next week</c:v>
                </c:pt>
                <c:pt idx="6">
                  <c:v>Issues with no required resolution date specified</c:v>
                </c:pt>
                <c:pt idx="7">
                  <c:v>Issues missing other information</c:v>
                </c:pt>
                <c:pt idx="8">
                  <c:v>Assumptions not yet validated</c:v>
                </c:pt>
                <c:pt idx="9">
                  <c:v>Assumptions to be revalidated in light of BPOS decision</c:v>
                </c:pt>
                <c:pt idx="10">
                  <c:v>Pending Decisions</c:v>
                </c:pt>
                <c:pt idx="11">
                  <c:v>Decisions to be revalidated in light of BPOS decision</c:v>
                </c:pt>
              </c:strCache>
            </c:strRef>
          </c:cat>
          <c:val>
            <c:numRef>
              <c:f>Snapshot!$B$3:$M$3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2"/>
          <c:tx>
            <c:strRef>
              <c:f>Snapshot!$A$4</c:f>
              <c:strCache>
                <c:ptCount val="1"/>
                <c:pt idx="0">
                  <c:v>M&amp;C Program</c:v>
                </c:pt>
              </c:strCache>
            </c:strRef>
          </c:tx>
          <c:spPr>
            <a:solidFill>
              <a:srgbClr val="6699FF"/>
            </a:solidFill>
          </c:spPr>
          <c:cat>
            <c:strRef>
              <c:f>Snapshot!$B$1:$M$1</c:f>
              <c:strCache>
                <c:ptCount val="12"/>
                <c:pt idx="0">
                  <c:v>Risks: Past Required Resolution Date</c:v>
                </c:pt>
                <c:pt idx="1">
                  <c:v>Risks due in the next week</c:v>
                </c:pt>
                <c:pt idx="2">
                  <c:v>Risks with no required resolution date specified</c:v>
                </c:pt>
                <c:pt idx="3">
                  <c:v>Risks missing other information</c:v>
                </c:pt>
                <c:pt idx="4">
                  <c:v>Issues: Past Required Resolution Date</c:v>
                </c:pt>
                <c:pt idx="5">
                  <c:v>Issues due in the next week</c:v>
                </c:pt>
                <c:pt idx="6">
                  <c:v>Issues with no required resolution date specified</c:v>
                </c:pt>
                <c:pt idx="7">
                  <c:v>Issues missing other information</c:v>
                </c:pt>
                <c:pt idx="8">
                  <c:v>Assumptions not yet validated</c:v>
                </c:pt>
                <c:pt idx="9">
                  <c:v>Assumptions to be revalidated in light of BPOS decision</c:v>
                </c:pt>
                <c:pt idx="10">
                  <c:v>Pending Decisions</c:v>
                </c:pt>
                <c:pt idx="11">
                  <c:v>Decisions to be revalidated in light of BPOS decision</c:v>
                </c:pt>
              </c:strCache>
            </c:strRef>
          </c:cat>
          <c:val>
            <c:numRef>
              <c:f>Snapshot!$B$4:$M$4</c:f>
              <c:numCache>
                <c:formatCode>General</c:formatCode>
                <c:ptCount val="12"/>
                <c:pt idx="0">
                  <c:v>0</c:v>
                </c:pt>
                <c:pt idx="1">
                  <c:v>0</c:v>
                </c:pt>
                <c:pt idx="2">
                  <c:v>0</c:v>
                </c:pt>
                <c:pt idx="3">
                  <c:v>1</c:v>
                </c:pt>
                <c:pt idx="4">
                  <c:v>1</c:v>
                </c:pt>
                <c:pt idx="5">
                  <c:v>1</c:v>
                </c:pt>
                <c:pt idx="6">
                  <c:v>0</c:v>
                </c:pt>
                <c:pt idx="7">
                  <c:v>3</c:v>
                </c:pt>
                <c:pt idx="8">
                  <c:v>1</c:v>
                </c:pt>
                <c:pt idx="9">
                  <c:v>2</c:v>
                </c:pt>
                <c:pt idx="10">
                  <c:v>2</c:v>
                </c:pt>
                <c:pt idx="11">
                  <c:v>1</c:v>
                </c:pt>
              </c:numCache>
            </c:numRef>
          </c:val>
        </c:ser>
        <c:ser>
          <c:idx val="6"/>
          <c:order val="3"/>
          <c:tx>
            <c:strRef>
              <c:f>Snapshot!$A$5</c:f>
              <c:strCache>
                <c:ptCount val="1"/>
                <c:pt idx="0">
                  <c:v>SharePoint</c:v>
                </c:pt>
              </c:strCache>
            </c:strRef>
          </c:tx>
          <c:spPr>
            <a:solidFill>
              <a:srgbClr val="92D050"/>
            </a:solidFill>
          </c:spPr>
          <c:cat>
            <c:strRef>
              <c:f>Snapshot!$B$1:$M$1</c:f>
              <c:strCache>
                <c:ptCount val="12"/>
                <c:pt idx="0">
                  <c:v>Risks: Past Required Resolution Date</c:v>
                </c:pt>
                <c:pt idx="1">
                  <c:v>Risks due in the next week</c:v>
                </c:pt>
                <c:pt idx="2">
                  <c:v>Risks with no required resolution date specified</c:v>
                </c:pt>
                <c:pt idx="3">
                  <c:v>Risks missing other information</c:v>
                </c:pt>
                <c:pt idx="4">
                  <c:v>Issues: Past Required Resolution Date</c:v>
                </c:pt>
                <c:pt idx="5">
                  <c:v>Issues due in the next week</c:v>
                </c:pt>
                <c:pt idx="6">
                  <c:v>Issues with no required resolution date specified</c:v>
                </c:pt>
                <c:pt idx="7">
                  <c:v>Issues missing other information</c:v>
                </c:pt>
                <c:pt idx="8">
                  <c:v>Assumptions not yet validated</c:v>
                </c:pt>
                <c:pt idx="9">
                  <c:v>Assumptions to be revalidated in light of BPOS decision</c:v>
                </c:pt>
                <c:pt idx="10">
                  <c:v>Pending Decisions</c:v>
                </c:pt>
                <c:pt idx="11">
                  <c:v>Decisions to be revalidated in light of BPOS decision</c:v>
                </c:pt>
              </c:strCache>
            </c:strRef>
          </c:cat>
          <c:val>
            <c:numRef>
              <c:f>Snapshot!$B$5:$M$5</c:f>
              <c:numCache>
                <c:formatCode>General</c:formatCode>
                <c:ptCount val="12"/>
                <c:pt idx="0">
                  <c:v>0</c:v>
                </c:pt>
                <c:pt idx="1">
                  <c:v>0</c:v>
                </c:pt>
                <c:pt idx="2">
                  <c:v>2</c:v>
                </c:pt>
                <c:pt idx="3">
                  <c:v>5</c:v>
                </c:pt>
                <c:pt idx="4">
                  <c:v>0</c:v>
                </c:pt>
                <c:pt idx="5">
                  <c:v>0</c:v>
                </c:pt>
                <c:pt idx="6">
                  <c:v>0</c:v>
                </c:pt>
                <c:pt idx="7">
                  <c:v>1</c:v>
                </c:pt>
                <c:pt idx="8">
                  <c:v>6</c:v>
                </c:pt>
                <c:pt idx="9">
                  <c:v>10</c:v>
                </c:pt>
                <c:pt idx="10">
                  <c:v>0</c:v>
                </c:pt>
                <c:pt idx="11">
                  <c:v>11</c:v>
                </c:pt>
              </c:numCache>
            </c:numRef>
          </c:val>
        </c:ser>
        <c:ser>
          <c:idx val="8"/>
          <c:order val="4"/>
          <c:tx>
            <c:strRef>
              <c:f>Snapshot!$A$6</c:f>
              <c:strCache>
                <c:ptCount val="1"/>
                <c:pt idx="0">
                  <c:v>Technology Foundation</c:v>
                </c:pt>
              </c:strCache>
            </c:strRef>
          </c:tx>
          <c:spPr>
            <a:solidFill>
              <a:srgbClr val="333399"/>
            </a:solidFill>
          </c:spPr>
          <c:cat>
            <c:strRef>
              <c:f>Snapshot!$B$1:$M$1</c:f>
              <c:strCache>
                <c:ptCount val="12"/>
                <c:pt idx="0">
                  <c:v>Risks: Past Required Resolution Date</c:v>
                </c:pt>
                <c:pt idx="1">
                  <c:v>Risks due in the next week</c:v>
                </c:pt>
                <c:pt idx="2">
                  <c:v>Risks with no required resolution date specified</c:v>
                </c:pt>
                <c:pt idx="3">
                  <c:v>Risks missing other information</c:v>
                </c:pt>
                <c:pt idx="4">
                  <c:v>Issues: Past Required Resolution Date</c:v>
                </c:pt>
                <c:pt idx="5">
                  <c:v>Issues due in the next week</c:v>
                </c:pt>
                <c:pt idx="6">
                  <c:v>Issues with no required resolution date specified</c:v>
                </c:pt>
                <c:pt idx="7">
                  <c:v>Issues missing other information</c:v>
                </c:pt>
                <c:pt idx="8">
                  <c:v>Assumptions not yet validated</c:v>
                </c:pt>
                <c:pt idx="9">
                  <c:v>Assumptions to be revalidated in light of BPOS decision</c:v>
                </c:pt>
                <c:pt idx="10">
                  <c:v>Pending Decisions</c:v>
                </c:pt>
                <c:pt idx="11">
                  <c:v>Decisions to be revalidated in light of BPOS decision</c:v>
                </c:pt>
              </c:strCache>
            </c:strRef>
          </c:cat>
          <c:val>
            <c:numRef>
              <c:f>Snapshot!$B$6:$M$6</c:f>
              <c:numCache>
                <c:formatCode>General</c:formatCode>
                <c:ptCount val="12"/>
                <c:pt idx="0">
                  <c:v>0</c:v>
                </c:pt>
                <c:pt idx="1">
                  <c:v>0</c:v>
                </c:pt>
                <c:pt idx="2">
                  <c:v>4</c:v>
                </c:pt>
                <c:pt idx="3">
                  <c:v>5</c:v>
                </c:pt>
                <c:pt idx="4">
                  <c:v>3</c:v>
                </c:pt>
                <c:pt idx="5">
                  <c:v>1</c:v>
                </c:pt>
                <c:pt idx="6">
                  <c:v>0</c:v>
                </c:pt>
                <c:pt idx="7">
                  <c:v>0</c:v>
                </c:pt>
                <c:pt idx="8">
                  <c:v>2</c:v>
                </c:pt>
                <c:pt idx="9">
                  <c:v>0</c:v>
                </c:pt>
                <c:pt idx="10">
                  <c:v>15</c:v>
                </c:pt>
                <c:pt idx="11">
                  <c:v>23</c:v>
                </c:pt>
              </c:numCache>
            </c:numRef>
          </c:val>
        </c:ser>
        <c:ser>
          <c:idx val="10"/>
          <c:order val="5"/>
          <c:tx>
            <c:strRef>
              <c:f>Snapshot!$A$7</c:f>
              <c:strCache>
                <c:ptCount val="1"/>
                <c:pt idx="0">
                  <c:v>Unified Communications</c:v>
                </c:pt>
              </c:strCache>
            </c:strRef>
          </c:tx>
          <c:spPr>
            <a:solidFill>
              <a:srgbClr val="800080"/>
            </a:solidFill>
          </c:spPr>
          <c:cat>
            <c:strRef>
              <c:f>Snapshot!$B$1:$M$1</c:f>
              <c:strCache>
                <c:ptCount val="12"/>
                <c:pt idx="0">
                  <c:v>Risks: Past Required Resolution Date</c:v>
                </c:pt>
                <c:pt idx="1">
                  <c:v>Risks due in the next week</c:v>
                </c:pt>
                <c:pt idx="2">
                  <c:v>Risks with no required resolution date specified</c:v>
                </c:pt>
                <c:pt idx="3">
                  <c:v>Risks missing other information</c:v>
                </c:pt>
                <c:pt idx="4">
                  <c:v>Issues: Past Required Resolution Date</c:v>
                </c:pt>
                <c:pt idx="5">
                  <c:v>Issues due in the next week</c:v>
                </c:pt>
                <c:pt idx="6">
                  <c:v>Issues with no required resolution date specified</c:v>
                </c:pt>
                <c:pt idx="7">
                  <c:v>Issues missing other information</c:v>
                </c:pt>
                <c:pt idx="8">
                  <c:v>Assumptions not yet validated</c:v>
                </c:pt>
                <c:pt idx="9">
                  <c:v>Assumptions to be revalidated in light of BPOS decision</c:v>
                </c:pt>
                <c:pt idx="10">
                  <c:v>Pending Decisions</c:v>
                </c:pt>
                <c:pt idx="11">
                  <c:v>Decisions to be revalidated in light of BPOS decision</c:v>
                </c:pt>
              </c:strCache>
            </c:strRef>
          </c:cat>
          <c:val>
            <c:numRef>
              <c:f>Snapshot!$B$7:$M$7</c:f>
              <c:numCache>
                <c:formatCode>General</c:formatCode>
                <c:ptCount val="12"/>
                <c:pt idx="0">
                  <c:v>0</c:v>
                </c:pt>
                <c:pt idx="1">
                  <c:v>0</c:v>
                </c:pt>
                <c:pt idx="2">
                  <c:v>0</c:v>
                </c:pt>
                <c:pt idx="3">
                  <c:v>2</c:v>
                </c:pt>
                <c:pt idx="4">
                  <c:v>0</c:v>
                </c:pt>
                <c:pt idx="5">
                  <c:v>0</c:v>
                </c:pt>
                <c:pt idx="6">
                  <c:v>0</c:v>
                </c:pt>
                <c:pt idx="7">
                  <c:v>0</c:v>
                </c:pt>
                <c:pt idx="8">
                  <c:v>1</c:v>
                </c:pt>
                <c:pt idx="9">
                  <c:v>0</c:v>
                </c:pt>
                <c:pt idx="10">
                  <c:v>1</c:v>
                </c:pt>
                <c:pt idx="11">
                  <c:v>5</c:v>
                </c:pt>
              </c:numCache>
            </c:numRef>
          </c:val>
        </c:ser>
        <c:axId val="160617600"/>
        <c:axId val="160619136"/>
      </c:barChart>
      <c:catAx>
        <c:axId val="160617600"/>
        <c:scaling>
          <c:orientation val="minMax"/>
        </c:scaling>
        <c:axPos val="b"/>
        <c:tickLblPos val="nextTo"/>
        <c:crossAx val="160619136"/>
        <c:crosses val="autoZero"/>
        <c:auto val="1"/>
        <c:lblAlgn val="ctr"/>
        <c:lblOffset val="100"/>
      </c:catAx>
      <c:valAx>
        <c:axId val="160619136"/>
        <c:scaling>
          <c:orientation val="minMax"/>
        </c:scaling>
        <c:axPos val="l"/>
        <c:majorGridlines/>
        <c:numFmt formatCode="General" sourceLinked="1"/>
        <c:tickLblPos val="nextTo"/>
        <c:crossAx val="160617600"/>
        <c:crosses val="autoZero"/>
        <c:crossBetween val="between"/>
      </c:valAx>
    </c:plotArea>
    <c:legend>
      <c:legendPos val="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M&amp;C</a:t>
            </a:r>
          </a:p>
        </c:rich>
      </c:tx>
      <c:layout/>
    </c:title>
    <c:plotArea>
      <c:layout/>
      <c:lineChart>
        <c:grouping val="standard"/>
        <c:ser>
          <c:idx val="0"/>
          <c:order val="0"/>
          <c:tx>
            <c:strRef>
              <c:f>'Cross Org Data'!$A$2</c:f>
              <c:strCache>
                <c:ptCount val="1"/>
                <c:pt idx="0">
                  <c:v>Decisions</c:v>
                </c:pt>
              </c:strCache>
            </c:strRef>
          </c:tx>
          <c:cat>
            <c:strRef>
              <c:f>'Cross Org Data'!$B$1:$K$1</c:f>
              <c:strCache>
                <c:ptCount val="10"/>
                <c:pt idx="0">
                  <c:v>Wk 31-Oct</c:v>
                </c:pt>
                <c:pt idx="1">
                  <c:v>25-Jan-12</c:v>
                </c:pt>
                <c:pt idx="2">
                  <c:v>03-Feb-12</c:v>
                </c:pt>
                <c:pt idx="3">
                  <c:v>10-Feb-12</c:v>
                </c:pt>
                <c:pt idx="4">
                  <c:v>17-Feb-12</c:v>
                </c:pt>
                <c:pt idx="5">
                  <c:v>24-Feb-12</c:v>
                </c:pt>
                <c:pt idx="6">
                  <c:v>02-Mar-12</c:v>
                </c:pt>
                <c:pt idx="7">
                  <c:v>09-Mar-12</c:v>
                </c:pt>
                <c:pt idx="8">
                  <c:v>16-Mar-12</c:v>
                </c:pt>
                <c:pt idx="9">
                  <c:v>23-Mar-12</c:v>
                </c:pt>
              </c:strCache>
            </c:strRef>
          </c:cat>
          <c:val>
            <c:numRef>
              <c:f>'Cross Org Data'!$B$2:$K$2</c:f>
              <c:numCache>
                <c:formatCode>General</c:formatCode>
                <c:ptCount val="10"/>
                <c:pt idx="0">
                  <c:v>14</c:v>
                </c:pt>
                <c:pt idx="1">
                  <c:v>161</c:v>
                </c:pt>
                <c:pt idx="2">
                  <c:v>182</c:v>
                </c:pt>
                <c:pt idx="3">
                  <c:v>183</c:v>
                </c:pt>
                <c:pt idx="4">
                  <c:v>174</c:v>
                </c:pt>
                <c:pt idx="5">
                  <c:v>179</c:v>
                </c:pt>
                <c:pt idx="6">
                  <c:v>179</c:v>
                </c:pt>
                <c:pt idx="7">
                  <c:v>194</c:v>
                </c:pt>
                <c:pt idx="8">
                  <c:v>191</c:v>
                </c:pt>
                <c:pt idx="9">
                  <c:v>176</c:v>
                </c:pt>
              </c:numCache>
            </c:numRef>
          </c:val>
        </c:ser>
        <c:ser>
          <c:idx val="1"/>
          <c:order val="1"/>
          <c:tx>
            <c:strRef>
              <c:f>'Cross Org Data'!$A$3</c:f>
              <c:strCache>
                <c:ptCount val="1"/>
                <c:pt idx="0">
                  <c:v>Critical Assumptions</c:v>
                </c:pt>
              </c:strCache>
            </c:strRef>
          </c:tx>
          <c:cat>
            <c:strRef>
              <c:f>'Cross Org Data'!$B$1:$K$1</c:f>
              <c:strCache>
                <c:ptCount val="10"/>
                <c:pt idx="0">
                  <c:v>Wk 31-Oct</c:v>
                </c:pt>
                <c:pt idx="1">
                  <c:v>25-Jan-12</c:v>
                </c:pt>
                <c:pt idx="2">
                  <c:v>03-Feb-12</c:v>
                </c:pt>
                <c:pt idx="3">
                  <c:v>10-Feb-12</c:v>
                </c:pt>
                <c:pt idx="4">
                  <c:v>17-Feb-12</c:v>
                </c:pt>
                <c:pt idx="5">
                  <c:v>24-Feb-12</c:v>
                </c:pt>
                <c:pt idx="6">
                  <c:v>02-Mar-12</c:v>
                </c:pt>
                <c:pt idx="7">
                  <c:v>09-Mar-12</c:v>
                </c:pt>
                <c:pt idx="8">
                  <c:v>16-Mar-12</c:v>
                </c:pt>
                <c:pt idx="9">
                  <c:v>23-Mar-12</c:v>
                </c:pt>
              </c:strCache>
            </c:strRef>
          </c:cat>
          <c:val>
            <c:numRef>
              <c:f>'Cross Org Data'!$B$3:$K$3</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'Cross Org Data'!$A$4</c:f>
              <c:strCache>
                <c:ptCount val="1"/>
                <c:pt idx="0">
                  <c:v>Critical Risks</c:v>
                </c:pt>
              </c:strCache>
            </c:strRef>
          </c:tx>
          <c:cat>
            <c:strRef>
              <c:f>'Cross Org Data'!$B$1:$K$1</c:f>
              <c:strCache>
                <c:ptCount val="10"/>
                <c:pt idx="0">
                  <c:v>Wk 31-Oct</c:v>
                </c:pt>
                <c:pt idx="1">
                  <c:v>25-Jan-12</c:v>
                </c:pt>
                <c:pt idx="2">
                  <c:v>03-Feb-12</c:v>
                </c:pt>
                <c:pt idx="3">
                  <c:v>10-Feb-12</c:v>
                </c:pt>
                <c:pt idx="4">
                  <c:v>17-Feb-12</c:v>
                </c:pt>
                <c:pt idx="5">
                  <c:v>24-Feb-12</c:v>
                </c:pt>
                <c:pt idx="6">
                  <c:v>02-Mar-12</c:v>
                </c:pt>
                <c:pt idx="7">
                  <c:v>09-Mar-12</c:v>
                </c:pt>
                <c:pt idx="8">
                  <c:v>16-Mar-12</c:v>
                </c:pt>
                <c:pt idx="9">
                  <c:v>23-Mar-12</c:v>
                </c:pt>
              </c:strCache>
            </c:strRef>
          </c:cat>
          <c:val>
            <c:numRef>
              <c:f>'Cross Org Data'!$B$4:$K$4</c:f>
              <c:numCache>
                <c:formatCode>General</c:formatCode>
                <c:ptCount val="10"/>
                <c:pt idx="0">
                  <c:v>15</c:v>
                </c:pt>
                <c:pt idx="1">
                  <c:v>14</c:v>
                </c:pt>
                <c:pt idx="2">
                  <c:v>14</c:v>
                </c:pt>
                <c:pt idx="3">
                  <c:v>16</c:v>
                </c:pt>
                <c:pt idx="4">
                  <c:v>16</c:v>
                </c:pt>
                <c:pt idx="5">
                  <c:v>21</c:v>
                </c:pt>
                <c:pt idx="6">
                  <c:v>28</c:v>
                </c:pt>
                <c:pt idx="7">
                  <c:v>16</c:v>
                </c:pt>
                <c:pt idx="8">
                  <c:v>16</c:v>
                </c:pt>
                <c:pt idx="9">
                  <c:v>15</c:v>
                </c:pt>
              </c:numCache>
            </c:numRef>
          </c:val>
        </c:ser>
        <c:ser>
          <c:idx val="3"/>
          <c:order val="3"/>
          <c:tx>
            <c:strRef>
              <c:f>'Cross Org Data'!$A$5</c:f>
              <c:strCache>
                <c:ptCount val="1"/>
                <c:pt idx="0">
                  <c:v>Assumptions (Total)</c:v>
                </c:pt>
              </c:strCache>
            </c:strRef>
          </c:tx>
          <c:cat>
            <c:strRef>
              <c:f>'Cross Org Data'!$B$1:$K$1</c:f>
              <c:strCache>
                <c:ptCount val="10"/>
                <c:pt idx="0">
                  <c:v>Wk 31-Oct</c:v>
                </c:pt>
                <c:pt idx="1">
                  <c:v>25-Jan-12</c:v>
                </c:pt>
                <c:pt idx="2">
                  <c:v>03-Feb-12</c:v>
                </c:pt>
                <c:pt idx="3">
                  <c:v>10-Feb-12</c:v>
                </c:pt>
                <c:pt idx="4">
                  <c:v>17-Feb-12</c:v>
                </c:pt>
                <c:pt idx="5">
                  <c:v>24-Feb-12</c:v>
                </c:pt>
                <c:pt idx="6">
                  <c:v>02-Mar-12</c:v>
                </c:pt>
                <c:pt idx="7">
                  <c:v>09-Mar-12</c:v>
                </c:pt>
                <c:pt idx="8">
                  <c:v>16-Mar-12</c:v>
                </c:pt>
                <c:pt idx="9">
                  <c:v>23-Mar-12</c:v>
                </c:pt>
              </c:strCache>
            </c:strRef>
          </c:cat>
          <c:val>
            <c:numRef>
              <c:f>'Cross Org Data'!$B$5:$K$5</c:f>
              <c:numCache>
                <c:formatCode>General</c:formatCode>
                <c:ptCount val="10"/>
                <c:pt idx="0">
                  <c:v>71</c:v>
                </c:pt>
                <c:pt idx="1">
                  <c:v>68</c:v>
                </c:pt>
                <c:pt idx="2">
                  <c:v>69</c:v>
                </c:pt>
                <c:pt idx="3">
                  <c:v>69</c:v>
                </c:pt>
                <c:pt idx="4">
                  <c:v>69</c:v>
                </c:pt>
                <c:pt idx="5">
                  <c:v>63</c:v>
                </c:pt>
                <c:pt idx="6">
                  <c:v>63</c:v>
                </c:pt>
                <c:pt idx="7">
                  <c:v>63</c:v>
                </c:pt>
                <c:pt idx="8">
                  <c:v>62</c:v>
                </c:pt>
                <c:pt idx="9">
                  <c:v>54</c:v>
                </c:pt>
              </c:numCache>
            </c:numRef>
          </c:val>
        </c:ser>
        <c:ser>
          <c:idx val="4"/>
          <c:order val="4"/>
          <c:tx>
            <c:strRef>
              <c:f>'Cross Org Data'!$A$6</c:f>
              <c:strCache>
                <c:ptCount val="1"/>
                <c:pt idx="0">
                  <c:v>Issues (Total)</c:v>
                </c:pt>
              </c:strCache>
            </c:strRef>
          </c:tx>
          <c:cat>
            <c:strRef>
              <c:f>'Cross Org Data'!$B$1:$K$1</c:f>
              <c:strCache>
                <c:ptCount val="10"/>
                <c:pt idx="0">
                  <c:v>Wk 31-Oct</c:v>
                </c:pt>
                <c:pt idx="1">
                  <c:v>25-Jan-12</c:v>
                </c:pt>
                <c:pt idx="2">
                  <c:v>03-Feb-12</c:v>
                </c:pt>
                <c:pt idx="3">
                  <c:v>10-Feb-12</c:v>
                </c:pt>
                <c:pt idx="4">
                  <c:v>17-Feb-12</c:v>
                </c:pt>
                <c:pt idx="5">
                  <c:v>24-Feb-12</c:v>
                </c:pt>
                <c:pt idx="6">
                  <c:v>02-Mar-12</c:v>
                </c:pt>
                <c:pt idx="7">
                  <c:v>09-Mar-12</c:v>
                </c:pt>
                <c:pt idx="8">
                  <c:v>16-Mar-12</c:v>
                </c:pt>
                <c:pt idx="9">
                  <c:v>23-Mar-12</c:v>
                </c:pt>
              </c:strCache>
            </c:strRef>
          </c:cat>
          <c:val>
            <c:numRef>
              <c:f>'Cross Org Data'!$B$6:$K$6</c:f>
              <c:numCache>
                <c:formatCode>General</c:formatCode>
                <c:ptCount val="10"/>
                <c:pt idx="0">
                  <c:v>30</c:v>
                </c:pt>
                <c:pt idx="1">
                  <c:v>45</c:v>
                </c:pt>
                <c:pt idx="2">
                  <c:v>48</c:v>
                </c:pt>
                <c:pt idx="3">
                  <c:v>52</c:v>
                </c:pt>
                <c:pt idx="4">
                  <c:v>43</c:v>
                </c:pt>
                <c:pt idx="5">
                  <c:v>49</c:v>
                </c:pt>
                <c:pt idx="6">
                  <c:v>51</c:v>
                </c:pt>
                <c:pt idx="7">
                  <c:v>53</c:v>
                </c:pt>
                <c:pt idx="8">
                  <c:v>42</c:v>
                </c:pt>
                <c:pt idx="9">
                  <c:v>37</c:v>
                </c:pt>
              </c:numCache>
            </c:numRef>
          </c:val>
        </c:ser>
        <c:ser>
          <c:idx val="5"/>
          <c:order val="5"/>
          <c:tx>
            <c:strRef>
              <c:f>'Cross Org Data'!$A$7</c:f>
              <c:strCache>
                <c:ptCount val="1"/>
                <c:pt idx="0">
                  <c:v>Risks (Total)</c:v>
                </c:pt>
              </c:strCache>
            </c:strRef>
          </c:tx>
          <c:cat>
            <c:strRef>
              <c:f>'Cross Org Data'!$B$1:$K$1</c:f>
              <c:strCache>
                <c:ptCount val="10"/>
                <c:pt idx="0">
                  <c:v>Wk 31-Oct</c:v>
                </c:pt>
                <c:pt idx="1">
                  <c:v>25-Jan-12</c:v>
                </c:pt>
                <c:pt idx="2">
                  <c:v>03-Feb-12</c:v>
                </c:pt>
                <c:pt idx="3">
                  <c:v>10-Feb-12</c:v>
                </c:pt>
                <c:pt idx="4">
                  <c:v>17-Feb-12</c:v>
                </c:pt>
                <c:pt idx="5">
                  <c:v>24-Feb-12</c:v>
                </c:pt>
                <c:pt idx="6">
                  <c:v>02-Mar-12</c:v>
                </c:pt>
                <c:pt idx="7">
                  <c:v>09-Mar-12</c:v>
                </c:pt>
                <c:pt idx="8">
                  <c:v>16-Mar-12</c:v>
                </c:pt>
                <c:pt idx="9">
                  <c:v>23-Mar-12</c:v>
                </c:pt>
              </c:strCache>
            </c:strRef>
          </c:cat>
          <c:val>
            <c:numRef>
              <c:f>'Cross Org Data'!$B$7:$K$7</c:f>
              <c:numCache>
                <c:formatCode>General</c:formatCode>
                <c:ptCount val="10"/>
                <c:pt idx="0">
                  <c:v>36</c:v>
                </c:pt>
                <c:pt idx="1">
                  <c:v>32</c:v>
                </c:pt>
                <c:pt idx="2">
                  <c:v>32</c:v>
                </c:pt>
                <c:pt idx="3">
                  <c:v>30</c:v>
                </c:pt>
                <c:pt idx="4">
                  <c:v>30</c:v>
                </c:pt>
                <c:pt idx="5">
                  <c:v>32</c:v>
                </c:pt>
                <c:pt idx="6">
                  <c:v>39</c:v>
                </c:pt>
                <c:pt idx="7">
                  <c:v>37</c:v>
                </c:pt>
                <c:pt idx="8">
                  <c:v>32</c:v>
                </c:pt>
                <c:pt idx="9">
                  <c:v>35</c:v>
                </c:pt>
              </c:numCache>
            </c:numRef>
          </c:val>
        </c:ser>
        <c:marker val="1"/>
        <c:axId val="160852224"/>
        <c:axId val="160858112"/>
      </c:lineChart>
      <c:catAx>
        <c:axId val="160852224"/>
        <c:scaling>
          <c:orientation val="minMax"/>
        </c:scaling>
        <c:axPos val="b"/>
        <c:numFmt formatCode="d\-mmm" sourceLinked="1"/>
        <c:majorTickMark val="none"/>
        <c:tickLblPos val="nextTo"/>
        <c:crossAx val="160858112"/>
        <c:crosses val="autoZero"/>
        <c:auto val="1"/>
        <c:lblAlgn val="ctr"/>
        <c:lblOffset val="100"/>
      </c:catAx>
      <c:valAx>
        <c:axId val="160858112"/>
        <c:scaling>
          <c:orientation val="minMax"/>
        </c:scaling>
        <c:axPos val="l"/>
        <c:majorGridlines/>
        <c:numFmt formatCode="General" sourceLinked="1"/>
        <c:majorTickMark val="none"/>
        <c:tickLblPos val="nextTo"/>
        <c:crossAx val="160852224"/>
        <c:crosses val="autoZero"/>
        <c:crossBetween val="between"/>
      </c:valAx>
    </c:plotArea>
    <c:legend>
      <c:legendPos val="r"/>
      <c:layout/>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1152526</xdr:colOff>
      <xdr:row>15</xdr:row>
      <xdr:rowOff>123825</xdr:rowOff>
    </xdr:from>
    <xdr:to>
      <xdr:col>7</xdr:col>
      <xdr:colOff>742950</xdr:colOff>
      <xdr:row>34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45</xdr:row>
      <xdr:rowOff>9525</xdr:rowOff>
    </xdr:from>
    <xdr:to>
      <xdr:col>4</xdr:col>
      <xdr:colOff>200025</xdr:colOff>
      <xdr:row>62</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xdr:colOff>
      <xdr:row>45</xdr:row>
      <xdr:rowOff>47625</xdr:rowOff>
    </xdr:from>
    <xdr:to>
      <xdr:col>11</xdr:col>
      <xdr:colOff>76200</xdr:colOff>
      <xdr:row>62</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45</xdr:row>
      <xdr:rowOff>47625</xdr:rowOff>
    </xdr:from>
    <xdr:to>
      <xdr:col>18</xdr:col>
      <xdr:colOff>0</xdr:colOff>
      <xdr:row>62</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581025</xdr:colOff>
      <xdr:row>45</xdr:row>
      <xdr:rowOff>9525</xdr:rowOff>
    </xdr:from>
    <xdr:to>
      <xdr:col>24</xdr:col>
      <xdr:colOff>657225</xdr:colOff>
      <xdr:row>62</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1247774</xdr:colOff>
      <xdr:row>18</xdr:row>
      <xdr:rowOff>123825</xdr:rowOff>
    </xdr:from>
    <xdr:to>
      <xdr:col>31</xdr:col>
      <xdr:colOff>142874</xdr:colOff>
      <xdr:row>35</xdr:row>
      <xdr:rowOff>114300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28575</xdr:colOff>
      <xdr:row>37</xdr:row>
      <xdr:rowOff>152400</xdr:rowOff>
    </xdr:from>
    <xdr:to>
      <xdr:col>31</xdr:col>
      <xdr:colOff>228600</xdr:colOff>
      <xdr:row>54</xdr:row>
      <xdr:rowOff>142875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19049</xdr:colOff>
      <xdr:row>75</xdr:row>
      <xdr:rowOff>142875</xdr:rowOff>
    </xdr:from>
    <xdr:to>
      <xdr:col>31</xdr:col>
      <xdr:colOff>225424</xdr:colOff>
      <xdr:row>92</xdr:row>
      <xdr:rowOff>133350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3174</xdr:colOff>
      <xdr:row>95</xdr:row>
      <xdr:rowOff>12700</xdr:rowOff>
    </xdr:from>
    <xdr:to>
      <xdr:col>31</xdr:col>
      <xdr:colOff>228599</xdr:colOff>
      <xdr:row>112</xdr:row>
      <xdr:rowOff>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0</xdr:colOff>
      <xdr:row>57</xdr:row>
      <xdr:rowOff>0</xdr:rowOff>
    </xdr:from>
    <xdr:to>
      <xdr:col>31</xdr:col>
      <xdr:colOff>200025</xdr:colOff>
      <xdr:row>73</xdr:row>
      <xdr:rowOff>152400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38099</xdr:colOff>
      <xdr:row>0</xdr:row>
      <xdr:rowOff>0</xdr:rowOff>
    </xdr:from>
    <xdr:to>
      <xdr:col>31</xdr:col>
      <xdr:colOff>95249</xdr:colOff>
      <xdr:row>16</xdr:row>
      <xdr:rowOff>152400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457199</xdr:colOff>
      <xdr:row>7</xdr:row>
      <xdr:rowOff>123824</xdr:rowOff>
    </xdr:from>
    <xdr:to>
      <xdr:col>9</xdr:col>
      <xdr:colOff>495299</xdr:colOff>
      <xdr:row>41</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8</xdr:row>
      <xdr:rowOff>19050</xdr:rowOff>
    </xdr:from>
    <xdr:to>
      <xdr:col>13</xdr:col>
      <xdr:colOff>323850</xdr:colOff>
      <xdr:row>31</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INDOWS/TEMP/notesFFF692/Support%20Preparation%20and%20Transition%20RAID%20log%20v1.1%20(updated%2027-Feb).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isk Log"/>
    </sheetNames>
    <sheetDataSet>
      <sheetData sheetId="0" refreshError="1"/>
    </sheetDataSet>
  </externalBook>
</externalLink>
</file>

<file path=xl/tables/table1.xml><?xml version="1.0" encoding="utf-8"?>
<table xmlns="http://schemas.openxmlformats.org/spreadsheetml/2006/main" id="4" name="Table4" displayName="Table4" ref="A1:AC255" totalsRowShown="0" headerRowDxfId="108" dataDxfId="107" tableBorderDxfId="106" headerRowCellStyle="Normal 2">
  <autoFilter ref="A1:AC255">
    <filterColumn colId="3">
      <filters blank="1">
        <filter val="01. Open"/>
        <filter val="02. Open &amp; Assigned"/>
        <filter val="03. Action/Mitigation Plan Defined"/>
      </filters>
    </filterColumn>
  </autoFilter>
  <sortState ref="A3:AC255">
    <sortCondition ref="H1:H255"/>
  </sortState>
  <tableColumns count="29">
    <tableColumn id="1" name=" #" dataDxfId="105"/>
    <tableColumn id="15" name="Date Captured" dataDxfId="104"/>
    <tableColumn id="24" name="Identified by" dataDxfId="103"/>
    <tableColumn id="17" name="Status" dataDxfId="102"/>
    <tableColumn id="2" name="Cause_x000a_ As a result of (cause)" dataDxfId="101"/>
    <tableColumn id="3" name="Risk_x000a_(uncertain event) may occur" dataDxfId="100"/>
    <tableColumn id="4" name="Effect _x000a_which could/would/may lead to (effect / impact)" dataDxfId="99"/>
    <tableColumn id="7" name="Program / Workstream" dataDxfId="98"/>
    <tableColumn id="29" name="Project / Workstream" dataDxfId="97"/>
    <tableColumn id="21" name="Risk Owner" dataDxfId="96"/>
    <tableColumn id="8" name="Assigned to" dataDxfId="95"/>
    <tableColumn id="23" name="Priority" dataDxfId="94"/>
    <tableColumn id="6" name="Proximity" dataDxfId="93"/>
    <tableColumn id="10" name="Risk probability" dataDxfId="92"/>
    <tableColumn id="5" name="Impact: Scope" dataDxfId="91"/>
    <tableColumn id="11" name="Impact:  Quality" dataDxfId="90"/>
    <tableColumn id="13" name="Impact: Schedule" dataDxfId="89"/>
    <tableColumn id="14" name="Impact: Cost" dataDxfId="88"/>
    <tableColumn id="27" name="Risk Trigger" dataDxfId="87"/>
    <tableColumn id="16" name="Risk response" dataDxfId="86"/>
    <tableColumn id="25" name="Contingency Plan" dataDxfId="85"/>
    <tableColumn id="18" name="Mitigation plan" dataDxfId="84"/>
    <tableColumn id="9" name="Update Log (Progress)" dataDxfId="83"/>
    <tableColumn id="26" name="Next Review Date" dataDxfId="82"/>
    <tableColumn id="19" name="Escalation level" dataDxfId="81"/>
    <tableColumn id="20" name="Risk resolution" dataDxfId="80"/>
    <tableColumn id="12" name="Required Risk Resolution Date" dataDxfId="79"/>
    <tableColumn id="22" name="Actual Risk Resolution Date" dataDxfId="78"/>
    <tableColumn id="28" name="Input/Output Refernce" dataDxfId="77"/>
  </tableColumns>
  <tableStyleInfo name="TableStyleLight1" showFirstColumn="0" showLastColumn="0" showRowStripes="1" showColumnStripes="0"/>
</table>
</file>

<file path=xl/tables/table2.xml><?xml version="1.0" encoding="utf-8"?>
<table xmlns="http://schemas.openxmlformats.org/spreadsheetml/2006/main" id="6" name="Table17" displayName="Table17" ref="A1:W234" totalsRowShown="0" headerRowDxfId="69" dataDxfId="67" headerRowBorderDxfId="68" headerRowCellStyle="Normal 3">
  <autoFilter ref="A1:W234">
    <filterColumn colId="3">
      <filters>
        <filter val="Active"/>
      </filters>
    </filterColumn>
  </autoFilter>
  <sortState ref="A4:W234">
    <sortCondition ref="N1:N234"/>
  </sortState>
  <tableColumns count="23">
    <tableColumn id="1" name="#" dataDxfId="66"/>
    <tableColumn id="4" name="Date captured" dataDxfId="65" dataCellStyle="Normal 3"/>
    <tableColumn id="5" name="Identified by" dataDxfId="64" dataCellStyle="Normal 3"/>
    <tableColumn id="3" name="Status" dataDxfId="63" dataCellStyle="Normal 3"/>
    <tableColumn id="6" name="Input Reference #" dataDxfId="62" dataCellStyle="Normal 3"/>
    <tableColumn id="2" name="Issue Description" dataDxfId="61"/>
    <tableColumn id="19" name="Impact: Scope" dataDxfId="60" dataCellStyle="Normal 3"/>
    <tableColumn id="10" name="Impact: Quality" dataDxfId="59" dataCellStyle="Normal 3"/>
    <tableColumn id="20" name="Impact: Schedule" dataDxfId="58" dataCellStyle="Normal 3"/>
    <tableColumn id="21" name="Impact: Cost" dataDxfId="57" dataCellStyle="Normal 3"/>
    <tableColumn id="18" name="Priority" dataDxfId="56" dataCellStyle="Normal 3"/>
    <tableColumn id="14" name="Issue Owner" dataDxfId="55" dataCellStyle="Normal 3"/>
    <tableColumn id="7" name="Assigned to" dataDxfId="54"/>
    <tableColumn id="8" name="Program / Workstream" dataDxfId="53"/>
    <tableColumn id="16" name="Project / Workstream" dataDxfId="52" dataCellStyle="Normal 3"/>
    <tableColumn id="11" name="Planned Resolution" dataDxfId="51"/>
    <tableColumn id="22" name="Next Review Date" dataDxfId="50" dataCellStyle="Normal 3"/>
    <tableColumn id="12" name="Required Resolution Date" dataDxfId="49"/>
    <tableColumn id="13" name="Update Log" dataDxfId="48" dataCellStyle="Normal 3"/>
    <tableColumn id="15" name="Escalation level" dataDxfId="47" dataCellStyle="Normal 3"/>
    <tableColumn id="23" name="Actual Resolution" dataDxfId="46" dataCellStyle="Normal 3"/>
    <tableColumn id="9" name="Actual Resolution date" dataDxfId="45" dataCellStyle="Normal 3"/>
    <tableColumn id="17" name="Output Reference" dataDxfId="44"/>
  </tableColumns>
  <tableStyleInfo name="TableStyleLight1" showFirstColumn="0" showLastColumn="0" showRowStripes="1" showColumnStripes="0"/>
</table>
</file>

<file path=xl/tables/table3.xml><?xml version="1.0" encoding="utf-8"?>
<table xmlns="http://schemas.openxmlformats.org/spreadsheetml/2006/main" id="3" name="Table134" displayName="Table134" ref="A1:N275" totalsRowShown="0" headerRowDxfId="43" dataDxfId="42" tableBorderDxfId="41">
  <autoFilter ref="A1:N275">
    <filterColumn colId="11"/>
  </autoFilter>
  <sortState ref="A2:N275">
    <sortCondition ref="C1:C275"/>
  </sortState>
  <tableColumns count="14">
    <tableColumn id="1" name="#" dataDxfId="40"/>
    <tableColumn id="12" name="Identified by" dataDxfId="39"/>
    <tableColumn id="2" name="Program / Workstream" dataDxfId="38"/>
    <tableColumn id="14" name="Project / Workstream" dataDxfId="37"/>
    <tableColumn id="3" name="Assumption (brief description)" dataDxfId="36"/>
    <tableColumn id="6" name="Potential impact if assumption proves to be false" dataDxfId="35"/>
    <tableColumn id="11" name="Forum/Individual" dataDxfId="34"/>
    <tableColumn id="7" name="Validated by" dataDxfId="33"/>
    <tableColumn id="5" name="Last review date" dataDxfId="32"/>
    <tableColumn id="4" name="Next review date" dataDxfId="31"/>
    <tableColumn id="13" name="Due Date" dataDxfId="30"/>
    <tableColumn id="10" name="Status" dataDxfId="29"/>
    <tableColumn id="9" name="Output Reference #" dataDxfId="28"/>
    <tableColumn id="8" name="Comments" dataDxfId="27"/>
  </tableColumns>
  <tableStyleInfo name="TableStyleLight1" showFirstColumn="0" showLastColumn="0" showRowStripes="1" showColumnStripes="0"/>
</table>
</file>

<file path=xl/tables/table4.xml><?xml version="1.0" encoding="utf-8"?>
<table xmlns="http://schemas.openxmlformats.org/spreadsheetml/2006/main" id="2" name="Table1343" displayName="Table1343" ref="A1:M403" totalsRowShown="0" headerRowDxfId="26" dataDxfId="25" tableBorderDxfId="24">
  <autoFilter ref="A1:M403">
    <filterColumn colId="2"/>
    <filterColumn colId="4"/>
    <filterColumn colId="6">
      <filters>
        <filter val="Closed"/>
        <filter val="Pending"/>
      </filters>
    </filterColumn>
  </autoFilter>
  <sortState ref="A2:M403">
    <sortCondition ref="E1:E403"/>
  </sortState>
  <tableColumns count="13">
    <tableColumn id="1" name="#" dataDxfId="23"/>
    <tableColumn id="11" name="Date Opened" dataDxfId="22"/>
    <tableColumn id="10" name="Identified by" dataDxfId="21"/>
    <tableColumn id="9" name="Assigned to" dataDxfId="20"/>
    <tableColumn id="2" name="Program / Workstream" dataDxfId="19"/>
    <tableColumn id="12" name="Project / Workstream" dataDxfId="18"/>
    <tableColumn id="6" name="Status" dataDxfId="17"/>
    <tableColumn id="7" name="Target Date" dataDxfId="16"/>
    <tableColumn id="3" name="Decision date" dataDxfId="15"/>
    <tableColumn id="4" name="Decision makers" dataDxfId="14"/>
    <tableColumn id="8" name="Decision Description and Impact" dataDxfId="13"/>
    <tableColumn id="13" name="Revalidated in light of cloud decision" dataDxfId="12"/>
    <tableColumn id="5" name="Comments" dataDxfId="11"/>
  </tableColumns>
  <tableStyleInfo name="TableStyleLight1" showFirstColumn="0" showLastColumn="0" showRowStripes="1" showColumnStripes="0"/>
</table>
</file>

<file path=xl/tables/table5.xml><?xml version="1.0" encoding="utf-8"?>
<table xmlns="http://schemas.openxmlformats.org/spreadsheetml/2006/main" id="1" name="Table1" displayName="Table1" ref="A1:G60" totalsRowShown="0" headerRowDxfId="10" headerRowBorderDxfId="9" tableBorderDxfId="8" totalsRowBorderDxfId="7">
  <autoFilter ref="A1:G60">
    <filterColumn colId="1">
      <filters>
        <filter val="Open"/>
      </filters>
    </filterColumn>
  </autoFilter>
  <tableColumns count="7">
    <tableColumn id="1" name="MM.DD.##" dataDxfId="6"/>
    <tableColumn id="2" name="Status" dataDxfId="5"/>
    <tableColumn id="4" name="Action" dataDxfId="4"/>
    <tableColumn id="3" name="Comments" dataDxfId="3"/>
    <tableColumn id="5" name="Owner" dataDxfId="2"/>
    <tableColumn id="6" name="Due Date" dataDxfId="1"/>
    <tableColumn id="7" name="Date Closed"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6.bin"/><Relationship Id="rId1" Type="http://schemas.openxmlformats.org/officeDocument/2006/relationships/hyperlink" Target="../../murphla/My%20Documents/SharePoint%20Drafts/sp.ey.net/msibm/murphla/Forms/AllItems.aspx" TargetMode="External"/><Relationship Id="rId5" Type="http://schemas.openxmlformats.org/officeDocument/2006/relationships/comments" Target="../comments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C16"/>
  <sheetViews>
    <sheetView showGridLines="0" topLeftCell="A8" zoomScale="75" zoomScaleNormal="75" workbookViewId="0">
      <selection activeCell="B13" sqref="B13"/>
    </sheetView>
  </sheetViews>
  <sheetFormatPr defaultColWidth="43.140625" defaultRowHeight="14.25"/>
  <cols>
    <col min="1" max="1" width="22.5703125" style="29" customWidth="1"/>
    <col min="2" max="2" width="155.7109375" style="30" customWidth="1"/>
    <col min="3" max="3" width="75.85546875" style="21" customWidth="1"/>
    <col min="4" max="256" width="43.140625" style="21"/>
    <col min="257" max="257" width="43.140625" style="21" customWidth="1"/>
    <col min="258" max="258" width="99.140625" style="21" customWidth="1"/>
    <col min="259" max="512" width="43.140625" style="21"/>
    <col min="513" max="513" width="43.140625" style="21" customWidth="1"/>
    <col min="514" max="514" width="99.140625" style="21" customWidth="1"/>
    <col min="515" max="768" width="43.140625" style="21"/>
    <col min="769" max="769" width="43.140625" style="21" customWidth="1"/>
    <col min="770" max="770" width="99.140625" style="21" customWidth="1"/>
    <col min="771" max="1024" width="43.140625" style="21"/>
    <col min="1025" max="1025" width="43.140625" style="21" customWidth="1"/>
    <col min="1026" max="1026" width="99.140625" style="21" customWidth="1"/>
    <col min="1027" max="1280" width="43.140625" style="21"/>
    <col min="1281" max="1281" width="43.140625" style="21" customWidth="1"/>
    <col min="1282" max="1282" width="99.140625" style="21" customWidth="1"/>
    <col min="1283" max="1536" width="43.140625" style="21"/>
    <col min="1537" max="1537" width="43.140625" style="21" customWidth="1"/>
    <col min="1538" max="1538" width="99.140625" style="21" customWidth="1"/>
    <col min="1539" max="1792" width="43.140625" style="21"/>
    <col min="1793" max="1793" width="43.140625" style="21" customWidth="1"/>
    <col min="1794" max="1794" width="99.140625" style="21" customWidth="1"/>
    <col min="1795" max="2048" width="43.140625" style="21"/>
    <col min="2049" max="2049" width="43.140625" style="21" customWidth="1"/>
    <col min="2050" max="2050" width="99.140625" style="21" customWidth="1"/>
    <col min="2051" max="2304" width="43.140625" style="21"/>
    <col min="2305" max="2305" width="43.140625" style="21" customWidth="1"/>
    <col min="2306" max="2306" width="99.140625" style="21" customWidth="1"/>
    <col min="2307" max="2560" width="43.140625" style="21"/>
    <col min="2561" max="2561" width="43.140625" style="21" customWidth="1"/>
    <col min="2562" max="2562" width="99.140625" style="21" customWidth="1"/>
    <col min="2563" max="2816" width="43.140625" style="21"/>
    <col min="2817" max="2817" width="43.140625" style="21" customWidth="1"/>
    <col min="2818" max="2818" width="99.140625" style="21" customWidth="1"/>
    <col min="2819" max="3072" width="43.140625" style="21"/>
    <col min="3073" max="3073" width="43.140625" style="21" customWidth="1"/>
    <col min="3074" max="3074" width="99.140625" style="21" customWidth="1"/>
    <col min="3075" max="3328" width="43.140625" style="21"/>
    <col min="3329" max="3329" width="43.140625" style="21" customWidth="1"/>
    <col min="3330" max="3330" width="99.140625" style="21" customWidth="1"/>
    <col min="3331" max="3584" width="43.140625" style="21"/>
    <col min="3585" max="3585" width="43.140625" style="21" customWidth="1"/>
    <col min="3586" max="3586" width="99.140625" style="21" customWidth="1"/>
    <col min="3587" max="3840" width="43.140625" style="21"/>
    <col min="3841" max="3841" width="43.140625" style="21" customWidth="1"/>
    <col min="3842" max="3842" width="99.140625" style="21" customWidth="1"/>
    <col min="3843" max="4096" width="43.140625" style="21"/>
    <col min="4097" max="4097" width="43.140625" style="21" customWidth="1"/>
    <col min="4098" max="4098" width="99.140625" style="21" customWidth="1"/>
    <col min="4099" max="4352" width="43.140625" style="21"/>
    <col min="4353" max="4353" width="43.140625" style="21" customWidth="1"/>
    <col min="4354" max="4354" width="99.140625" style="21" customWidth="1"/>
    <col min="4355" max="4608" width="43.140625" style="21"/>
    <col min="4609" max="4609" width="43.140625" style="21" customWidth="1"/>
    <col min="4610" max="4610" width="99.140625" style="21" customWidth="1"/>
    <col min="4611" max="4864" width="43.140625" style="21"/>
    <col min="4865" max="4865" width="43.140625" style="21" customWidth="1"/>
    <col min="4866" max="4866" width="99.140625" style="21" customWidth="1"/>
    <col min="4867" max="5120" width="43.140625" style="21"/>
    <col min="5121" max="5121" width="43.140625" style="21" customWidth="1"/>
    <col min="5122" max="5122" width="99.140625" style="21" customWidth="1"/>
    <col min="5123" max="5376" width="43.140625" style="21"/>
    <col min="5377" max="5377" width="43.140625" style="21" customWidth="1"/>
    <col min="5378" max="5378" width="99.140625" style="21" customWidth="1"/>
    <col min="5379" max="5632" width="43.140625" style="21"/>
    <col min="5633" max="5633" width="43.140625" style="21" customWidth="1"/>
    <col min="5634" max="5634" width="99.140625" style="21" customWidth="1"/>
    <col min="5635" max="5888" width="43.140625" style="21"/>
    <col min="5889" max="5889" width="43.140625" style="21" customWidth="1"/>
    <col min="5890" max="5890" width="99.140625" style="21" customWidth="1"/>
    <col min="5891" max="6144" width="43.140625" style="21"/>
    <col min="6145" max="6145" width="43.140625" style="21" customWidth="1"/>
    <col min="6146" max="6146" width="99.140625" style="21" customWidth="1"/>
    <col min="6147" max="6400" width="43.140625" style="21"/>
    <col min="6401" max="6401" width="43.140625" style="21" customWidth="1"/>
    <col min="6402" max="6402" width="99.140625" style="21" customWidth="1"/>
    <col min="6403" max="6656" width="43.140625" style="21"/>
    <col min="6657" max="6657" width="43.140625" style="21" customWidth="1"/>
    <col min="6658" max="6658" width="99.140625" style="21" customWidth="1"/>
    <col min="6659" max="6912" width="43.140625" style="21"/>
    <col min="6913" max="6913" width="43.140625" style="21" customWidth="1"/>
    <col min="6914" max="6914" width="99.140625" style="21" customWidth="1"/>
    <col min="6915" max="7168" width="43.140625" style="21"/>
    <col min="7169" max="7169" width="43.140625" style="21" customWidth="1"/>
    <col min="7170" max="7170" width="99.140625" style="21" customWidth="1"/>
    <col min="7171" max="7424" width="43.140625" style="21"/>
    <col min="7425" max="7425" width="43.140625" style="21" customWidth="1"/>
    <col min="7426" max="7426" width="99.140625" style="21" customWidth="1"/>
    <col min="7427" max="7680" width="43.140625" style="21"/>
    <col min="7681" max="7681" width="43.140625" style="21" customWidth="1"/>
    <col min="7682" max="7682" width="99.140625" style="21" customWidth="1"/>
    <col min="7683" max="7936" width="43.140625" style="21"/>
    <col min="7937" max="7937" width="43.140625" style="21" customWidth="1"/>
    <col min="7938" max="7938" width="99.140625" style="21" customWidth="1"/>
    <col min="7939" max="8192" width="43.140625" style="21"/>
    <col min="8193" max="8193" width="43.140625" style="21" customWidth="1"/>
    <col min="8194" max="8194" width="99.140625" style="21" customWidth="1"/>
    <col min="8195" max="8448" width="43.140625" style="21"/>
    <col min="8449" max="8449" width="43.140625" style="21" customWidth="1"/>
    <col min="8450" max="8450" width="99.140625" style="21" customWidth="1"/>
    <col min="8451" max="8704" width="43.140625" style="21"/>
    <col min="8705" max="8705" width="43.140625" style="21" customWidth="1"/>
    <col min="8706" max="8706" width="99.140625" style="21" customWidth="1"/>
    <col min="8707" max="8960" width="43.140625" style="21"/>
    <col min="8961" max="8961" width="43.140625" style="21" customWidth="1"/>
    <col min="8962" max="8962" width="99.140625" style="21" customWidth="1"/>
    <col min="8963" max="9216" width="43.140625" style="21"/>
    <col min="9217" max="9217" width="43.140625" style="21" customWidth="1"/>
    <col min="9218" max="9218" width="99.140625" style="21" customWidth="1"/>
    <col min="9219" max="9472" width="43.140625" style="21"/>
    <col min="9473" max="9473" width="43.140625" style="21" customWidth="1"/>
    <col min="9474" max="9474" width="99.140625" style="21" customWidth="1"/>
    <col min="9475" max="9728" width="43.140625" style="21"/>
    <col min="9729" max="9729" width="43.140625" style="21" customWidth="1"/>
    <col min="9730" max="9730" width="99.140625" style="21" customWidth="1"/>
    <col min="9731" max="9984" width="43.140625" style="21"/>
    <col min="9985" max="9985" width="43.140625" style="21" customWidth="1"/>
    <col min="9986" max="9986" width="99.140625" style="21" customWidth="1"/>
    <col min="9987" max="10240" width="43.140625" style="21"/>
    <col min="10241" max="10241" width="43.140625" style="21" customWidth="1"/>
    <col min="10242" max="10242" width="99.140625" style="21" customWidth="1"/>
    <col min="10243" max="10496" width="43.140625" style="21"/>
    <col min="10497" max="10497" width="43.140625" style="21" customWidth="1"/>
    <col min="10498" max="10498" width="99.140625" style="21" customWidth="1"/>
    <col min="10499" max="10752" width="43.140625" style="21"/>
    <col min="10753" max="10753" width="43.140625" style="21" customWidth="1"/>
    <col min="10754" max="10754" width="99.140625" style="21" customWidth="1"/>
    <col min="10755" max="11008" width="43.140625" style="21"/>
    <col min="11009" max="11009" width="43.140625" style="21" customWidth="1"/>
    <col min="11010" max="11010" width="99.140625" style="21" customWidth="1"/>
    <col min="11011" max="11264" width="43.140625" style="21"/>
    <col min="11265" max="11265" width="43.140625" style="21" customWidth="1"/>
    <col min="11266" max="11266" width="99.140625" style="21" customWidth="1"/>
    <col min="11267" max="11520" width="43.140625" style="21"/>
    <col min="11521" max="11521" width="43.140625" style="21" customWidth="1"/>
    <col min="11522" max="11522" width="99.140625" style="21" customWidth="1"/>
    <col min="11523" max="11776" width="43.140625" style="21"/>
    <col min="11777" max="11777" width="43.140625" style="21" customWidth="1"/>
    <col min="11778" max="11778" width="99.140625" style="21" customWidth="1"/>
    <col min="11779" max="12032" width="43.140625" style="21"/>
    <col min="12033" max="12033" width="43.140625" style="21" customWidth="1"/>
    <col min="12034" max="12034" width="99.140625" style="21" customWidth="1"/>
    <col min="12035" max="12288" width="43.140625" style="21"/>
    <col min="12289" max="12289" width="43.140625" style="21" customWidth="1"/>
    <col min="12290" max="12290" width="99.140625" style="21" customWidth="1"/>
    <col min="12291" max="12544" width="43.140625" style="21"/>
    <col min="12545" max="12545" width="43.140625" style="21" customWidth="1"/>
    <col min="12546" max="12546" width="99.140625" style="21" customWidth="1"/>
    <col min="12547" max="12800" width="43.140625" style="21"/>
    <col min="12801" max="12801" width="43.140625" style="21" customWidth="1"/>
    <col min="12802" max="12802" width="99.140625" style="21" customWidth="1"/>
    <col min="12803" max="13056" width="43.140625" style="21"/>
    <col min="13057" max="13057" width="43.140625" style="21" customWidth="1"/>
    <col min="13058" max="13058" width="99.140625" style="21" customWidth="1"/>
    <col min="13059" max="13312" width="43.140625" style="21"/>
    <col min="13313" max="13313" width="43.140625" style="21" customWidth="1"/>
    <col min="13314" max="13314" width="99.140625" style="21" customWidth="1"/>
    <col min="13315" max="13568" width="43.140625" style="21"/>
    <col min="13569" max="13569" width="43.140625" style="21" customWidth="1"/>
    <col min="13570" max="13570" width="99.140625" style="21" customWidth="1"/>
    <col min="13571" max="13824" width="43.140625" style="21"/>
    <col min="13825" max="13825" width="43.140625" style="21" customWidth="1"/>
    <col min="13826" max="13826" width="99.140625" style="21" customWidth="1"/>
    <col min="13827" max="14080" width="43.140625" style="21"/>
    <col min="14081" max="14081" width="43.140625" style="21" customWidth="1"/>
    <col min="14082" max="14082" width="99.140625" style="21" customWidth="1"/>
    <col min="14083" max="14336" width="43.140625" style="21"/>
    <col min="14337" max="14337" width="43.140625" style="21" customWidth="1"/>
    <col min="14338" max="14338" width="99.140625" style="21" customWidth="1"/>
    <col min="14339" max="14592" width="43.140625" style="21"/>
    <col min="14593" max="14593" width="43.140625" style="21" customWidth="1"/>
    <col min="14594" max="14594" width="99.140625" style="21" customWidth="1"/>
    <col min="14595" max="14848" width="43.140625" style="21"/>
    <col min="14849" max="14849" width="43.140625" style="21" customWidth="1"/>
    <col min="14850" max="14850" width="99.140625" style="21" customWidth="1"/>
    <col min="14851" max="15104" width="43.140625" style="21"/>
    <col min="15105" max="15105" width="43.140625" style="21" customWidth="1"/>
    <col min="15106" max="15106" width="99.140625" style="21" customWidth="1"/>
    <col min="15107" max="15360" width="43.140625" style="21"/>
    <col min="15361" max="15361" width="43.140625" style="21" customWidth="1"/>
    <col min="15362" max="15362" width="99.140625" style="21" customWidth="1"/>
    <col min="15363" max="15616" width="43.140625" style="21"/>
    <col min="15617" max="15617" width="43.140625" style="21" customWidth="1"/>
    <col min="15618" max="15618" width="99.140625" style="21" customWidth="1"/>
    <col min="15619" max="15872" width="43.140625" style="21"/>
    <col min="15873" max="15873" width="43.140625" style="21" customWidth="1"/>
    <col min="15874" max="15874" width="99.140625" style="21" customWidth="1"/>
    <col min="15875" max="16128" width="43.140625" style="21"/>
    <col min="16129" max="16129" width="43.140625" style="21" customWidth="1"/>
    <col min="16130" max="16130" width="99.140625" style="21" customWidth="1"/>
    <col min="16131" max="16384" width="43.140625" style="21"/>
  </cols>
  <sheetData>
    <row r="1" spans="1:3">
      <c r="A1" s="19" t="s">
        <v>57</v>
      </c>
      <c r="B1" s="20" t="s">
        <v>58</v>
      </c>
    </row>
    <row r="2" spans="1:3" ht="185.25">
      <c r="A2" s="22" t="s">
        <v>59</v>
      </c>
      <c r="B2" s="23" t="s">
        <v>118</v>
      </c>
    </row>
    <row r="3" spans="1:3">
      <c r="A3" s="460" t="s">
        <v>68</v>
      </c>
      <c r="B3" s="461"/>
    </row>
    <row r="4" spans="1:3" ht="281.25" customHeight="1">
      <c r="A4" s="462" t="s">
        <v>60</v>
      </c>
      <c r="B4" s="45" t="s">
        <v>1561</v>
      </c>
      <c r="C4" s="25"/>
    </row>
    <row r="5" spans="1:3" ht="299.25">
      <c r="A5" s="463"/>
      <c r="B5" s="46" t="s">
        <v>1560</v>
      </c>
      <c r="C5" s="25"/>
    </row>
    <row r="6" spans="1:3" s="26" customFormat="1">
      <c r="A6" s="457" t="s">
        <v>119</v>
      </c>
      <c r="B6" s="458"/>
    </row>
    <row r="7" spans="1:3" ht="189.75" customHeight="1">
      <c r="A7" s="27" t="s">
        <v>11</v>
      </c>
      <c r="B7" s="28" t="s">
        <v>1660</v>
      </c>
      <c r="C7" s="25"/>
    </row>
    <row r="8" spans="1:3" ht="57">
      <c r="A8" s="27" t="s">
        <v>12</v>
      </c>
      <c r="B8" s="28" t="s">
        <v>1682</v>
      </c>
      <c r="C8" s="25"/>
    </row>
    <row r="9" spans="1:3" ht="114">
      <c r="A9" s="27" t="s">
        <v>10</v>
      </c>
      <c r="B9" s="28" t="s">
        <v>1559</v>
      </c>
      <c r="C9" s="25"/>
    </row>
    <row r="10" spans="1:3">
      <c r="A10" s="457" t="s">
        <v>66</v>
      </c>
      <c r="B10" s="459"/>
      <c r="C10" s="25"/>
    </row>
    <row r="11" spans="1:3" ht="213.75">
      <c r="A11" s="22" t="s">
        <v>61</v>
      </c>
      <c r="B11" s="24" t="s">
        <v>1505</v>
      </c>
    </row>
    <row r="12" spans="1:3">
      <c r="A12" s="460" t="s">
        <v>67</v>
      </c>
      <c r="B12" s="461"/>
    </row>
    <row r="13" spans="1:3" ht="156.75">
      <c r="A13" s="22" t="s">
        <v>62</v>
      </c>
      <c r="B13" s="24" t="s">
        <v>161</v>
      </c>
    </row>
    <row r="15" spans="1:3">
      <c r="B15" s="21"/>
    </row>
    <row r="16" spans="1:3">
      <c r="B16" s="21"/>
    </row>
  </sheetData>
  <mergeCells count="5">
    <mergeCell ref="A6:B6"/>
    <mergeCell ref="A10:B10"/>
    <mergeCell ref="A12:B12"/>
    <mergeCell ref="A3:B3"/>
    <mergeCell ref="A4:A5"/>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G36"/>
  <sheetViews>
    <sheetView workbookViewId="0">
      <selection activeCell="B3" sqref="B3"/>
    </sheetView>
  </sheetViews>
  <sheetFormatPr defaultRowHeight="12.75"/>
  <cols>
    <col min="1" max="1" width="11.42578125" bestFit="1" customWidth="1"/>
    <col min="2" max="2" width="36.28515625" bestFit="1" customWidth="1"/>
    <col min="3" max="3" width="32.85546875" style="36" customWidth="1"/>
    <col min="4" max="4" width="27.7109375" style="36" customWidth="1"/>
    <col min="5" max="6" width="24.5703125" style="36" customWidth="1"/>
    <col min="7" max="7" width="10.42578125" customWidth="1"/>
  </cols>
  <sheetData>
    <row r="1" spans="1:7">
      <c r="A1" s="41" t="s">
        <v>111</v>
      </c>
    </row>
    <row r="2" spans="1:7">
      <c r="A2" s="8" t="s">
        <v>110</v>
      </c>
      <c r="B2" s="33" t="s">
        <v>109</v>
      </c>
      <c r="C2" s="37" t="s">
        <v>91</v>
      </c>
      <c r="D2" s="37" t="s">
        <v>92</v>
      </c>
      <c r="E2" s="37" t="s">
        <v>93</v>
      </c>
      <c r="F2" s="37" t="s">
        <v>94</v>
      </c>
    </row>
    <row r="3" spans="1:7" ht="25.5">
      <c r="A3" s="8" t="s">
        <v>108</v>
      </c>
      <c r="B3" s="8" t="s">
        <v>95</v>
      </c>
      <c r="C3" s="40" t="s">
        <v>107</v>
      </c>
      <c r="D3" s="40" t="s">
        <v>106</v>
      </c>
      <c r="E3" s="40" t="s">
        <v>120</v>
      </c>
      <c r="F3" s="40" t="s">
        <v>121</v>
      </c>
    </row>
    <row r="4" spans="1:7" ht="25.5">
      <c r="A4" s="8" t="s">
        <v>105</v>
      </c>
      <c r="B4" s="8" t="s">
        <v>95</v>
      </c>
      <c r="C4" s="40" t="s">
        <v>104</v>
      </c>
      <c r="D4" s="40" t="s">
        <v>122</v>
      </c>
      <c r="E4" s="40" t="s">
        <v>103</v>
      </c>
      <c r="F4" s="40" t="s">
        <v>102</v>
      </c>
    </row>
    <row r="5" spans="1:7" ht="38.25">
      <c r="A5" s="8" t="s">
        <v>101</v>
      </c>
      <c r="B5" s="8" t="s">
        <v>95</v>
      </c>
      <c r="C5" s="40" t="s">
        <v>100</v>
      </c>
      <c r="D5" s="40" t="s">
        <v>99</v>
      </c>
      <c r="E5" s="40" t="s">
        <v>98</v>
      </c>
      <c r="F5" s="40" t="s">
        <v>97</v>
      </c>
    </row>
    <row r="6" spans="1:7" ht="63.75">
      <c r="A6" s="8" t="s">
        <v>96</v>
      </c>
      <c r="B6" s="8" t="s">
        <v>95</v>
      </c>
      <c r="C6" s="40" t="s">
        <v>123</v>
      </c>
      <c r="D6" s="40" t="s">
        <v>124</v>
      </c>
      <c r="E6" s="40" t="s">
        <v>125</v>
      </c>
      <c r="F6" s="40" t="s">
        <v>126</v>
      </c>
    </row>
    <row r="7" spans="1:7">
      <c r="A7" s="47"/>
      <c r="B7" s="47"/>
      <c r="C7" s="35"/>
      <c r="D7" s="35"/>
      <c r="E7" s="35"/>
      <c r="F7" s="35"/>
    </row>
    <row r="8" spans="1:7">
      <c r="A8" s="47"/>
      <c r="B8" s="47"/>
      <c r="C8" s="35"/>
      <c r="D8" s="35"/>
      <c r="E8" s="35"/>
      <c r="F8" s="35"/>
    </row>
    <row r="9" spans="1:7">
      <c r="A9" s="468" t="s">
        <v>137</v>
      </c>
      <c r="B9" s="469"/>
      <c r="C9" s="137"/>
      <c r="D9" s="137"/>
      <c r="E9" s="137"/>
      <c r="F9" s="137"/>
      <c r="G9" s="138"/>
    </row>
    <row r="10" spans="1:7">
      <c r="A10" s="48" t="s">
        <v>127</v>
      </c>
      <c r="B10" s="51" t="s">
        <v>132</v>
      </c>
      <c r="C10" s="52"/>
      <c r="D10" s="52"/>
      <c r="E10" s="52"/>
      <c r="F10" s="52"/>
      <c r="G10" s="53"/>
    </row>
    <row r="11" spans="1:7">
      <c r="A11" s="48" t="s">
        <v>128</v>
      </c>
      <c r="B11" s="51" t="s">
        <v>133</v>
      </c>
      <c r="C11" s="52"/>
      <c r="D11" s="52"/>
      <c r="E11" s="52"/>
      <c r="F11" s="52"/>
      <c r="G11" s="53"/>
    </row>
    <row r="12" spans="1:7">
      <c r="A12" s="48" t="s">
        <v>129</v>
      </c>
      <c r="B12" s="51" t="s">
        <v>136</v>
      </c>
      <c r="C12" s="52"/>
      <c r="D12" s="52"/>
      <c r="E12" s="52"/>
      <c r="F12" s="52"/>
      <c r="G12" s="53"/>
    </row>
    <row r="13" spans="1:7">
      <c r="A13" s="48" t="s">
        <v>130</v>
      </c>
      <c r="B13" s="51" t="s">
        <v>134</v>
      </c>
      <c r="C13" s="52"/>
      <c r="D13" s="52"/>
      <c r="E13" s="52"/>
      <c r="F13" s="52"/>
      <c r="G13" s="53"/>
    </row>
    <row r="14" spans="1:7">
      <c r="A14" s="48" t="s">
        <v>131</v>
      </c>
      <c r="B14" s="49" t="s">
        <v>135</v>
      </c>
      <c r="C14" s="50"/>
      <c r="D14" s="50"/>
      <c r="E14" s="50"/>
      <c r="F14" s="50"/>
      <c r="G14" s="54"/>
    </row>
    <row r="16" spans="1:7">
      <c r="A16" s="42"/>
      <c r="B16" s="43"/>
      <c r="C16" s="35"/>
      <c r="D16" s="35"/>
      <c r="E16" s="35"/>
      <c r="F16" s="35"/>
    </row>
    <row r="17" spans="1:7">
      <c r="A17" s="468" t="s">
        <v>1551</v>
      </c>
      <c r="B17" s="469"/>
      <c r="C17" s="137"/>
      <c r="D17" s="137"/>
      <c r="E17" s="137"/>
      <c r="F17" s="137"/>
      <c r="G17" s="138"/>
    </row>
    <row r="18" spans="1:7">
      <c r="A18" s="48" t="s">
        <v>127</v>
      </c>
      <c r="B18" s="51" t="s">
        <v>1553</v>
      </c>
      <c r="C18" s="52"/>
      <c r="D18" s="52"/>
      <c r="E18" s="52"/>
      <c r="F18" s="52"/>
      <c r="G18" s="53"/>
    </row>
    <row r="19" spans="1:7">
      <c r="A19" s="48" t="s">
        <v>128</v>
      </c>
      <c r="B19" s="51" t="s">
        <v>1552</v>
      </c>
      <c r="C19" s="52"/>
      <c r="D19" s="52"/>
      <c r="E19" s="52"/>
      <c r="F19" s="52"/>
      <c r="G19" s="53"/>
    </row>
    <row r="20" spans="1:7">
      <c r="A20" s="48" t="s">
        <v>129</v>
      </c>
      <c r="B20" s="51" t="s">
        <v>1554</v>
      </c>
      <c r="C20" s="52"/>
      <c r="D20" s="52"/>
      <c r="E20" s="52"/>
      <c r="F20" s="52"/>
      <c r="G20" s="53"/>
    </row>
    <row r="21" spans="1:7">
      <c r="A21" s="48" t="s">
        <v>130</v>
      </c>
      <c r="B21" s="51" t="s">
        <v>1555</v>
      </c>
      <c r="C21" s="52"/>
      <c r="D21" s="52"/>
      <c r="E21" s="52"/>
      <c r="F21" s="52"/>
      <c r="G21" s="53"/>
    </row>
    <row r="22" spans="1:7">
      <c r="A22" s="48" t="s">
        <v>131</v>
      </c>
      <c r="B22" s="49" t="s">
        <v>1556</v>
      </c>
      <c r="C22" s="50"/>
      <c r="D22" s="50"/>
      <c r="E22" s="50"/>
      <c r="F22" s="50"/>
      <c r="G22" s="54"/>
    </row>
    <row r="23" spans="1:7">
      <c r="A23" s="136"/>
      <c r="B23" s="136"/>
      <c r="C23" s="39"/>
      <c r="D23" s="39"/>
      <c r="E23" s="39"/>
      <c r="F23" s="39"/>
    </row>
    <row r="24" spans="1:7">
      <c r="A24" s="34"/>
      <c r="B24" s="34"/>
      <c r="C24" s="38"/>
      <c r="D24" s="38"/>
      <c r="E24" s="38"/>
      <c r="F24" s="38"/>
    </row>
    <row r="25" spans="1:7">
      <c r="A25" s="466" t="s">
        <v>78</v>
      </c>
      <c r="B25" s="467"/>
      <c r="C25" s="39"/>
      <c r="D25" s="39"/>
      <c r="E25" s="39"/>
      <c r="F25" s="39"/>
    </row>
    <row r="26" spans="1:7">
      <c r="A26" s="8" t="s">
        <v>79</v>
      </c>
      <c r="B26" s="8" t="s">
        <v>80</v>
      </c>
    </row>
    <row r="27" spans="1:7">
      <c r="A27" s="8" t="s">
        <v>81</v>
      </c>
      <c r="B27" s="8" t="s">
        <v>82</v>
      </c>
    </row>
    <row r="28" spans="1:7">
      <c r="A28" s="8" t="s">
        <v>83</v>
      </c>
      <c r="B28" s="8" t="s">
        <v>84</v>
      </c>
    </row>
    <row r="29" spans="1:7">
      <c r="A29" s="8" t="s">
        <v>85</v>
      </c>
      <c r="B29" s="8" t="s">
        <v>86</v>
      </c>
    </row>
    <row r="30" spans="1:7">
      <c r="A30" s="8" t="s">
        <v>87</v>
      </c>
      <c r="B30" s="8" t="s">
        <v>88</v>
      </c>
    </row>
    <row r="31" spans="1:7">
      <c r="A31" s="8" t="s">
        <v>89</v>
      </c>
      <c r="B31" s="8" t="s">
        <v>90</v>
      </c>
    </row>
    <row r="33" spans="1:2">
      <c r="A33" s="466" t="s">
        <v>47</v>
      </c>
      <c r="B33" s="467"/>
    </row>
    <row r="34" spans="1:2">
      <c r="A34" s="464" t="s">
        <v>112</v>
      </c>
      <c r="B34" s="465"/>
    </row>
    <row r="35" spans="1:2">
      <c r="A35" s="464" t="s">
        <v>113</v>
      </c>
      <c r="B35" s="465"/>
    </row>
    <row r="36" spans="1:2">
      <c r="A36" s="464" t="s">
        <v>114</v>
      </c>
      <c r="B36" s="465"/>
    </row>
  </sheetData>
  <mergeCells count="7">
    <mergeCell ref="A35:B35"/>
    <mergeCell ref="A36:B36"/>
    <mergeCell ref="A25:B25"/>
    <mergeCell ref="A9:B9"/>
    <mergeCell ref="A17:B17"/>
    <mergeCell ref="A33:B33"/>
    <mergeCell ref="A34:B34"/>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sheetPr>
    <pageSetUpPr fitToPage="1"/>
  </sheetPr>
  <dimension ref="A1:AN259"/>
  <sheetViews>
    <sheetView topLeftCell="A66" zoomScale="90" zoomScaleNormal="90" workbookViewId="0">
      <pane xSplit="1" topLeftCell="B1" activePane="topRight" state="frozen"/>
      <selection pane="topRight" activeCell="A96" sqref="A96"/>
    </sheetView>
  </sheetViews>
  <sheetFormatPr defaultRowHeight="13.5"/>
  <cols>
    <col min="1" max="1" width="6.7109375" style="58" customWidth="1"/>
    <col min="2" max="4" width="12" style="58" customWidth="1"/>
    <col min="5" max="5" width="31.7109375" style="58" customWidth="1"/>
    <col min="6" max="6" width="34.140625" style="58" customWidth="1"/>
    <col min="7" max="7" width="32.42578125" style="58" customWidth="1"/>
    <col min="8" max="8" width="10.5703125" style="58" customWidth="1"/>
    <col min="9" max="9" width="10.140625" style="58" customWidth="1"/>
    <col min="10" max="10" width="11.140625" style="58" customWidth="1"/>
    <col min="11" max="11" width="11.85546875" style="58" customWidth="1"/>
    <col min="12" max="12" width="10.7109375" style="58" customWidth="1"/>
    <col min="13" max="13" width="10.42578125" style="58" customWidth="1"/>
    <col min="14" max="14" width="10.85546875" style="58" customWidth="1"/>
    <col min="15" max="15" width="10.42578125" style="58" customWidth="1"/>
    <col min="16" max="16" width="11" style="58" customWidth="1"/>
    <col min="17" max="17" width="15.5703125" style="58" customWidth="1"/>
    <col min="18" max="18" width="11.5703125" style="58" customWidth="1"/>
    <col min="19" max="19" width="13" style="58" customWidth="1"/>
    <col min="20" max="20" width="12.140625" style="58" customWidth="1"/>
    <col min="21" max="21" width="8.85546875" style="58" customWidth="1"/>
    <col min="22" max="22" width="16.5703125" style="58" customWidth="1"/>
    <col min="23" max="23" width="40.28515625" style="58" customWidth="1"/>
    <col min="24" max="24" width="12.28515625" style="58" customWidth="1"/>
    <col min="25" max="25" width="13.5703125" style="58" customWidth="1"/>
    <col min="26" max="26" width="16.28515625" style="58" customWidth="1"/>
    <col min="27" max="27" width="18.28515625" style="163" bestFit="1" customWidth="1"/>
    <col min="28" max="28" width="12.140625" style="58" customWidth="1"/>
    <col min="29" max="29" width="11.140625" style="58" customWidth="1"/>
    <col min="30" max="30" width="9.140625" style="58"/>
    <col min="31" max="31" width="10.42578125" style="58" bestFit="1" customWidth="1"/>
    <col min="32" max="32" width="9.5703125" style="58" bestFit="1" customWidth="1"/>
    <col min="33" max="33" width="9.42578125" style="58" customWidth="1"/>
    <col min="34" max="36" width="9.28515625" style="58" bestFit="1" customWidth="1"/>
    <col min="37" max="37" width="15.7109375" style="58" bestFit="1" customWidth="1"/>
    <col min="38" max="38" width="15" style="58" bestFit="1" customWidth="1"/>
    <col min="39" max="39" width="9.28515625" style="58" bestFit="1" customWidth="1"/>
    <col min="40" max="40" width="24.7109375" style="58" customWidth="1"/>
    <col min="41" max="16384" width="9.140625" style="58"/>
  </cols>
  <sheetData>
    <row r="1" spans="1:40" s="263" customFormat="1" ht="40.5">
      <c r="A1" s="2" t="s">
        <v>6</v>
      </c>
      <c r="B1" s="2" t="s">
        <v>54</v>
      </c>
      <c r="C1" s="2" t="s">
        <v>26</v>
      </c>
      <c r="D1" s="2" t="s">
        <v>4</v>
      </c>
      <c r="E1" s="2" t="s">
        <v>27</v>
      </c>
      <c r="F1" s="2" t="s">
        <v>28</v>
      </c>
      <c r="G1" s="2" t="s">
        <v>63</v>
      </c>
      <c r="H1" s="2" t="s">
        <v>2756</v>
      </c>
      <c r="I1" s="2" t="s">
        <v>2755</v>
      </c>
      <c r="J1" s="2" t="s">
        <v>8</v>
      </c>
      <c r="K1" s="2" t="s">
        <v>17</v>
      </c>
      <c r="L1" s="2" t="s">
        <v>7</v>
      </c>
      <c r="M1" s="2" t="s">
        <v>47</v>
      </c>
      <c r="N1" s="2" t="s">
        <v>18</v>
      </c>
      <c r="O1" s="2" t="s">
        <v>75</v>
      </c>
      <c r="P1" s="2" t="s">
        <v>76</v>
      </c>
      <c r="Q1" s="2" t="s">
        <v>9</v>
      </c>
      <c r="R1" s="2" t="s">
        <v>14</v>
      </c>
      <c r="S1" s="2" t="s">
        <v>162</v>
      </c>
      <c r="T1" s="2" t="s">
        <v>19</v>
      </c>
      <c r="U1" s="32" t="s">
        <v>64</v>
      </c>
      <c r="V1" s="2" t="s">
        <v>20</v>
      </c>
      <c r="W1" s="2" t="s">
        <v>55</v>
      </c>
      <c r="X1" s="32" t="s">
        <v>65</v>
      </c>
      <c r="Y1" s="2" t="s">
        <v>21</v>
      </c>
      <c r="Z1" s="2" t="s">
        <v>22</v>
      </c>
      <c r="AA1" s="161" t="s">
        <v>42</v>
      </c>
      <c r="AB1" s="2" t="s">
        <v>43</v>
      </c>
      <c r="AC1" s="2" t="s">
        <v>2220</v>
      </c>
      <c r="AE1" s="264">
        <f ca="1">TODAY()</f>
        <v>40990</v>
      </c>
      <c r="AF1" s="264" t="s">
        <v>4</v>
      </c>
      <c r="AG1" s="264" t="s">
        <v>1651</v>
      </c>
      <c r="AH1" s="263" t="s">
        <v>1648</v>
      </c>
      <c r="AI1" s="263" t="s">
        <v>1649</v>
      </c>
      <c r="AJ1" s="263" t="s">
        <v>1650</v>
      </c>
      <c r="AK1" s="263" t="s">
        <v>2047</v>
      </c>
      <c r="AL1" s="310" t="s">
        <v>2075</v>
      </c>
      <c r="AM1" s="310" t="s">
        <v>2076</v>
      </c>
      <c r="AN1" s="263" t="s">
        <v>2766</v>
      </c>
    </row>
    <row r="2" spans="1:40" s="59" customFormat="1" ht="105.75" hidden="1" customHeight="1">
      <c r="A2" s="60" t="s">
        <v>2132</v>
      </c>
      <c r="B2" s="273">
        <v>40947</v>
      </c>
      <c r="C2" s="60" t="s">
        <v>296</v>
      </c>
      <c r="D2" s="60" t="s">
        <v>492</v>
      </c>
      <c r="E2" s="323" t="s">
        <v>1984</v>
      </c>
      <c r="F2" s="323" t="s">
        <v>2549</v>
      </c>
      <c r="G2" s="323" t="s">
        <v>1985</v>
      </c>
      <c r="H2" s="323" t="s">
        <v>303</v>
      </c>
      <c r="I2" s="323"/>
      <c r="J2" s="323" t="s">
        <v>296</v>
      </c>
      <c r="K2" s="323" t="s">
        <v>486</v>
      </c>
      <c r="L2" s="6" t="s">
        <v>127</v>
      </c>
      <c r="M2" s="6" t="s">
        <v>1489</v>
      </c>
      <c r="N2" s="323" t="s">
        <v>81</v>
      </c>
      <c r="O2" s="323" t="s">
        <v>91</v>
      </c>
      <c r="P2" s="323" t="s">
        <v>91</v>
      </c>
      <c r="Q2" s="323" t="s">
        <v>94</v>
      </c>
      <c r="R2" s="323" t="s">
        <v>93</v>
      </c>
      <c r="S2" s="323" t="s">
        <v>1986</v>
      </c>
      <c r="T2" s="323" t="s">
        <v>29</v>
      </c>
      <c r="U2" s="323" t="s">
        <v>1988</v>
      </c>
      <c r="V2" s="323" t="s">
        <v>1987</v>
      </c>
      <c r="W2" s="323" t="s">
        <v>2550</v>
      </c>
      <c r="X2" s="197">
        <v>40968</v>
      </c>
      <c r="Y2" s="323" t="s">
        <v>1565</v>
      </c>
      <c r="Z2" s="323"/>
      <c r="AA2" s="162">
        <v>40970</v>
      </c>
      <c r="AB2" s="323"/>
      <c r="AC2" s="6"/>
      <c r="AF2" s="59" t="b">
        <f>IFERROR(OR(Table4[[#This Row],[Status]]="02. Open &amp; Assigned",Table4[[#This Row],[Status]]="01. Open",Table4[[#This Row],[Status]]="03. Action/Mitigation Plan Defined",Table4[[#This Row],[Status]]="04. Action Plan Completed",Table4[[#This Row],[Status]]="08. Blank"),"")</f>
        <v>0</v>
      </c>
      <c r="AG2" s="59" t="b">
        <f ca="1">IF(Table4[[#This Row],[Required Risk Resolution Date]]="","FALSE",IF($AE$1&gt;Table4[[#This Row],[Required Risk Resolution Date]],TRUE,FALSE))</f>
        <v>1</v>
      </c>
    </row>
    <row r="3" spans="1:40" s="59" customFormat="1" ht="67.5" customHeight="1">
      <c r="A3" s="60" t="s">
        <v>2757</v>
      </c>
      <c r="B3" s="81">
        <v>40967</v>
      </c>
      <c r="C3" s="60" t="s">
        <v>296</v>
      </c>
      <c r="D3" s="60" t="s">
        <v>1566</v>
      </c>
      <c r="E3" s="323" t="s">
        <v>2298</v>
      </c>
      <c r="F3" s="56" t="s">
        <v>2552</v>
      </c>
      <c r="G3" s="323" t="s">
        <v>2551</v>
      </c>
      <c r="H3" s="56" t="s">
        <v>303</v>
      </c>
      <c r="I3" s="56"/>
      <c r="J3" s="70" t="s">
        <v>296</v>
      </c>
      <c r="K3" s="323" t="s">
        <v>296</v>
      </c>
      <c r="L3" s="6" t="s">
        <v>128</v>
      </c>
      <c r="M3" s="323" t="s">
        <v>1579</v>
      </c>
      <c r="N3" s="323" t="s">
        <v>81</v>
      </c>
      <c r="O3" s="323" t="s">
        <v>91</v>
      </c>
      <c r="P3" s="323" t="s">
        <v>91</v>
      </c>
      <c r="Q3" s="323" t="s">
        <v>93</v>
      </c>
      <c r="R3" s="86" t="s">
        <v>93</v>
      </c>
      <c r="S3" s="323" t="s">
        <v>2298</v>
      </c>
      <c r="T3" s="323" t="s">
        <v>29</v>
      </c>
      <c r="U3" s="323" t="s">
        <v>2299</v>
      </c>
      <c r="V3" s="323" t="s">
        <v>2553</v>
      </c>
      <c r="W3" s="323" t="s">
        <v>2947</v>
      </c>
      <c r="X3" s="81">
        <v>40991</v>
      </c>
      <c r="Y3" s="323" t="s">
        <v>1565</v>
      </c>
      <c r="Z3" s="323"/>
      <c r="AA3" s="162">
        <v>40998</v>
      </c>
      <c r="AB3" s="323"/>
      <c r="AC3" s="6"/>
      <c r="AF3" s="59" t="b">
        <f>IFERROR(OR(Table4[[#This Row],[Status]]="02. Open &amp; Assigned",Table4[[#This Row],[Status]]="01. Open",Table4[[#This Row],[Status]]="03. Action/Mitigation Plan Defined",Table4[[#This Row],[Status]]="04. Action Plan Completed",Table4[[#This Row],[Status]]="08. Blank"),"")</f>
        <v>1</v>
      </c>
      <c r="AG3" s="59" t="b">
        <f ca="1">IF(Table4[[#This Row],[Required Risk Resolution Date]]="","FALSE",IF($AE$1&gt;Table4[[#This Row],[Required Risk Resolution Date]],TRUE,FALSE))</f>
        <v>0</v>
      </c>
      <c r="AH3" s="59" t="b">
        <f t="shared" ref="AH3:AH68" si="0">IF(AE3&lt;30,FALSE,IF(AE3&gt;90,FALSE,TRUE))</f>
        <v>0</v>
      </c>
      <c r="AI3" s="59" t="b">
        <f t="shared" ref="AI3:AI68" si="1">IF(AE3&lt;91,FALSE,IF(AE3&gt;180,FALSE,TRUE))</f>
        <v>0</v>
      </c>
      <c r="AJ3" s="59" t="b">
        <f t="shared" ref="AJ3:AJ68" si="2">IF(AE3&gt;180,TRUE,FALSE)</f>
        <v>0</v>
      </c>
      <c r="AK3" s="59" t="b">
        <f>OR(Table4[[#This Row],[Priority]]="Critical",Table4[[#This Row],[Priority]]="High")</f>
        <v>1</v>
      </c>
      <c r="AL3" s="59">
        <f ca="1">Table4[[#This Row],[Required Risk Resolution Date]]-$AE$1</f>
        <v>8</v>
      </c>
      <c r="AM3" s="59" t="b">
        <f t="shared" ref="AM3:AM68" ca="1" si="3">IF(AL3&lt;1,FALSE,IF(AL3&gt;7,FALSE,TRUE))</f>
        <v>0</v>
      </c>
      <c r="AN3" s="59" t="b">
        <f>OR(Table4[[#This Row],[Priority]]="Critical",Table4[[#This Row],[Priority]]="High",Table4[[#This Row],[Priority]]="Moderate")</f>
        <v>1</v>
      </c>
    </row>
    <row r="4" spans="1:40" ht="112.5" hidden="1" customHeight="1">
      <c r="A4" s="60" t="s">
        <v>201</v>
      </c>
      <c r="B4" s="61">
        <v>40674</v>
      </c>
      <c r="C4" s="60"/>
      <c r="D4" s="60" t="s">
        <v>171</v>
      </c>
      <c r="E4" s="6"/>
      <c r="F4" s="56" t="s">
        <v>294</v>
      </c>
      <c r="G4" s="323"/>
      <c r="H4" s="56" t="s">
        <v>303</v>
      </c>
      <c r="I4" s="56"/>
      <c r="J4" s="323" t="s">
        <v>296</v>
      </c>
      <c r="K4" s="6"/>
      <c r="L4" s="6"/>
      <c r="M4" s="6"/>
      <c r="N4" s="6" t="s">
        <v>83</v>
      </c>
      <c r="O4" s="6" t="s">
        <v>167</v>
      </c>
      <c r="P4" s="6"/>
      <c r="Q4" s="6"/>
      <c r="R4" s="323"/>
      <c r="S4" s="6"/>
      <c r="T4" s="6"/>
      <c r="U4" s="6"/>
      <c r="V4" s="6"/>
      <c r="W4" s="56" t="s">
        <v>297</v>
      </c>
      <c r="X4" s="64">
        <v>40772</v>
      </c>
      <c r="Y4" s="64"/>
      <c r="Z4" s="56" t="s">
        <v>299</v>
      </c>
      <c r="AA4" s="323"/>
      <c r="AB4" s="55">
        <v>40785</v>
      </c>
      <c r="AC4" s="6"/>
      <c r="AE4" s="283">
        <f ca="1">$AE$1-Table4[[#This Row],[Date Captured]]</f>
        <v>316</v>
      </c>
      <c r="AF4" s="58" t="b">
        <f>IFERROR(OR(Table4[[#This Row],[Status]]="02. Open &amp; Assigned",Table4[[#This Row],[Status]]="01. Open",Table4[[#This Row],[Status]]="03. Action/Mitigation Plan Defined",Table4[[#This Row],[Status]]="04. Action Plan Completed",Table4[[#This Row],[Status]]="08. Blank"),"")</f>
        <v>0</v>
      </c>
      <c r="AG4" s="58" t="str">
        <f>IF(Table4[[#This Row],[Required Risk Resolution Date]]="","FALSE",IF($AE$1&gt;Table4[[#This Row],[Required Risk Resolution Date]],TRUE,FALSE))</f>
        <v>FALSE</v>
      </c>
      <c r="AH4" s="58" t="b">
        <f ca="1">IF(AE4&lt;30,FALSE,IF(AE4&gt;90,FALSE,TRUE))</f>
        <v>0</v>
      </c>
      <c r="AI4" s="58" t="b">
        <f ca="1">IF(AE4&lt;91,FALSE,IF(AE4&gt;180,FALSE,TRUE))</f>
        <v>0</v>
      </c>
      <c r="AJ4" s="58" t="b">
        <f ca="1">IF(AE4&gt;180,TRUE,FALSE)</f>
        <v>1</v>
      </c>
      <c r="AK4" s="58" t="b">
        <f>OR(Table4[[#This Row],[Priority]]="Critical",Table4[[#This Row],[Priority]]="High")</f>
        <v>0</v>
      </c>
      <c r="AL4" s="283">
        <f ca="1">Table4[[#This Row],[Required Risk Resolution Date]]-$AE$1</f>
        <v>-40990</v>
      </c>
      <c r="AM4" s="58" t="b">
        <f ca="1">IF(AL4&lt;1,FALSE,IF(AL4&gt;7,FALSE,TRUE))</f>
        <v>0</v>
      </c>
      <c r="AN4" s="59" t="b">
        <f>OR(Table4[[#This Row],[Priority]]="Critical",Table4[[#This Row],[Priority]]="High",Table4[[#This Row],[Priority]]="Moderate")</f>
        <v>0</v>
      </c>
    </row>
    <row r="5" spans="1:40" ht="103.5" hidden="1" customHeight="1">
      <c r="A5" s="60" t="s">
        <v>202</v>
      </c>
      <c r="B5" s="61">
        <v>40674</v>
      </c>
      <c r="C5" s="60"/>
      <c r="D5" s="60" t="s">
        <v>171</v>
      </c>
      <c r="E5" s="6"/>
      <c r="F5" s="56" t="s">
        <v>295</v>
      </c>
      <c r="G5" s="6"/>
      <c r="H5" s="56" t="s">
        <v>303</v>
      </c>
      <c r="I5" s="56"/>
      <c r="J5" s="6" t="s">
        <v>296</v>
      </c>
      <c r="K5" s="6"/>
      <c r="L5" s="6"/>
      <c r="M5" s="6"/>
      <c r="N5" s="6" t="s">
        <v>83</v>
      </c>
      <c r="O5" s="6" t="s">
        <v>167</v>
      </c>
      <c r="P5" s="6"/>
      <c r="Q5" s="6"/>
      <c r="R5" s="6"/>
      <c r="S5" s="6"/>
      <c r="T5" s="6"/>
      <c r="U5" s="6"/>
      <c r="V5" s="6"/>
      <c r="W5" s="56" t="s">
        <v>298</v>
      </c>
      <c r="X5" s="64">
        <v>40821</v>
      </c>
      <c r="Y5" s="64"/>
      <c r="Z5" s="56" t="s">
        <v>300</v>
      </c>
      <c r="AA5" s="323"/>
      <c r="AB5" s="323" t="s">
        <v>301</v>
      </c>
      <c r="AC5" s="6"/>
      <c r="AE5" s="283">
        <f ca="1">$AE$1-Table4[[#This Row],[Date Captured]]</f>
        <v>316</v>
      </c>
      <c r="AF5" s="58" t="b">
        <f>IFERROR(OR(Table4[[#This Row],[Status]]="02. Open &amp; Assigned",Table4[[#This Row],[Status]]="01. Open",Table4[[#This Row],[Status]]="03. Action/Mitigation Plan Defined",Table4[[#This Row],[Status]]="04. Action Plan Completed",Table4[[#This Row],[Status]]="08. Blank"),"")</f>
        <v>0</v>
      </c>
      <c r="AG5" s="58" t="str">
        <f>IF(Table4[[#This Row],[Required Risk Resolution Date]]="","FALSE",IF($AE$1&gt;Table4[[#This Row],[Required Risk Resolution Date]],TRUE,FALSE))</f>
        <v>FALSE</v>
      </c>
      <c r="AH5" s="58" t="b">
        <f t="shared" ca="1" si="0"/>
        <v>0</v>
      </c>
      <c r="AI5" s="58" t="b">
        <f t="shared" ca="1" si="1"/>
        <v>0</v>
      </c>
      <c r="AJ5" s="58" t="b">
        <f t="shared" ca="1" si="2"/>
        <v>1</v>
      </c>
      <c r="AK5" s="58" t="b">
        <f>OR(Table4[[#This Row],[Priority]]="Critical",Table4[[#This Row],[Priority]]="High")</f>
        <v>0</v>
      </c>
      <c r="AL5" s="283">
        <f ca="1">Table4[[#This Row],[Required Risk Resolution Date]]-$AE$1</f>
        <v>-40990</v>
      </c>
      <c r="AM5" s="58" t="b">
        <f t="shared" ca="1" si="3"/>
        <v>0</v>
      </c>
      <c r="AN5" s="59" t="b">
        <f>OR(Table4[[#This Row],[Priority]]="Critical",Table4[[#This Row],[Priority]]="High",Table4[[#This Row],[Priority]]="Moderate")</f>
        <v>0</v>
      </c>
    </row>
    <row r="6" spans="1:40" ht="135" hidden="1" customHeight="1">
      <c r="A6" s="60" t="s">
        <v>203</v>
      </c>
      <c r="B6" s="61">
        <v>40674</v>
      </c>
      <c r="C6" s="60" t="s">
        <v>1570</v>
      </c>
      <c r="D6" s="60" t="s">
        <v>492</v>
      </c>
      <c r="E6" s="6" t="s">
        <v>1596</v>
      </c>
      <c r="F6" s="56" t="s">
        <v>302</v>
      </c>
      <c r="G6" s="56" t="s">
        <v>1597</v>
      </c>
      <c r="H6" s="56" t="s">
        <v>303</v>
      </c>
      <c r="I6" s="56"/>
      <c r="J6" s="56" t="s">
        <v>296</v>
      </c>
      <c r="K6" s="6" t="s">
        <v>296</v>
      </c>
      <c r="L6" s="6" t="s">
        <v>129</v>
      </c>
      <c r="M6" s="6" t="s">
        <v>1489</v>
      </c>
      <c r="N6" s="6" t="s">
        <v>79</v>
      </c>
      <c r="O6" s="6" t="s">
        <v>91</v>
      </c>
      <c r="P6" s="6" t="s">
        <v>91</v>
      </c>
      <c r="Q6" s="6" t="s">
        <v>94</v>
      </c>
      <c r="R6" s="323" t="s">
        <v>93</v>
      </c>
      <c r="S6" s="6"/>
      <c r="T6" s="323"/>
      <c r="U6" s="323"/>
      <c r="V6" s="6"/>
      <c r="W6" s="56" t="s">
        <v>1620</v>
      </c>
      <c r="X6" s="64">
        <v>40933</v>
      </c>
      <c r="Y6" s="64" t="s">
        <v>1565</v>
      </c>
      <c r="Z6" s="56" t="s">
        <v>1622</v>
      </c>
      <c r="AA6" s="55">
        <v>40939</v>
      </c>
      <c r="AB6" s="323" t="s">
        <v>1619</v>
      </c>
      <c r="AC6" s="6" t="s">
        <v>669</v>
      </c>
      <c r="AE6" s="283">
        <f ca="1">$AE$1-Table4[[#This Row],[Date Captured]]</f>
        <v>316</v>
      </c>
      <c r="AF6" s="58" t="b">
        <f>IFERROR(OR(Table4[[#This Row],[Status]]="02. Open &amp; Assigned",Table4[[#This Row],[Status]]="01. Open",Table4[[#This Row],[Status]]="03. Action/Mitigation Plan Defined",Table4[[#This Row],[Status]]="04. Action Plan Completed",Table4[[#This Row],[Status]]="08. Blank"),"")</f>
        <v>0</v>
      </c>
      <c r="AG6" s="58" t="b">
        <f ca="1">IF(Table4[[#This Row],[Required Risk Resolution Date]]="","FALSE",IF($AE$1&gt;Table4[[#This Row],[Required Risk Resolution Date]],TRUE,FALSE))</f>
        <v>1</v>
      </c>
      <c r="AH6" s="58" t="b">
        <f t="shared" ca="1" si="0"/>
        <v>0</v>
      </c>
      <c r="AI6" s="58" t="b">
        <f t="shared" ca="1" si="1"/>
        <v>0</v>
      </c>
      <c r="AJ6" s="58" t="b">
        <f t="shared" ca="1" si="2"/>
        <v>1</v>
      </c>
      <c r="AK6" s="58" t="b">
        <f>OR(Table4[[#This Row],[Priority]]="Critical",Table4[[#This Row],[Priority]]="High")</f>
        <v>0</v>
      </c>
      <c r="AL6" s="283">
        <f ca="1">Table4[[#This Row],[Required Risk Resolution Date]]-$AE$1</f>
        <v>-51</v>
      </c>
      <c r="AM6" s="58" t="b">
        <f t="shared" ca="1" si="3"/>
        <v>0</v>
      </c>
      <c r="AN6" s="59" t="b">
        <f>OR(Table4[[#This Row],[Priority]]="Critical",Table4[[#This Row],[Priority]]="High",Table4[[#This Row],[Priority]]="Moderate")</f>
        <v>1</v>
      </c>
    </row>
    <row r="7" spans="1:40" ht="391.5" hidden="1">
      <c r="A7" s="60" t="s">
        <v>204</v>
      </c>
      <c r="B7" s="61">
        <v>40674</v>
      </c>
      <c r="C7" s="60" t="s">
        <v>1570</v>
      </c>
      <c r="D7" s="60" t="s">
        <v>171</v>
      </c>
      <c r="E7" s="6" t="s">
        <v>1598</v>
      </c>
      <c r="F7" s="323" t="s">
        <v>1604</v>
      </c>
      <c r="G7" s="323" t="s">
        <v>1623</v>
      </c>
      <c r="H7" s="6" t="s">
        <v>303</v>
      </c>
      <c r="I7" s="323"/>
      <c r="J7" s="323" t="s">
        <v>296</v>
      </c>
      <c r="K7" s="6" t="s">
        <v>1601</v>
      </c>
      <c r="L7" s="6" t="s">
        <v>127</v>
      </c>
      <c r="M7" s="6" t="s">
        <v>1489</v>
      </c>
      <c r="N7" s="6" t="s">
        <v>81</v>
      </c>
      <c r="O7" s="6" t="s">
        <v>91</v>
      </c>
      <c r="P7" s="6" t="s">
        <v>91</v>
      </c>
      <c r="Q7" s="6" t="s">
        <v>93</v>
      </c>
      <c r="R7" s="6" t="s">
        <v>93</v>
      </c>
      <c r="S7" s="6" t="s">
        <v>1605</v>
      </c>
      <c r="T7" s="323" t="s">
        <v>29</v>
      </c>
      <c r="U7" s="323" t="s">
        <v>1926</v>
      </c>
      <c r="V7" s="323" t="s">
        <v>1746</v>
      </c>
      <c r="W7" s="323" t="s">
        <v>2554</v>
      </c>
      <c r="X7" s="55">
        <v>40968</v>
      </c>
      <c r="Y7" s="6" t="s">
        <v>1565</v>
      </c>
      <c r="Z7" s="323"/>
      <c r="AA7" s="162">
        <v>40947</v>
      </c>
      <c r="AB7" s="55"/>
      <c r="AC7" s="6"/>
      <c r="AE7" s="283">
        <f ca="1">$AE$1-Table4[[#This Row],[Date Captured]]</f>
        <v>316</v>
      </c>
      <c r="AF7" s="58" t="b">
        <f>IFERROR(OR(Table4[[#This Row],[Status]]="02. Open &amp; Assigned",Table4[[#This Row],[Status]]="01. Open",Table4[[#This Row],[Status]]="03. Action/Mitigation Plan Defined",Table4[[#This Row],[Status]]="04. Action Plan Completed",Table4[[#This Row],[Status]]="08. Blank"),"")</f>
        <v>0</v>
      </c>
      <c r="AG7" s="58" t="b">
        <f ca="1">IF(Table4[[#This Row],[Required Risk Resolution Date]]="","FALSE",IF($AE$1&gt;Table4[[#This Row],[Required Risk Resolution Date]],TRUE,FALSE))</f>
        <v>1</v>
      </c>
      <c r="AH7" s="58" t="b">
        <f t="shared" ca="1" si="0"/>
        <v>0</v>
      </c>
      <c r="AI7" s="58" t="b">
        <f t="shared" ca="1" si="1"/>
        <v>0</v>
      </c>
      <c r="AJ7" s="58" t="b">
        <f t="shared" ca="1" si="2"/>
        <v>1</v>
      </c>
      <c r="AK7" s="58" t="b">
        <f>OR(Table4[[#This Row],[Priority]]="Critical",Table4[[#This Row],[Priority]]="High")</f>
        <v>1</v>
      </c>
      <c r="AL7" s="283">
        <f ca="1">Table4[[#This Row],[Required Risk Resolution Date]]-$AE$1</f>
        <v>-43</v>
      </c>
      <c r="AM7" s="58" t="b">
        <f t="shared" ca="1" si="3"/>
        <v>0</v>
      </c>
      <c r="AN7" s="59" t="b">
        <f>OR(Table4[[#This Row],[Priority]]="Critical",Table4[[#This Row],[Priority]]="High",Table4[[#This Row],[Priority]]="Moderate")</f>
        <v>1</v>
      </c>
    </row>
    <row r="8" spans="1:40" ht="122.25" hidden="1" customHeight="1">
      <c r="A8" s="60" t="s">
        <v>205</v>
      </c>
      <c r="B8" s="61">
        <v>40674</v>
      </c>
      <c r="C8" s="60" t="s">
        <v>1570</v>
      </c>
      <c r="D8" s="60" t="s">
        <v>171</v>
      </c>
      <c r="E8" s="6" t="s">
        <v>1599</v>
      </c>
      <c r="F8" s="323" t="s">
        <v>304</v>
      </c>
      <c r="G8" s="323" t="s">
        <v>1600</v>
      </c>
      <c r="H8" s="323" t="s">
        <v>303</v>
      </c>
      <c r="I8" s="323"/>
      <c r="J8" s="6" t="s">
        <v>296</v>
      </c>
      <c r="K8" s="323" t="s">
        <v>1601</v>
      </c>
      <c r="L8" s="323" t="s">
        <v>129</v>
      </c>
      <c r="M8" s="6" t="s">
        <v>1489</v>
      </c>
      <c r="N8" s="6" t="s">
        <v>81</v>
      </c>
      <c r="O8" s="6" t="s">
        <v>167</v>
      </c>
      <c r="P8" s="6" t="s">
        <v>167</v>
      </c>
      <c r="Q8" s="6" t="s">
        <v>167</v>
      </c>
      <c r="R8" s="6" t="s">
        <v>167</v>
      </c>
      <c r="S8" s="6" t="s">
        <v>1602</v>
      </c>
      <c r="T8" s="323" t="s">
        <v>29</v>
      </c>
      <c r="U8" s="323" t="s">
        <v>1927</v>
      </c>
      <c r="V8" s="323" t="s">
        <v>1603</v>
      </c>
      <c r="W8" s="323" t="s">
        <v>2082</v>
      </c>
      <c r="X8" s="55">
        <v>40954</v>
      </c>
      <c r="Y8" s="6" t="s">
        <v>1565</v>
      </c>
      <c r="Z8" s="6" t="s">
        <v>2199</v>
      </c>
      <c r="AA8" s="162">
        <v>40941</v>
      </c>
      <c r="AB8" s="197">
        <v>40954</v>
      </c>
      <c r="AC8" s="6"/>
      <c r="AE8" s="283">
        <f ca="1">$AE$1-Table4[[#This Row],[Date Captured]]</f>
        <v>316</v>
      </c>
      <c r="AF8" s="58" t="b">
        <f>IFERROR(OR(Table4[[#This Row],[Status]]="02. Open &amp; Assigned",Table4[[#This Row],[Status]]="01. Open",Table4[[#This Row],[Status]]="03. Action/Mitigation Plan Defined",Table4[[#This Row],[Status]]="04. Action Plan Completed",Table4[[#This Row],[Status]]="08. Blank"),"")</f>
        <v>0</v>
      </c>
      <c r="AG8" s="58" t="b">
        <f ca="1">IF(Table4[[#This Row],[Required Risk Resolution Date]]="","FALSE",IF($AE$1&gt;Table4[[#This Row],[Required Risk Resolution Date]],TRUE,FALSE))</f>
        <v>1</v>
      </c>
      <c r="AH8" s="58" t="b">
        <f t="shared" ca="1" si="0"/>
        <v>0</v>
      </c>
      <c r="AI8" s="58" t="b">
        <f t="shared" ca="1" si="1"/>
        <v>0</v>
      </c>
      <c r="AJ8" s="58" t="b">
        <f t="shared" ca="1" si="2"/>
        <v>1</v>
      </c>
      <c r="AK8" s="58" t="b">
        <f>OR(Table4[[#This Row],[Priority]]="Critical",Table4[[#This Row],[Priority]]="High")</f>
        <v>0</v>
      </c>
      <c r="AL8" s="283">
        <f ca="1">Table4[[#This Row],[Required Risk Resolution Date]]-$AE$1</f>
        <v>-49</v>
      </c>
      <c r="AM8" s="58" t="b">
        <f t="shared" ca="1" si="3"/>
        <v>0</v>
      </c>
      <c r="AN8" s="59" t="b">
        <f>OR(Table4[[#This Row],[Priority]]="Critical",Table4[[#This Row],[Priority]]="High",Table4[[#This Row],[Priority]]="Moderate")</f>
        <v>1</v>
      </c>
    </row>
    <row r="9" spans="1:40" ht="72" hidden="1">
      <c r="A9" s="60" t="s">
        <v>399</v>
      </c>
      <c r="B9" s="64">
        <v>40731</v>
      </c>
      <c r="C9" s="60"/>
      <c r="D9" s="60" t="s">
        <v>171</v>
      </c>
      <c r="E9" s="6"/>
      <c r="F9" s="56" t="s">
        <v>401</v>
      </c>
      <c r="G9" s="56"/>
      <c r="H9" s="56" t="s">
        <v>303</v>
      </c>
      <c r="I9" s="56"/>
      <c r="J9" s="56" t="s">
        <v>296</v>
      </c>
      <c r="K9" s="6"/>
      <c r="L9" s="6"/>
      <c r="M9" s="323"/>
      <c r="N9" s="323" t="s">
        <v>81</v>
      </c>
      <c r="O9" s="323" t="s">
        <v>93</v>
      </c>
      <c r="P9" s="323"/>
      <c r="Q9" s="323"/>
      <c r="R9" s="323"/>
      <c r="S9" s="323"/>
      <c r="T9" s="323"/>
      <c r="U9" s="323"/>
      <c r="V9" s="56"/>
      <c r="W9" s="56" t="s">
        <v>404</v>
      </c>
      <c r="X9" s="64">
        <v>40821</v>
      </c>
      <c r="Y9" s="64"/>
      <c r="Z9" s="56" t="s">
        <v>405</v>
      </c>
      <c r="AA9" s="73"/>
      <c r="AB9" s="63">
        <v>40821</v>
      </c>
      <c r="AC9" s="6"/>
      <c r="AE9" s="283">
        <f ca="1">$AE$1-Table4[[#This Row],[Date Captured]]</f>
        <v>259</v>
      </c>
      <c r="AF9" s="58" t="b">
        <f>IFERROR(OR(Table4[[#This Row],[Status]]="02. Open &amp; Assigned",Table4[[#This Row],[Status]]="01. Open",Table4[[#This Row],[Status]]="03. Action/Mitigation Plan Defined",Table4[[#This Row],[Status]]="04. Action Plan Completed",Table4[[#This Row],[Status]]="08. Blank"),"")</f>
        <v>0</v>
      </c>
      <c r="AG9" s="58" t="str">
        <f>IF(Table4[[#This Row],[Required Risk Resolution Date]]="","FALSE",IF($AE$1&gt;Table4[[#This Row],[Required Risk Resolution Date]],TRUE,FALSE))</f>
        <v>FALSE</v>
      </c>
      <c r="AH9" s="58" t="b">
        <f t="shared" ca="1" si="0"/>
        <v>0</v>
      </c>
      <c r="AI9" s="58" t="b">
        <f t="shared" ca="1" si="1"/>
        <v>0</v>
      </c>
      <c r="AJ9" s="58" t="b">
        <f t="shared" ca="1" si="2"/>
        <v>1</v>
      </c>
      <c r="AK9" s="58" t="b">
        <f>OR(Table4[[#This Row],[Priority]]="Critical",Table4[[#This Row],[Priority]]="High")</f>
        <v>0</v>
      </c>
      <c r="AL9" s="283">
        <f ca="1">Table4[[#This Row],[Required Risk Resolution Date]]-$AE$1</f>
        <v>-40990</v>
      </c>
      <c r="AM9" s="58" t="b">
        <f t="shared" ca="1" si="3"/>
        <v>0</v>
      </c>
      <c r="AN9" s="59" t="b">
        <f>OR(Table4[[#This Row],[Priority]]="Critical",Table4[[#This Row],[Priority]]="High",Table4[[#This Row],[Priority]]="Moderate")</f>
        <v>0</v>
      </c>
    </row>
    <row r="10" spans="1:40" s="59" customFormat="1" ht="48" hidden="1">
      <c r="A10" s="60" t="s">
        <v>409</v>
      </c>
      <c r="B10" s="64">
        <v>40731</v>
      </c>
      <c r="C10" s="60"/>
      <c r="D10" s="60" t="s">
        <v>171</v>
      </c>
      <c r="E10" s="323"/>
      <c r="F10" s="56" t="s">
        <v>410</v>
      </c>
      <c r="G10" s="56"/>
      <c r="H10" s="56" t="s">
        <v>303</v>
      </c>
      <c r="I10" s="56"/>
      <c r="J10" s="56" t="s">
        <v>296</v>
      </c>
      <c r="K10" s="323"/>
      <c r="L10" s="6"/>
      <c r="M10" s="6"/>
      <c r="N10" s="323" t="s">
        <v>81</v>
      </c>
      <c r="O10" s="323" t="s">
        <v>93</v>
      </c>
      <c r="P10" s="323"/>
      <c r="Q10" s="323"/>
      <c r="R10" s="323"/>
      <c r="S10" s="323"/>
      <c r="T10" s="56"/>
      <c r="U10" s="56"/>
      <c r="V10" s="56"/>
      <c r="W10" s="56" t="s">
        <v>413</v>
      </c>
      <c r="X10" s="64">
        <v>40821</v>
      </c>
      <c r="Y10" s="64"/>
      <c r="Z10" s="56" t="s">
        <v>414</v>
      </c>
      <c r="AA10" s="73"/>
      <c r="AB10" s="63">
        <v>40821</v>
      </c>
      <c r="AC10" s="6"/>
      <c r="AE10" s="283">
        <f ca="1">$AE$1-Table4[[#This Row],[Date Captured]]</f>
        <v>259</v>
      </c>
      <c r="AF10" s="59" t="b">
        <f>IFERROR(OR(Table4[[#This Row],[Status]]="02. Open &amp; Assigned",Table4[[#This Row],[Status]]="01. Open",Table4[[#This Row],[Status]]="03. Action/Mitigation Plan Defined",Table4[[#This Row],[Status]]="04. Action Plan Completed",Table4[[#This Row],[Status]]="08. Blank"),"")</f>
        <v>0</v>
      </c>
      <c r="AG10" s="59" t="str">
        <f>IF(Table4[[#This Row],[Required Risk Resolution Date]]="","FALSE",IF($AE$1&gt;Table4[[#This Row],[Required Risk Resolution Date]],TRUE,FALSE))</f>
        <v>FALSE</v>
      </c>
      <c r="AH10" s="58" t="b">
        <f t="shared" ca="1" si="0"/>
        <v>0</v>
      </c>
      <c r="AI10" s="58" t="b">
        <f t="shared" ca="1" si="1"/>
        <v>0</v>
      </c>
      <c r="AJ10" s="58" t="b">
        <f t="shared" ca="1" si="2"/>
        <v>1</v>
      </c>
      <c r="AK10" s="58" t="b">
        <f>OR(Table4[[#This Row],[Priority]]="Critical",Table4[[#This Row],[Priority]]="High")</f>
        <v>0</v>
      </c>
      <c r="AL10" s="283">
        <f ca="1">Table4[[#This Row],[Required Risk Resolution Date]]-$AE$1</f>
        <v>-40990</v>
      </c>
      <c r="AM10" s="58" t="b">
        <f t="shared" ca="1" si="3"/>
        <v>0</v>
      </c>
      <c r="AN10" s="59" t="b">
        <f>OR(Table4[[#This Row],[Priority]]="Critical",Table4[[#This Row],[Priority]]="High",Table4[[#This Row],[Priority]]="Moderate")</f>
        <v>0</v>
      </c>
    </row>
    <row r="11" spans="1:40" ht="113.25" hidden="1" customHeight="1">
      <c r="A11" s="60" t="s">
        <v>416</v>
      </c>
      <c r="B11" s="64">
        <v>40731</v>
      </c>
      <c r="C11" s="60" t="s">
        <v>1570</v>
      </c>
      <c r="D11" s="60" t="s">
        <v>171</v>
      </c>
      <c r="E11" s="6"/>
      <c r="F11" s="56" t="s">
        <v>418</v>
      </c>
      <c r="G11" s="56"/>
      <c r="H11" s="56" t="s">
        <v>303</v>
      </c>
      <c r="I11" s="56"/>
      <c r="J11" s="56" t="s">
        <v>296</v>
      </c>
      <c r="K11" s="6"/>
      <c r="L11" s="6" t="s">
        <v>129</v>
      </c>
      <c r="M11" s="6"/>
      <c r="N11" s="6" t="s">
        <v>83</v>
      </c>
      <c r="O11" s="6" t="s">
        <v>167</v>
      </c>
      <c r="P11" s="6"/>
      <c r="Q11" s="6"/>
      <c r="R11" s="323"/>
      <c r="S11" s="6"/>
      <c r="T11" s="56"/>
      <c r="U11" s="56"/>
      <c r="V11" s="56"/>
      <c r="W11" s="56" t="s">
        <v>1624</v>
      </c>
      <c r="X11" s="72">
        <v>40919</v>
      </c>
      <c r="Y11" s="72"/>
      <c r="Z11" s="56" t="s">
        <v>1625</v>
      </c>
      <c r="AA11" s="73"/>
      <c r="AB11" s="63">
        <v>40918</v>
      </c>
      <c r="AC11" s="6" t="s">
        <v>204</v>
      </c>
      <c r="AE11" s="283">
        <f ca="1">$AE$1-Table4[[#This Row],[Date Captured]]</f>
        <v>259</v>
      </c>
      <c r="AF11" s="58" t="b">
        <f>IFERROR(OR(Table4[[#This Row],[Status]]="02. Open &amp; Assigned",Table4[[#This Row],[Status]]="01. Open",Table4[[#This Row],[Status]]="03. Action/Mitigation Plan Defined",Table4[[#This Row],[Status]]="04. Action Plan Completed",Table4[[#This Row],[Status]]="08. Blank"),"")</f>
        <v>0</v>
      </c>
      <c r="AG11" s="58" t="str">
        <f>IF(Table4[[#This Row],[Required Risk Resolution Date]]="","FALSE",IF($AE$1&gt;Table4[[#This Row],[Required Risk Resolution Date]],TRUE,FALSE))</f>
        <v>FALSE</v>
      </c>
      <c r="AH11" s="58" t="b">
        <f t="shared" ca="1" si="0"/>
        <v>0</v>
      </c>
      <c r="AI11" s="58" t="b">
        <f t="shared" ca="1" si="1"/>
        <v>0</v>
      </c>
      <c r="AJ11" s="58" t="b">
        <f t="shared" ca="1" si="2"/>
        <v>1</v>
      </c>
      <c r="AK11" s="58" t="b">
        <f>OR(Table4[[#This Row],[Priority]]="Critical",Table4[[#This Row],[Priority]]="High")</f>
        <v>0</v>
      </c>
      <c r="AL11" s="283">
        <f ca="1">Table4[[#This Row],[Required Risk Resolution Date]]-$AE$1</f>
        <v>-40990</v>
      </c>
      <c r="AM11" s="58" t="b">
        <f t="shared" ca="1" si="3"/>
        <v>0</v>
      </c>
      <c r="AN11" s="59" t="b">
        <f>OR(Table4[[#This Row],[Priority]]="Critical",Table4[[#This Row],[Priority]]="High",Table4[[#This Row],[Priority]]="Moderate")</f>
        <v>1</v>
      </c>
    </row>
    <row r="12" spans="1:40" s="59" customFormat="1" ht="78.75" hidden="1" customHeight="1">
      <c r="A12" s="60" t="s">
        <v>227</v>
      </c>
      <c r="B12" s="64">
        <v>40731</v>
      </c>
      <c r="C12" s="60"/>
      <c r="D12" s="60" t="s">
        <v>171</v>
      </c>
      <c r="E12" s="323"/>
      <c r="F12" s="56" t="s">
        <v>423</v>
      </c>
      <c r="G12" s="56"/>
      <c r="H12" s="56" t="s">
        <v>303</v>
      </c>
      <c r="I12" s="56"/>
      <c r="J12" s="56" t="s">
        <v>296</v>
      </c>
      <c r="K12" s="323"/>
      <c r="L12" s="323"/>
      <c r="M12" s="323"/>
      <c r="N12" s="323" t="s">
        <v>81</v>
      </c>
      <c r="O12" s="323" t="s">
        <v>93</v>
      </c>
      <c r="P12" s="323"/>
      <c r="Q12" s="323"/>
      <c r="R12" s="323"/>
      <c r="S12" s="323"/>
      <c r="T12" s="323"/>
      <c r="U12" s="323"/>
      <c r="V12" s="323"/>
      <c r="W12" s="56" t="s">
        <v>425</v>
      </c>
      <c r="X12" s="64">
        <v>40821</v>
      </c>
      <c r="Y12" s="64"/>
      <c r="Z12" s="56" t="s">
        <v>426</v>
      </c>
      <c r="AA12" s="73"/>
      <c r="AB12" s="63">
        <v>40821</v>
      </c>
      <c r="AC12" s="6"/>
      <c r="AE12" s="283">
        <f ca="1">$AE$1-Table4[[#This Row],[Date Captured]]</f>
        <v>259</v>
      </c>
      <c r="AF12" s="59" t="b">
        <f>IFERROR(OR(Table4[[#This Row],[Status]]="02. Open &amp; Assigned",Table4[[#This Row],[Status]]="01. Open",Table4[[#This Row],[Status]]="03. Action/Mitigation Plan Defined",Table4[[#This Row],[Status]]="04. Action Plan Completed",Table4[[#This Row],[Status]]="08. Blank"),"")</f>
        <v>0</v>
      </c>
      <c r="AG12" s="59" t="str">
        <f>IF(Table4[[#This Row],[Required Risk Resolution Date]]="","FALSE",IF($AE$1&gt;Table4[[#This Row],[Required Risk Resolution Date]],TRUE,FALSE))</f>
        <v>FALSE</v>
      </c>
      <c r="AH12" s="58" t="b">
        <f t="shared" ca="1" si="0"/>
        <v>0</v>
      </c>
      <c r="AI12" s="58" t="b">
        <f t="shared" ca="1" si="1"/>
        <v>0</v>
      </c>
      <c r="AJ12" s="58" t="b">
        <f t="shared" ca="1" si="2"/>
        <v>1</v>
      </c>
      <c r="AK12" s="58" t="b">
        <f>OR(Table4[[#This Row],[Priority]]="Critical",Table4[[#This Row],[Priority]]="High")</f>
        <v>0</v>
      </c>
      <c r="AL12" s="283">
        <f ca="1">Table4[[#This Row],[Required Risk Resolution Date]]-$AE$1</f>
        <v>-40990</v>
      </c>
      <c r="AM12" s="58" t="b">
        <f t="shared" ca="1" si="3"/>
        <v>0</v>
      </c>
      <c r="AN12" s="59" t="b">
        <f>OR(Table4[[#This Row],[Priority]]="Critical",Table4[[#This Row],[Priority]]="High",Table4[[#This Row],[Priority]]="Moderate")</f>
        <v>0</v>
      </c>
    </row>
    <row r="13" spans="1:40" s="59" customFormat="1" ht="26.25" hidden="1" customHeight="1">
      <c r="A13" s="60" t="s">
        <v>228</v>
      </c>
      <c r="B13" s="64">
        <v>40785</v>
      </c>
      <c r="C13" s="60"/>
      <c r="D13" s="60" t="s">
        <v>171</v>
      </c>
      <c r="E13" s="323"/>
      <c r="F13" s="56" t="s">
        <v>424</v>
      </c>
      <c r="G13" s="56"/>
      <c r="H13" s="56" t="s">
        <v>303</v>
      </c>
      <c r="I13" s="56"/>
      <c r="J13" s="56" t="s">
        <v>296</v>
      </c>
      <c r="K13" s="323"/>
      <c r="L13" s="323"/>
      <c r="M13" s="323"/>
      <c r="N13" s="323" t="s">
        <v>81</v>
      </c>
      <c r="O13" s="323" t="s">
        <v>167</v>
      </c>
      <c r="P13" s="323"/>
      <c r="Q13" s="323"/>
      <c r="R13" s="323"/>
      <c r="S13" s="323"/>
      <c r="T13" s="323"/>
      <c r="U13" s="323"/>
      <c r="V13" s="323"/>
      <c r="W13" s="56" t="s">
        <v>427</v>
      </c>
      <c r="X13" s="64">
        <v>40821</v>
      </c>
      <c r="Y13" s="64"/>
      <c r="Z13" s="56" t="s">
        <v>428</v>
      </c>
      <c r="AA13" s="63"/>
      <c r="AB13" s="63">
        <v>40828</v>
      </c>
      <c r="AC13" s="6"/>
      <c r="AE13" s="283">
        <f ca="1">$AE$1-Table4[[#This Row],[Date Captured]]</f>
        <v>205</v>
      </c>
      <c r="AF13" s="59" t="b">
        <f>IFERROR(OR(Table4[[#This Row],[Status]]="02. Open &amp; Assigned",Table4[[#This Row],[Status]]="01. Open",Table4[[#This Row],[Status]]="03. Action/Mitigation Plan Defined",Table4[[#This Row],[Status]]="04. Action Plan Completed",Table4[[#This Row],[Status]]="08. Blank"),"")</f>
        <v>0</v>
      </c>
      <c r="AG13" s="59" t="str">
        <f>IF(Table4[[#This Row],[Required Risk Resolution Date]]="","FALSE",IF($AE$1&gt;Table4[[#This Row],[Required Risk Resolution Date]],TRUE,FALSE))</f>
        <v>FALSE</v>
      </c>
      <c r="AH13" s="58" t="b">
        <f t="shared" ca="1" si="0"/>
        <v>0</v>
      </c>
      <c r="AI13" s="58" t="b">
        <f t="shared" ca="1" si="1"/>
        <v>0</v>
      </c>
      <c r="AJ13" s="58" t="b">
        <f t="shared" ca="1" si="2"/>
        <v>1</v>
      </c>
      <c r="AK13" s="58" t="b">
        <f>OR(Table4[[#This Row],[Priority]]="Critical",Table4[[#This Row],[Priority]]="High")</f>
        <v>0</v>
      </c>
      <c r="AL13" s="283">
        <f ca="1">Table4[[#This Row],[Required Risk Resolution Date]]-$AE$1</f>
        <v>-40990</v>
      </c>
      <c r="AM13" s="58" t="b">
        <f t="shared" ca="1" si="3"/>
        <v>0</v>
      </c>
      <c r="AN13" s="59" t="b">
        <f>OR(Table4[[#This Row],[Priority]]="Critical",Table4[[#This Row],[Priority]]="High",Table4[[#This Row],[Priority]]="Moderate")</f>
        <v>0</v>
      </c>
    </row>
    <row r="14" spans="1:40" s="59" customFormat="1" ht="67.5" hidden="1" customHeight="1">
      <c r="A14" s="60" t="s">
        <v>229</v>
      </c>
      <c r="B14" s="64">
        <v>40785</v>
      </c>
      <c r="C14" s="60"/>
      <c r="D14" s="60" t="s">
        <v>171</v>
      </c>
      <c r="E14" s="323"/>
      <c r="F14" s="56" t="s">
        <v>429</v>
      </c>
      <c r="G14" s="56"/>
      <c r="H14" s="56" t="s">
        <v>303</v>
      </c>
      <c r="I14" s="56"/>
      <c r="J14" s="56" t="s">
        <v>296</v>
      </c>
      <c r="K14" s="323"/>
      <c r="L14" s="323"/>
      <c r="M14" s="323"/>
      <c r="N14" s="323" t="s">
        <v>81</v>
      </c>
      <c r="O14" s="323" t="s">
        <v>167</v>
      </c>
      <c r="P14" s="323"/>
      <c r="Q14" s="323"/>
      <c r="R14" s="323"/>
      <c r="S14" s="323"/>
      <c r="T14" s="323"/>
      <c r="U14" s="323"/>
      <c r="V14" s="56"/>
      <c r="W14" s="56" t="s">
        <v>431</v>
      </c>
      <c r="X14" s="64">
        <v>40821</v>
      </c>
      <c r="Y14" s="64"/>
      <c r="Z14" s="56" t="s">
        <v>428</v>
      </c>
      <c r="AA14" s="63"/>
      <c r="AB14" s="63">
        <v>40828</v>
      </c>
      <c r="AC14" s="6"/>
      <c r="AE14" s="283">
        <f ca="1">$AE$1-Table4[[#This Row],[Date Captured]]</f>
        <v>205</v>
      </c>
      <c r="AF14" s="59" t="b">
        <f>IFERROR(OR(Table4[[#This Row],[Status]]="02. Open &amp; Assigned",Table4[[#This Row],[Status]]="01. Open",Table4[[#This Row],[Status]]="03. Action/Mitigation Plan Defined",Table4[[#This Row],[Status]]="04. Action Plan Completed",Table4[[#This Row],[Status]]="08. Blank"),"")</f>
        <v>0</v>
      </c>
      <c r="AG14" s="59" t="str">
        <f>IF(Table4[[#This Row],[Required Risk Resolution Date]]="","FALSE",IF($AE$1&gt;Table4[[#This Row],[Required Risk Resolution Date]],TRUE,FALSE))</f>
        <v>FALSE</v>
      </c>
      <c r="AH14" s="58" t="b">
        <f t="shared" ca="1" si="0"/>
        <v>0</v>
      </c>
      <c r="AI14" s="58" t="b">
        <f t="shared" ca="1" si="1"/>
        <v>0</v>
      </c>
      <c r="AJ14" s="58" t="b">
        <f t="shared" ca="1" si="2"/>
        <v>1</v>
      </c>
      <c r="AK14" s="58" t="b">
        <f>OR(Table4[[#This Row],[Priority]]="Critical",Table4[[#This Row],[Priority]]="High")</f>
        <v>0</v>
      </c>
      <c r="AL14" s="283">
        <f ca="1">Table4[[#This Row],[Required Risk Resolution Date]]-$AE$1</f>
        <v>-40990</v>
      </c>
      <c r="AM14" s="58" t="b">
        <f t="shared" ca="1" si="3"/>
        <v>0</v>
      </c>
      <c r="AN14" s="59" t="b">
        <f>OR(Table4[[#This Row],[Priority]]="Critical",Table4[[#This Row],[Priority]]="High",Table4[[#This Row],[Priority]]="Moderate")</f>
        <v>0</v>
      </c>
    </row>
    <row r="15" spans="1:40" s="59" customFormat="1" ht="40.5" hidden="1">
      <c r="A15" s="60" t="s">
        <v>237</v>
      </c>
      <c r="B15" s="81">
        <v>40842</v>
      </c>
      <c r="C15" s="60"/>
      <c r="D15" s="60" t="s">
        <v>492</v>
      </c>
      <c r="E15" s="323"/>
      <c r="F15" s="56" t="s">
        <v>485</v>
      </c>
      <c r="G15" s="86">
        <v>40844</v>
      </c>
      <c r="H15" s="56" t="s">
        <v>303</v>
      </c>
      <c r="I15" s="56"/>
      <c r="J15" s="70" t="s">
        <v>486</v>
      </c>
      <c r="K15" s="323"/>
      <c r="L15" s="323"/>
      <c r="M15" s="323"/>
      <c r="N15" s="323" t="s">
        <v>83</v>
      </c>
      <c r="O15" s="323" t="s">
        <v>167</v>
      </c>
      <c r="P15" s="323"/>
      <c r="Q15" s="323"/>
      <c r="R15" s="323"/>
      <c r="S15" s="323"/>
      <c r="T15" s="70" t="s">
        <v>29</v>
      </c>
      <c r="U15" s="70"/>
      <c r="V15" s="70" t="s">
        <v>489</v>
      </c>
      <c r="W15" s="71" t="s">
        <v>490</v>
      </c>
      <c r="X15" s="81">
        <v>40842</v>
      </c>
      <c r="Y15" s="81"/>
      <c r="Z15" s="70"/>
      <c r="AA15" s="70"/>
      <c r="AB15" s="87">
        <v>40869</v>
      </c>
      <c r="AC15" s="6" t="s">
        <v>491</v>
      </c>
      <c r="AE15" s="283">
        <f ca="1">$AE$1-Table4[[#This Row],[Date Captured]]</f>
        <v>148</v>
      </c>
      <c r="AF15" s="59" t="b">
        <f>IFERROR(OR(Table4[[#This Row],[Status]]="02. Open &amp; Assigned",Table4[[#This Row],[Status]]="01. Open",Table4[[#This Row],[Status]]="03. Action/Mitigation Plan Defined",Table4[[#This Row],[Status]]="04. Action Plan Completed",Table4[[#This Row],[Status]]="08. Blank"),"")</f>
        <v>0</v>
      </c>
      <c r="AG15" s="59" t="str">
        <f>IF(Table4[[#This Row],[Required Risk Resolution Date]]="","FALSE",IF($AE$1&gt;Table4[[#This Row],[Required Risk Resolution Date]],TRUE,FALSE))</f>
        <v>FALSE</v>
      </c>
      <c r="AH15" s="58" t="b">
        <f t="shared" ca="1" si="0"/>
        <v>0</v>
      </c>
      <c r="AI15" s="58" t="b">
        <f t="shared" ca="1" si="1"/>
        <v>1</v>
      </c>
      <c r="AJ15" s="58" t="b">
        <f t="shared" ca="1" si="2"/>
        <v>0</v>
      </c>
      <c r="AK15" s="58" t="b">
        <f>OR(Table4[[#This Row],[Priority]]="Critical",Table4[[#This Row],[Priority]]="High")</f>
        <v>0</v>
      </c>
      <c r="AL15" s="283">
        <f ca="1">Table4[[#This Row],[Required Risk Resolution Date]]-$AE$1</f>
        <v>-40990</v>
      </c>
      <c r="AM15" s="58" t="b">
        <f t="shared" ca="1" si="3"/>
        <v>0</v>
      </c>
      <c r="AN15" s="59" t="b">
        <f>OR(Table4[[#This Row],[Priority]]="Critical",Table4[[#This Row],[Priority]]="High",Table4[[#This Row],[Priority]]="Moderate")</f>
        <v>0</v>
      </c>
    </row>
    <row r="16" spans="1:40" s="59" customFormat="1" ht="409.5" hidden="1">
      <c r="A16" s="60" t="s">
        <v>238</v>
      </c>
      <c r="B16" s="257">
        <v>40842</v>
      </c>
      <c r="C16" s="60" t="s">
        <v>1570</v>
      </c>
      <c r="D16" s="60" t="s">
        <v>171</v>
      </c>
      <c r="E16" s="323" t="s">
        <v>1626</v>
      </c>
      <c r="F16" s="323" t="s">
        <v>493</v>
      </c>
      <c r="G16" s="218" t="s">
        <v>1606</v>
      </c>
      <c r="H16" s="323" t="s">
        <v>303</v>
      </c>
      <c r="I16" s="323"/>
      <c r="J16" s="323" t="s">
        <v>494</v>
      </c>
      <c r="K16" s="323" t="s">
        <v>296</v>
      </c>
      <c r="L16" s="6" t="s">
        <v>127</v>
      </c>
      <c r="M16" s="6" t="s">
        <v>1489</v>
      </c>
      <c r="N16" s="323" t="s">
        <v>81</v>
      </c>
      <c r="O16" s="323" t="s">
        <v>91</v>
      </c>
      <c r="P16" s="323" t="s">
        <v>91</v>
      </c>
      <c r="Q16" s="323" t="s">
        <v>94</v>
      </c>
      <c r="R16" s="323" t="s">
        <v>167</v>
      </c>
      <c r="S16" s="323" t="s">
        <v>1607</v>
      </c>
      <c r="T16" s="188" t="s">
        <v>29</v>
      </c>
      <c r="U16" s="188" t="s">
        <v>1928</v>
      </c>
      <c r="V16" s="323" t="s">
        <v>1691</v>
      </c>
      <c r="W16" s="324" t="s">
        <v>2562</v>
      </c>
      <c r="X16" s="55">
        <v>40968</v>
      </c>
      <c r="Y16" s="323" t="s">
        <v>1571</v>
      </c>
      <c r="Z16" s="323"/>
      <c r="AA16" s="162">
        <v>40954</v>
      </c>
      <c r="AB16" s="323"/>
      <c r="AC16" s="6"/>
      <c r="AE16" s="283">
        <f ca="1">$AE$1-Table4[[#This Row],[Date Captured]]</f>
        <v>148</v>
      </c>
      <c r="AF16" s="59" t="b">
        <f>IFERROR(OR(Table4[[#This Row],[Status]]="02. Open &amp; Assigned",Table4[[#This Row],[Status]]="01. Open",Table4[[#This Row],[Status]]="03. Action/Mitigation Plan Defined",Table4[[#This Row],[Status]]="04. Action Plan Completed",Table4[[#This Row],[Status]]="08. Blank"),"")</f>
        <v>0</v>
      </c>
      <c r="AG16" s="59" t="b">
        <f ca="1">IF(Table4[[#This Row],[Required Risk Resolution Date]]="","FALSE",IF($AE$1&gt;Table4[[#This Row],[Required Risk Resolution Date]],TRUE,FALSE))</f>
        <v>1</v>
      </c>
      <c r="AH16" s="58" t="b">
        <f t="shared" ca="1" si="0"/>
        <v>0</v>
      </c>
      <c r="AI16" s="58" t="b">
        <f t="shared" ca="1" si="1"/>
        <v>1</v>
      </c>
      <c r="AJ16" s="58" t="b">
        <f t="shared" ca="1" si="2"/>
        <v>0</v>
      </c>
      <c r="AK16" s="58" t="b">
        <f>OR(Table4[[#This Row],[Priority]]="Critical",Table4[[#This Row],[Priority]]="High")</f>
        <v>1</v>
      </c>
      <c r="AL16" s="283">
        <f ca="1">Table4[[#This Row],[Required Risk Resolution Date]]-$AE$1</f>
        <v>-36</v>
      </c>
      <c r="AM16" s="58" t="b">
        <f t="shared" ca="1" si="3"/>
        <v>0</v>
      </c>
      <c r="AN16" s="59" t="b">
        <f>OR(Table4[[#This Row],[Priority]]="Critical",Table4[[#This Row],[Priority]]="High",Table4[[#This Row],[Priority]]="Moderate")</f>
        <v>1</v>
      </c>
    </row>
    <row r="17" spans="1:40" ht="135.75" hidden="1" customHeight="1">
      <c r="A17" s="60" t="s">
        <v>245</v>
      </c>
      <c r="B17" s="64">
        <v>40848</v>
      </c>
      <c r="C17" s="60" t="s">
        <v>1570</v>
      </c>
      <c r="D17" s="60" t="s">
        <v>171</v>
      </c>
      <c r="E17" s="323"/>
      <c r="F17" s="56" t="s">
        <v>512</v>
      </c>
      <c r="G17" s="75"/>
      <c r="H17" s="56" t="s">
        <v>303</v>
      </c>
      <c r="I17" s="56"/>
      <c r="J17" s="56" t="s">
        <v>296</v>
      </c>
      <c r="K17" s="323"/>
      <c r="L17" s="323" t="s">
        <v>128</v>
      </c>
      <c r="M17" s="323"/>
      <c r="N17" s="323" t="s">
        <v>83</v>
      </c>
      <c r="O17" s="323" t="s">
        <v>93</v>
      </c>
      <c r="P17" s="323"/>
      <c r="Q17" s="323"/>
      <c r="R17" s="323"/>
      <c r="S17" s="323"/>
      <c r="T17" s="56" t="s">
        <v>29</v>
      </c>
      <c r="U17" s="56"/>
      <c r="V17" s="56" t="s">
        <v>517</v>
      </c>
      <c r="W17" s="56" t="s">
        <v>1627</v>
      </c>
      <c r="X17" s="55">
        <v>40898</v>
      </c>
      <c r="Y17" s="323"/>
      <c r="Z17" s="323" t="s">
        <v>1625</v>
      </c>
      <c r="AA17" s="323"/>
      <c r="AB17" s="55">
        <v>40918</v>
      </c>
      <c r="AC17" s="6" t="s">
        <v>204</v>
      </c>
      <c r="AE17" s="283">
        <f ca="1">$AE$1-Table4[[#This Row],[Date Captured]]</f>
        <v>142</v>
      </c>
      <c r="AF17" s="58" t="b">
        <f>IFERROR(OR(Table4[[#This Row],[Status]]="02. Open &amp; Assigned",Table4[[#This Row],[Status]]="01. Open",Table4[[#This Row],[Status]]="03. Action/Mitigation Plan Defined",Table4[[#This Row],[Status]]="04. Action Plan Completed",Table4[[#This Row],[Status]]="08. Blank"),"")</f>
        <v>0</v>
      </c>
      <c r="AG17" s="58" t="str">
        <f>IF(Table4[[#This Row],[Required Risk Resolution Date]]="","FALSE",IF($AE$1&gt;Table4[[#This Row],[Required Risk Resolution Date]],TRUE,FALSE))</f>
        <v>FALSE</v>
      </c>
      <c r="AH17" s="58" t="b">
        <f t="shared" ca="1" si="0"/>
        <v>0</v>
      </c>
      <c r="AI17" s="58" t="b">
        <f t="shared" ca="1" si="1"/>
        <v>1</v>
      </c>
      <c r="AJ17" s="58" t="b">
        <f t="shared" ca="1" si="2"/>
        <v>0</v>
      </c>
      <c r="AK17" s="58" t="b">
        <f>OR(Table4[[#This Row],[Priority]]="Critical",Table4[[#This Row],[Priority]]="High")</f>
        <v>1</v>
      </c>
      <c r="AL17" s="283">
        <f ca="1">Table4[[#This Row],[Required Risk Resolution Date]]-$AE$1</f>
        <v>-40990</v>
      </c>
      <c r="AM17" s="58" t="b">
        <f t="shared" ca="1" si="3"/>
        <v>0</v>
      </c>
      <c r="AN17" s="59" t="b">
        <f>OR(Table4[[#This Row],[Priority]]="Critical",Table4[[#This Row],[Priority]]="High",Table4[[#This Row],[Priority]]="Moderate")</f>
        <v>1</v>
      </c>
    </row>
    <row r="18" spans="1:40" s="59" customFormat="1" ht="229.5" hidden="1">
      <c r="A18" s="60" t="s">
        <v>518</v>
      </c>
      <c r="B18" s="258">
        <v>40869</v>
      </c>
      <c r="C18" s="60" t="s">
        <v>1570</v>
      </c>
      <c r="D18" s="60" t="s">
        <v>171</v>
      </c>
      <c r="E18" s="323" t="s">
        <v>1608</v>
      </c>
      <c r="F18" s="323" t="s">
        <v>526</v>
      </c>
      <c r="G18" s="323" t="s">
        <v>527</v>
      </c>
      <c r="H18" s="323" t="s">
        <v>303</v>
      </c>
      <c r="I18" s="323"/>
      <c r="J18" s="323" t="s">
        <v>296</v>
      </c>
      <c r="K18" s="323" t="s">
        <v>1601</v>
      </c>
      <c r="L18" s="6" t="s">
        <v>129</v>
      </c>
      <c r="M18" s="6" t="s">
        <v>1489</v>
      </c>
      <c r="N18" s="323" t="s">
        <v>83</v>
      </c>
      <c r="O18" s="323" t="s">
        <v>167</v>
      </c>
      <c r="P18" s="323" t="s">
        <v>91</v>
      </c>
      <c r="Q18" s="323" t="s">
        <v>167</v>
      </c>
      <c r="R18" s="323" t="s">
        <v>167</v>
      </c>
      <c r="S18" s="323" t="s">
        <v>1609</v>
      </c>
      <c r="T18" s="323" t="s">
        <v>29</v>
      </c>
      <c r="U18" s="323" t="s">
        <v>2081</v>
      </c>
      <c r="V18" s="323" t="s">
        <v>1929</v>
      </c>
      <c r="W18" s="323" t="s">
        <v>2559</v>
      </c>
      <c r="X18" s="162">
        <v>40975</v>
      </c>
      <c r="Y18" s="323" t="s">
        <v>1565</v>
      </c>
      <c r="Z18" s="323"/>
      <c r="AA18" s="162">
        <v>40954</v>
      </c>
      <c r="AB18" s="323"/>
      <c r="AC18" s="6"/>
      <c r="AE18" s="283">
        <f ca="1">$AE$1-Table4[[#This Row],[Date Captured]]</f>
        <v>121</v>
      </c>
      <c r="AF18" s="59" t="b">
        <f>IFERROR(OR(Table4[[#This Row],[Status]]="02. Open &amp; Assigned",Table4[[#This Row],[Status]]="01. Open",Table4[[#This Row],[Status]]="03. Action/Mitigation Plan Defined",Table4[[#This Row],[Status]]="04. Action Plan Completed",Table4[[#This Row],[Status]]="08. Blank"),"")</f>
        <v>0</v>
      </c>
      <c r="AG18" s="59" t="b">
        <f ca="1">IF(Table4[[#This Row],[Required Risk Resolution Date]]="","FALSE",IF($AE$1&gt;Table4[[#This Row],[Required Risk Resolution Date]],TRUE,FALSE))</f>
        <v>1</v>
      </c>
      <c r="AH18" s="58" t="b">
        <f t="shared" ca="1" si="0"/>
        <v>0</v>
      </c>
      <c r="AI18" s="58" t="b">
        <f t="shared" ca="1" si="1"/>
        <v>1</v>
      </c>
      <c r="AJ18" s="58" t="b">
        <f t="shared" ca="1" si="2"/>
        <v>0</v>
      </c>
      <c r="AK18" s="58" t="b">
        <f>OR(Table4[[#This Row],[Priority]]="Critical",Table4[[#This Row],[Priority]]="High")</f>
        <v>0</v>
      </c>
      <c r="AL18" s="283">
        <f ca="1">Table4[[#This Row],[Required Risk Resolution Date]]-$AE$1</f>
        <v>-36</v>
      </c>
      <c r="AM18" s="58" t="b">
        <f t="shared" ca="1" si="3"/>
        <v>0</v>
      </c>
      <c r="AN18" s="59" t="b">
        <f>OR(Table4[[#This Row],[Priority]]="Critical",Table4[[#This Row],[Priority]]="High",Table4[[#This Row],[Priority]]="Moderate")</f>
        <v>1</v>
      </c>
    </row>
    <row r="19" spans="1:40" s="59" customFormat="1" ht="81.75" hidden="1" customHeight="1">
      <c r="A19" s="60" t="s">
        <v>256</v>
      </c>
      <c r="B19" s="61">
        <v>40918</v>
      </c>
      <c r="C19" s="60" t="s">
        <v>296</v>
      </c>
      <c r="D19" s="60" t="s">
        <v>492</v>
      </c>
      <c r="E19" s="323" t="s">
        <v>1610</v>
      </c>
      <c r="F19" s="323" t="s">
        <v>1628</v>
      </c>
      <c r="G19" s="323" t="s">
        <v>1611</v>
      </c>
      <c r="H19" s="56" t="s">
        <v>303</v>
      </c>
      <c r="I19" s="56"/>
      <c r="J19" s="323" t="s">
        <v>296</v>
      </c>
      <c r="K19" s="323" t="s">
        <v>1680</v>
      </c>
      <c r="L19" s="6" t="s">
        <v>128</v>
      </c>
      <c r="M19" s="6" t="s">
        <v>1489</v>
      </c>
      <c r="N19" s="323" t="s">
        <v>79</v>
      </c>
      <c r="O19" s="323" t="s">
        <v>91</v>
      </c>
      <c r="P19" s="323" t="s">
        <v>91</v>
      </c>
      <c r="Q19" s="323" t="s">
        <v>93</v>
      </c>
      <c r="R19" s="323" t="s">
        <v>93</v>
      </c>
      <c r="S19" s="323" t="s">
        <v>1631</v>
      </c>
      <c r="T19" s="323" t="s">
        <v>29</v>
      </c>
      <c r="U19" s="323"/>
      <c r="V19" s="323" t="s">
        <v>1612</v>
      </c>
      <c r="W19" s="323" t="s">
        <v>1747</v>
      </c>
      <c r="X19" s="55">
        <v>40933</v>
      </c>
      <c r="Y19" s="323" t="s">
        <v>1565</v>
      </c>
      <c r="Z19" s="323" t="s">
        <v>1765</v>
      </c>
      <c r="AA19" s="162">
        <v>40939</v>
      </c>
      <c r="AB19" s="55">
        <v>40933</v>
      </c>
      <c r="AC19" s="6" t="s">
        <v>846</v>
      </c>
      <c r="AE19" s="283">
        <f ca="1">$AE$1-Table4[[#This Row],[Date Captured]]</f>
        <v>72</v>
      </c>
      <c r="AF19" s="59" t="b">
        <f>IFERROR(OR(Table4[[#This Row],[Status]]="02. Open &amp; Assigned",Table4[[#This Row],[Status]]="01. Open",Table4[[#This Row],[Status]]="03. Action/Mitigation Plan Defined",Table4[[#This Row],[Status]]="04. Action Plan Completed",Table4[[#This Row],[Status]]="08. Blank"),"")</f>
        <v>0</v>
      </c>
      <c r="AG19" s="59" t="b">
        <f ca="1">IF(Table4[[#This Row],[Required Risk Resolution Date]]="","FALSE",IF($AE$1&gt;Table4[[#This Row],[Required Risk Resolution Date]],TRUE,FALSE))</f>
        <v>1</v>
      </c>
      <c r="AH19" s="58" t="b">
        <f t="shared" ca="1" si="0"/>
        <v>1</v>
      </c>
      <c r="AI19" s="58" t="b">
        <f t="shared" ca="1" si="1"/>
        <v>0</v>
      </c>
      <c r="AJ19" s="58" t="b">
        <f t="shared" ca="1" si="2"/>
        <v>0</v>
      </c>
      <c r="AK19" s="58" t="b">
        <f>OR(Table4[[#This Row],[Priority]]="Critical",Table4[[#This Row],[Priority]]="High")</f>
        <v>1</v>
      </c>
      <c r="AL19" s="283">
        <f ca="1">Table4[[#This Row],[Required Risk Resolution Date]]-$AE$1</f>
        <v>-51</v>
      </c>
      <c r="AM19" s="58" t="b">
        <f t="shared" ca="1" si="3"/>
        <v>0</v>
      </c>
      <c r="AN19" s="59" t="b">
        <f>OR(Table4[[#This Row],[Priority]]="Critical",Table4[[#This Row],[Priority]]="High",Table4[[#This Row],[Priority]]="Moderate")</f>
        <v>1</v>
      </c>
    </row>
    <row r="20" spans="1:40" s="59" customFormat="1" ht="154.5" customHeight="1">
      <c r="A20" s="60" t="s">
        <v>257</v>
      </c>
      <c r="B20" s="61">
        <v>40918</v>
      </c>
      <c r="C20" s="60" t="s">
        <v>296</v>
      </c>
      <c r="D20" s="60" t="s">
        <v>1566</v>
      </c>
      <c r="E20" s="323" t="s">
        <v>2572</v>
      </c>
      <c r="F20" s="323" t="s">
        <v>1629</v>
      </c>
      <c r="G20" s="323" t="s">
        <v>1613</v>
      </c>
      <c r="H20" s="323" t="s">
        <v>303</v>
      </c>
      <c r="I20" s="323"/>
      <c r="J20" s="323" t="s">
        <v>296</v>
      </c>
      <c r="K20" s="6" t="s">
        <v>2300</v>
      </c>
      <c r="L20" s="6" t="s">
        <v>129</v>
      </c>
      <c r="M20" s="6" t="s">
        <v>1489</v>
      </c>
      <c r="N20" s="6" t="s">
        <v>79</v>
      </c>
      <c r="O20" s="6" t="s">
        <v>91</v>
      </c>
      <c r="P20" s="6" t="s">
        <v>91</v>
      </c>
      <c r="Q20" s="6" t="s">
        <v>93</v>
      </c>
      <c r="R20" s="6" t="s">
        <v>91</v>
      </c>
      <c r="S20" s="6" t="s">
        <v>1630</v>
      </c>
      <c r="T20" s="6" t="s">
        <v>29</v>
      </c>
      <c r="U20" s="323" t="s">
        <v>1930</v>
      </c>
      <c r="V20" s="323" t="s">
        <v>1614</v>
      </c>
      <c r="W20" s="323" t="s">
        <v>2560</v>
      </c>
      <c r="X20" s="55">
        <v>40991</v>
      </c>
      <c r="Y20" s="323" t="s">
        <v>1565</v>
      </c>
      <c r="Z20" s="323"/>
      <c r="AA20" s="162">
        <v>40998</v>
      </c>
      <c r="AB20" s="323"/>
      <c r="AC20" s="6"/>
      <c r="AE20" s="283">
        <f ca="1">$AE$1-Table4[[#This Row],[Date Captured]]</f>
        <v>72</v>
      </c>
      <c r="AF20" s="59" t="b">
        <f>IFERROR(OR(Table4[[#This Row],[Status]]="02. Open &amp; Assigned",Table4[[#This Row],[Status]]="01. Open",Table4[[#This Row],[Status]]="03. Action/Mitigation Plan Defined",Table4[[#This Row],[Status]]="04. Action Plan Completed",Table4[[#This Row],[Status]]="08. Blank"),"")</f>
        <v>1</v>
      </c>
      <c r="AG20" s="59" t="b">
        <f ca="1">IF(Table4[[#This Row],[Required Risk Resolution Date]]="","FALSE",IF($AE$1&gt;Table4[[#This Row],[Required Risk Resolution Date]],TRUE,FALSE))</f>
        <v>0</v>
      </c>
      <c r="AH20" s="58" t="b">
        <f t="shared" ca="1" si="0"/>
        <v>1</v>
      </c>
      <c r="AI20" s="58" t="b">
        <f t="shared" ca="1" si="1"/>
        <v>0</v>
      </c>
      <c r="AJ20" s="58" t="b">
        <f t="shared" ca="1" si="2"/>
        <v>0</v>
      </c>
      <c r="AK20" s="58" t="b">
        <f>OR(Table4[[#This Row],[Priority]]="Critical",Table4[[#This Row],[Priority]]="High")</f>
        <v>0</v>
      </c>
      <c r="AL20" s="283">
        <f ca="1">Table4[[#This Row],[Required Risk Resolution Date]]-$AE$1</f>
        <v>8</v>
      </c>
      <c r="AM20" s="58" t="b">
        <f t="shared" ca="1" si="3"/>
        <v>0</v>
      </c>
      <c r="AN20" s="59" t="b">
        <f>OR(Table4[[#This Row],[Priority]]="Critical",Table4[[#This Row],[Priority]]="High",Table4[[#This Row],[Priority]]="Moderate")</f>
        <v>1</v>
      </c>
    </row>
    <row r="21" spans="1:40" s="59" customFormat="1" ht="184.5" hidden="1" customHeight="1">
      <c r="A21" s="60" t="s">
        <v>579</v>
      </c>
      <c r="B21" s="61">
        <v>40940</v>
      </c>
      <c r="C21" s="60" t="s">
        <v>296</v>
      </c>
      <c r="D21" s="60" t="s">
        <v>171</v>
      </c>
      <c r="E21" s="6" t="s">
        <v>1864</v>
      </c>
      <c r="F21" s="323" t="s">
        <v>1863</v>
      </c>
      <c r="G21" s="323" t="s">
        <v>1865</v>
      </c>
      <c r="H21" s="323" t="s">
        <v>303</v>
      </c>
      <c r="I21" s="323"/>
      <c r="J21" s="323" t="s">
        <v>835</v>
      </c>
      <c r="K21" s="323" t="s">
        <v>1601</v>
      </c>
      <c r="L21" s="323" t="s">
        <v>129</v>
      </c>
      <c r="M21" s="323" t="s">
        <v>1489</v>
      </c>
      <c r="N21" s="323" t="s">
        <v>81</v>
      </c>
      <c r="O21" s="323" t="s">
        <v>91</v>
      </c>
      <c r="P21" s="323" t="s">
        <v>91</v>
      </c>
      <c r="Q21" s="323" t="s">
        <v>93</v>
      </c>
      <c r="R21" s="323" t="s">
        <v>167</v>
      </c>
      <c r="S21" s="323" t="s">
        <v>1866</v>
      </c>
      <c r="T21" s="323" t="s">
        <v>29</v>
      </c>
      <c r="U21" s="323" t="s">
        <v>1931</v>
      </c>
      <c r="V21" s="323" t="s">
        <v>1867</v>
      </c>
      <c r="W21" s="323" t="s">
        <v>2561</v>
      </c>
      <c r="X21" s="218">
        <v>40975</v>
      </c>
      <c r="Y21" s="323" t="s">
        <v>1565</v>
      </c>
      <c r="Z21" s="197"/>
      <c r="AA21" s="162">
        <v>40956</v>
      </c>
      <c r="AB21" s="323"/>
      <c r="AC21" s="6"/>
      <c r="AE21" s="283">
        <f ca="1">$AE$1-Table4[[#This Row],[Date Captured]]</f>
        <v>50</v>
      </c>
      <c r="AF21" s="59" t="b">
        <f>IFERROR(OR(Table4[[#This Row],[Status]]="02. Open &amp; Assigned",Table4[[#This Row],[Status]]="01. Open",Table4[[#This Row],[Status]]="03. Action/Mitigation Plan Defined",Table4[[#This Row],[Status]]="04. Action Plan Completed",Table4[[#This Row],[Status]]="08. Blank"),"")</f>
        <v>0</v>
      </c>
      <c r="AG21" s="59" t="b">
        <f ca="1">IF(Table4[[#This Row],[Required Risk Resolution Date]]="","FALSE",IF($AE$1&gt;Table4[[#This Row],[Required Risk Resolution Date]],TRUE,FALSE))</f>
        <v>1</v>
      </c>
      <c r="AH21" s="58" t="b">
        <f t="shared" ca="1" si="0"/>
        <v>1</v>
      </c>
      <c r="AI21" s="58" t="b">
        <f t="shared" ca="1" si="1"/>
        <v>0</v>
      </c>
      <c r="AJ21" s="58" t="b">
        <f t="shared" ca="1" si="2"/>
        <v>0</v>
      </c>
      <c r="AK21" s="58" t="b">
        <f>OR(Table4[[#This Row],[Priority]]="Critical",Table4[[#This Row],[Priority]]="High")</f>
        <v>0</v>
      </c>
      <c r="AL21" s="283">
        <f ca="1">Table4[[#This Row],[Required Risk Resolution Date]]-$AE$1</f>
        <v>-34</v>
      </c>
      <c r="AM21" s="58" t="b">
        <f t="shared" ca="1" si="3"/>
        <v>0</v>
      </c>
      <c r="AN21" s="59" t="b">
        <f>OR(Table4[[#This Row],[Priority]]="Critical",Table4[[#This Row],[Priority]]="High",Table4[[#This Row],[Priority]]="Moderate")</f>
        <v>1</v>
      </c>
    </row>
    <row r="22" spans="1:40" s="59" customFormat="1" ht="168" hidden="1">
      <c r="A22" s="60" t="s">
        <v>232</v>
      </c>
      <c r="B22" s="64">
        <v>40743</v>
      </c>
      <c r="C22" s="60"/>
      <c r="D22" s="60" t="s">
        <v>171</v>
      </c>
      <c r="E22" s="323"/>
      <c r="F22" s="56" t="s">
        <v>437</v>
      </c>
      <c r="G22" s="73"/>
      <c r="H22" s="56" t="s">
        <v>148</v>
      </c>
      <c r="I22" s="56"/>
      <c r="J22" s="73" t="s">
        <v>438</v>
      </c>
      <c r="K22" s="323"/>
      <c r="L22" s="323"/>
      <c r="M22" s="323"/>
      <c r="N22" s="323" t="s">
        <v>81</v>
      </c>
      <c r="O22" s="323" t="s">
        <v>93</v>
      </c>
      <c r="P22" s="323"/>
      <c r="Q22" s="323"/>
      <c r="R22" s="323"/>
      <c r="S22" s="323"/>
      <c r="T22" s="56" t="s">
        <v>29</v>
      </c>
      <c r="U22" s="56"/>
      <c r="V22" s="56" t="s">
        <v>441</v>
      </c>
      <c r="W22" s="56" t="s">
        <v>1508</v>
      </c>
      <c r="X22" s="64">
        <v>40919</v>
      </c>
      <c r="Y22" s="64"/>
      <c r="Z22" s="56"/>
      <c r="AA22" s="56"/>
      <c r="AB22" s="67">
        <v>40835</v>
      </c>
      <c r="AC22" s="6"/>
      <c r="AE22" s="283">
        <f ca="1">$AE$1-Table4[[#This Row],[Date Captured]]</f>
        <v>247</v>
      </c>
      <c r="AF22" s="59" t="b">
        <f>IFERROR(OR(Table4[[#This Row],[Status]]="02. Open &amp; Assigned",Table4[[#This Row],[Status]]="01. Open",Table4[[#This Row],[Status]]="03. Action/Mitigation Plan Defined",Table4[[#This Row],[Status]]="04. Action Plan Completed",Table4[[#This Row],[Status]]="08. Blank"),"")</f>
        <v>0</v>
      </c>
      <c r="AG22" s="59" t="str">
        <f>IF(Table4[[#This Row],[Required Risk Resolution Date]]="","FALSE",IF($AE$1&gt;Table4[[#This Row],[Required Risk Resolution Date]],TRUE,FALSE))</f>
        <v>FALSE</v>
      </c>
      <c r="AH22" s="58" t="b">
        <f t="shared" ca="1" si="0"/>
        <v>0</v>
      </c>
      <c r="AI22" s="58" t="b">
        <f t="shared" ca="1" si="1"/>
        <v>0</v>
      </c>
      <c r="AJ22" s="58" t="b">
        <f t="shared" ca="1" si="2"/>
        <v>1</v>
      </c>
      <c r="AK22" s="58" t="b">
        <f>OR(Table4[[#This Row],[Priority]]="Critical",Table4[[#This Row],[Priority]]="High")</f>
        <v>0</v>
      </c>
      <c r="AL22" s="283">
        <f ca="1">Table4[[#This Row],[Required Risk Resolution Date]]-$AE$1</f>
        <v>-40990</v>
      </c>
      <c r="AM22" s="58" t="b">
        <f t="shared" ca="1" si="3"/>
        <v>0</v>
      </c>
      <c r="AN22" s="59" t="b">
        <f>OR(Table4[[#This Row],[Priority]]="Critical",Table4[[#This Row],[Priority]]="High",Table4[[#This Row],[Priority]]="Moderate")</f>
        <v>0</v>
      </c>
    </row>
    <row r="23" spans="1:40" s="59" customFormat="1" ht="180.75" hidden="1" customHeight="1">
      <c r="A23" s="60" t="s">
        <v>233</v>
      </c>
      <c r="B23" s="258">
        <v>40786</v>
      </c>
      <c r="C23" s="60" t="s">
        <v>1570</v>
      </c>
      <c r="D23" s="60" t="s">
        <v>171</v>
      </c>
      <c r="E23" s="323" t="s">
        <v>1578</v>
      </c>
      <c r="F23" s="323" t="s">
        <v>443</v>
      </c>
      <c r="G23" s="323" t="s">
        <v>1580</v>
      </c>
      <c r="H23" s="323" t="s">
        <v>148</v>
      </c>
      <c r="I23" s="323"/>
      <c r="J23" s="323" t="s">
        <v>445</v>
      </c>
      <c r="K23" s="323" t="s">
        <v>445</v>
      </c>
      <c r="L23" s="323" t="s">
        <v>129</v>
      </c>
      <c r="M23" s="323" t="s">
        <v>1489</v>
      </c>
      <c r="N23" s="323" t="s">
        <v>83</v>
      </c>
      <c r="O23" s="323" t="s">
        <v>91</v>
      </c>
      <c r="P23" s="323" t="s">
        <v>93</v>
      </c>
      <c r="Q23" s="323" t="s">
        <v>93</v>
      </c>
      <c r="R23" s="323" t="s">
        <v>167</v>
      </c>
      <c r="S23" s="323" t="s">
        <v>1581</v>
      </c>
      <c r="T23" s="323" t="s">
        <v>1573</v>
      </c>
      <c r="U23" s="323" t="s">
        <v>447</v>
      </c>
      <c r="V23" s="323" t="s">
        <v>1897</v>
      </c>
      <c r="W23" s="323" t="s">
        <v>1937</v>
      </c>
      <c r="X23" s="55">
        <v>40940</v>
      </c>
      <c r="Y23" s="323" t="s">
        <v>1582</v>
      </c>
      <c r="Z23" s="323" t="s">
        <v>1502</v>
      </c>
      <c r="AA23" s="162">
        <v>40908</v>
      </c>
      <c r="AB23" s="55"/>
      <c r="AC23" s="6"/>
      <c r="AE23" s="283">
        <f ca="1">$AE$1-Table4[[#This Row],[Date Captured]]</f>
        <v>204</v>
      </c>
      <c r="AF23" s="59" t="b">
        <f>IFERROR(OR(Table4[[#This Row],[Status]]="02. Open &amp; Assigned",Table4[[#This Row],[Status]]="01. Open",Table4[[#This Row],[Status]]="03. Action/Mitigation Plan Defined",Table4[[#This Row],[Status]]="04. Action Plan Completed",Table4[[#This Row],[Status]]="08. Blank"),"")</f>
        <v>0</v>
      </c>
      <c r="AG23" s="59" t="b">
        <f ca="1">IF(Table4[[#This Row],[Required Risk Resolution Date]]="","FALSE",IF($AE$1&gt;Table4[[#This Row],[Required Risk Resolution Date]],TRUE,FALSE))</f>
        <v>1</v>
      </c>
      <c r="AH23" s="58" t="b">
        <f t="shared" ca="1" si="0"/>
        <v>0</v>
      </c>
      <c r="AI23" s="58" t="b">
        <f t="shared" ca="1" si="1"/>
        <v>0</v>
      </c>
      <c r="AJ23" s="58" t="b">
        <f t="shared" ca="1" si="2"/>
        <v>1</v>
      </c>
      <c r="AK23" s="58" t="b">
        <f>OR(Table4[[#This Row],[Priority]]="Critical",Table4[[#This Row],[Priority]]="High")</f>
        <v>0</v>
      </c>
      <c r="AL23" s="283">
        <f ca="1">Table4[[#This Row],[Required Risk Resolution Date]]-$AE$1</f>
        <v>-82</v>
      </c>
      <c r="AM23" s="58" t="b">
        <f t="shared" ca="1" si="3"/>
        <v>0</v>
      </c>
      <c r="AN23" s="59" t="b">
        <f>OR(Table4[[#This Row],[Priority]]="Critical",Table4[[#This Row],[Priority]]="High",Table4[[#This Row],[Priority]]="Moderate")</f>
        <v>1</v>
      </c>
    </row>
    <row r="24" spans="1:40" s="59" customFormat="1" ht="121.5" hidden="1" customHeight="1">
      <c r="A24" s="60" t="s">
        <v>234</v>
      </c>
      <c r="B24" s="64">
        <v>40743</v>
      </c>
      <c r="C24" s="60"/>
      <c r="D24" s="60" t="s">
        <v>171</v>
      </c>
      <c r="E24" s="323"/>
      <c r="F24" s="56" t="s">
        <v>452</v>
      </c>
      <c r="G24" s="56"/>
      <c r="H24" s="56" t="s">
        <v>148</v>
      </c>
      <c r="I24" s="56"/>
      <c r="J24" s="56" t="s">
        <v>438</v>
      </c>
      <c r="K24" s="323"/>
      <c r="L24" s="323"/>
      <c r="M24" s="323"/>
      <c r="N24" s="323" t="s">
        <v>81</v>
      </c>
      <c r="O24" s="323" t="s">
        <v>93</v>
      </c>
      <c r="P24" s="323"/>
      <c r="Q24" s="323"/>
      <c r="R24" s="323"/>
      <c r="S24" s="323"/>
      <c r="T24" s="56" t="s">
        <v>29</v>
      </c>
      <c r="U24" s="56"/>
      <c r="V24" s="56" t="s">
        <v>455</v>
      </c>
      <c r="W24" s="56" t="s">
        <v>1480</v>
      </c>
      <c r="X24" s="72">
        <v>40849</v>
      </c>
      <c r="Y24" s="72"/>
      <c r="Z24" s="56"/>
      <c r="AA24" s="56"/>
      <c r="AB24" s="67">
        <v>40849</v>
      </c>
      <c r="AC24" s="6"/>
      <c r="AE24" s="283">
        <f ca="1">$AE$1-Table4[[#This Row],[Date Captured]]</f>
        <v>247</v>
      </c>
      <c r="AF24" s="59" t="b">
        <f>IFERROR(OR(Table4[[#This Row],[Status]]="02. Open &amp; Assigned",Table4[[#This Row],[Status]]="01. Open",Table4[[#This Row],[Status]]="03. Action/Mitigation Plan Defined",Table4[[#This Row],[Status]]="04. Action Plan Completed",Table4[[#This Row],[Status]]="08. Blank"),"")</f>
        <v>0</v>
      </c>
      <c r="AG24" s="59" t="str">
        <f>IF(Table4[[#This Row],[Required Risk Resolution Date]]="","FALSE",IF($AE$1&gt;Table4[[#This Row],[Required Risk Resolution Date]],TRUE,FALSE))</f>
        <v>FALSE</v>
      </c>
      <c r="AH24" s="58" t="b">
        <f t="shared" ca="1" si="0"/>
        <v>0</v>
      </c>
      <c r="AI24" s="58" t="b">
        <f t="shared" ca="1" si="1"/>
        <v>0</v>
      </c>
      <c r="AJ24" s="58" t="b">
        <f t="shared" ca="1" si="2"/>
        <v>1</v>
      </c>
      <c r="AK24" s="58" t="b">
        <f>OR(Table4[[#This Row],[Priority]]="Critical",Table4[[#This Row],[Priority]]="High")</f>
        <v>0</v>
      </c>
      <c r="AL24" s="283">
        <f ca="1">Table4[[#This Row],[Required Risk Resolution Date]]-$AE$1</f>
        <v>-40990</v>
      </c>
      <c r="AM24" s="58" t="b">
        <f t="shared" ca="1" si="3"/>
        <v>0</v>
      </c>
      <c r="AN24" s="59" t="b">
        <f>OR(Table4[[#This Row],[Priority]]="Critical",Table4[[#This Row],[Priority]]="High",Table4[[#This Row],[Priority]]="Moderate")</f>
        <v>0</v>
      </c>
    </row>
    <row r="25" spans="1:40" s="59" customFormat="1" ht="336" hidden="1">
      <c r="A25" s="60" t="s">
        <v>235</v>
      </c>
      <c r="B25" s="64">
        <v>40743</v>
      </c>
      <c r="C25" s="60"/>
      <c r="D25" s="60" t="s">
        <v>171</v>
      </c>
      <c r="E25" s="323"/>
      <c r="F25" s="56" t="s">
        <v>453</v>
      </c>
      <c r="G25" s="56"/>
      <c r="H25" s="56" t="s">
        <v>148</v>
      </c>
      <c r="I25" s="56"/>
      <c r="J25" s="56" t="s">
        <v>454</v>
      </c>
      <c r="K25" s="323"/>
      <c r="L25" s="323"/>
      <c r="M25" s="323"/>
      <c r="N25" s="323" t="s">
        <v>81</v>
      </c>
      <c r="O25" s="323" t="s">
        <v>93</v>
      </c>
      <c r="P25" s="323"/>
      <c r="Q25" s="323"/>
      <c r="R25" s="323"/>
      <c r="S25" s="6"/>
      <c r="T25" s="56" t="s">
        <v>29</v>
      </c>
      <c r="U25" s="56" t="s">
        <v>456</v>
      </c>
      <c r="V25" s="56" t="s">
        <v>457</v>
      </c>
      <c r="W25" s="56" t="s">
        <v>1481</v>
      </c>
      <c r="X25" s="72">
        <v>40854</v>
      </c>
      <c r="Y25" s="74"/>
      <c r="Z25" s="56"/>
      <c r="AA25" s="56"/>
      <c r="AB25" s="75">
        <v>40854</v>
      </c>
      <c r="AC25" s="6"/>
      <c r="AE25" s="283">
        <f ca="1">$AE$1-Table4[[#This Row],[Date Captured]]</f>
        <v>247</v>
      </c>
      <c r="AF25" s="59" t="b">
        <f>IFERROR(OR(Table4[[#This Row],[Status]]="02. Open &amp; Assigned",Table4[[#This Row],[Status]]="01. Open",Table4[[#This Row],[Status]]="03. Action/Mitigation Plan Defined",Table4[[#This Row],[Status]]="04. Action Plan Completed",Table4[[#This Row],[Status]]="08. Blank"),"")</f>
        <v>0</v>
      </c>
      <c r="AG25" s="59" t="str">
        <f>IF(Table4[[#This Row],[Required Risk Resolution Date]]="","FALSE",IF($AE$1&gt;Table4[[#This Row],[Required Risk Resolution Date]],TRUE,FALSE))</f>
        <v>FALSE</v>
      </c>
      <c r="AH25" s="58" t="b">
        <f t="shared" ca="1" si="0"/>
        <v>0</v>
      </c>
      <c r="AI25" s="58" t="b">
        <f t="shared" ca="1" si="1"/>
        <v>0</v>
      </c>
      <c r="AJ25" s="58" t="b">
        <f t="shared" ca="1" si="2"/>
        <v>1</v>
      </c>
      <c r="AK25" s="58" t="b">
        <f>OR(Table4[[#This Row],[Priority]]="Critical",Table4[[#This Row],[Priority]]="High")</f>
        <v>0</v>
      </c>
      <c r="AL25" s="283">
        <f ca="1">Table4[[#This Row],[Required Risk Resolution Date]]-$AE$1</f>
        <v>-40990</v>
      </c>
      <c r="AM25" s="58" t="b">
        <f t="shared" ca="1" si="3"/>
        <v>0</v>
      </c>
      <c r="AN25" s="59" t="b">
        <f>OR(Table4[[#This Row],[Priority]]="Critical",Table4[[#This Row],[Priority]]="High",Table4[[#This Row],[Priority]]="Moderate")</f>
        <v>0</v>
      </c>
    </row>
    <row r="26" spans="1:40" ht="139.5" hidden="1" customHeight="1">
      <c r="A26" s="60" t="s">
        <v>236</v>
      </c>
      <c r="B26" s="64">
        <v>40786</v>
      </c>
      <c r="C26" s="60"/>
      <c r="D26" s="60" t="s">
        <v>171</v>
      </c>
      <c r="E26" s="323"/>
      <c r="F26" s="56" t="s">
        <v>460</v>
      </c>
      <c r="G26" s="56"/>
      <c r="H26" s="56" t="s">
        <v>148</v>
      </c>
      <c r="I26" s="56"/>
      <c r="J26" s="56" t="s">
        <v>461</v>
      </c>
      <c r="K26" s="6"/>
      <c r="L26" s="323"/>
      <c r="M26" s="323"/>
      <c r="N26" s="323" t="s">
        <v>81</v>
      </c>
      <c r="O26" s="323" t="s">
        <v>93</v>
      </c>
      <c r="P26" s="323"/>
      <c r="Q26" s="323"/>
      <c r="R26" s="323"/>
      <c r="S26" s="323"/>
      <c r="T26" s="56" t="s">
        <v>29</v>
      </c>
      <c r="U26" s="56"/>
      <c r="V26" s="56" t="s">
        <v>464</v>
      </c>
      <c r="W26" s="56" t="s">
        <v>465</v>
      </c>
      <c r="X26" s="72">
        <v>40884</v>
      </c>
      <c r="Y26" s="72"/>
      <c r="Z26" s="56" t="s">
        <v>466</v>
      </c>
      <c r="AA26" s="56"/>
      <c r="AB26" s="75">
        <v>40850</v>
      </c>
      <c r="AC26" s="6"/>
      <c r="AE26" s="283">
        <f ca="1">$AE$1-Table4[[#This Row],[Date Captured]]</f>
        <v>204</v>
      </c>
      <c r="AF26" s="58" t="b">
        <f>IFERROR(OR(Table4[[#This Row],[Status]]="02. Open &amp; Assigned",Table4[[#This Row],[Status]]="01. Open",Table4[[#This Row],[Status]]="03. Action/Mitigation Plan Defined",Table4[[#This Row],[Status]]="04. Action Plan Completed",Table4[[#This Row],[Status]]="08. Blank"),"")</f>
        <v>0</v>
      </c>
      <c r="AG26" s="58" t="str">
        <f>IF(Table4[[#This Row],[Required Risk Resolution Date]]="","FALSE",IF($AE$1&gt;Table4[[#This Row],[Required Risk Resolution Date]],TRUE,FALSE))</f>
        <v>FALSE</v>
      </c>
      <c r="AH26" s="58" t="b">
        <f t="shared" ca="1" si="0"/>
        <v>0</v>
      </c>
      <c r="AI26" s="58" t="b">
        <f t="shared" ca="1" si="1"/>
        <v>0</v>
      </c>
      <c r="AJ26" s="58" t="b">
        <f t="shared" ca="1" si="2"/>
        <v>1</v>
      </c>
      <c r="AK26" s="58" t="b">
        <f>OR(Table4[[#This Row],[Priority]]="Critical",Table4[[#This Row],[Priority]]="High")</f>
        <v>0</v>
      </c>
      <c r="AL26" s="283">
        <f ca="1">Table4[[#This Row],[Required Risk Resolution Date]]-$AE$1</f>
        <v>-40990</v>
      </c>
      <c r="AM26" s="58" t="b">
        <f t="shared" ca="1" si="3"/>
        <v>0</v>
      </c>
      <c r="AN26" s="59" t="b">
        <f>OR(Table4[[#This Row],[Priority]]="Critical",Table4[[#This Row],[Priority]]="High",Table4[[#This Row],[Priority]]="Moderate")</f>
        <v>0</v>
      </c>
    </row>
    <row r="27" spans="1:40" ht="95.25" hidden="1" customHeight="1">
      <c r="A27" s="76" t="s">
        <v>458</v>
      </c>
      <c r="B27" s="78">
        <v>40743</v>
      </c>
      <c r="C27" s="76"/>
      <c r="D27" s="76" t="s">
        <v>171</v>
      </c>
      <c r="E27" s="324"/>
      <c r="F27" s="71" t="s">
        <v>462</v>
      </c>
      <c r="G27" s="71"/>
      <c r="H27" s="71" t="s">
        <v>148</v>
      </c>
      <c r="I27" s="71"/>
      <c r="J27" s="71" t="s">
        <v>463</v>
      </c>
      <c r="K27" s="324"/>
      <c r="L27" s="324"/>
      <c r="M27" s="324"/>
      <c r="N27" s="324" t="s">
        <v>83</v>
      </c>
      <c r="O27" s="324" t="s">
        <v>167</v>
      </c>
      <c r="P27" s="324"/>
      <c r="Q27" s="324"/>
      <c r="R27" s="324"/>
      <c r="S27" s="324"/>
      <c r="T27" s="79" t="s">
        <v>291</v>
      </c>
      <c r="U27" s="79"/>
      <c r="V27" s="71" t="s">
        <v>467</v>
      </c>
      <c r="W27" s="79"/>
      <c r="X27" s="78"/>
      <c r="Y27" s="78"/>
      <c r="Z27" s="79"/>
      <c r="AA27" s="71"/>
      <c r="AB27" s="80">
        <v>40749</v>
      </c>
      <c r="AC27" s="324"/>
      <c r="AE27" s="283">
        <f ca="1">$AE$1-Table4[[#This Row],[Date Captured]]</f>
        <v>247</v>
      </c>
      <c r="AF27" s="58" t="b">
        <f>IFERROR(OR(Table4[[#This Row],[Status]]="02. Open &amp; Assigned",Table4[[#This Row],[Status]]="01. Open",Table4[[#This Row],[Status]]="03. Action/Mitigation Plan Defined",Table4[[#This Row],[Status]]="04. Action Plan Completed",Table4[[#This Row],[Status]]="08. Blank"),"")</f>
        <v>0</v>
      </c>
      <c r="AG27" s="58" t="str">
        <f>IF(Table4[[#This Row],[Required Risk Resolution Date]]="","FALSE",IF($AE$1&gt;Table4[[#This Row],[Required Risk Resolution Date]],TRUE,FALSE))</f>
        <v>FALSE</v>
      </c>
      <c r="AH27" s="58" t="b">
        <f t="shared" ca="1" si="0"/>
        <v>0</v>
      </c>
      <c r="AI27" s="58" t="b">
        <f t="shared" ca="1" si="1"/>
        <v>0</v>
      </c>
      <c r="AJ27" s="58" t="b">
        <f t="shared" ca="1" si="2"/>
        <v>1</v>
      </c>
      <c r="AK27" s="58" t="b">
        <f>OR(Table4[[#This Row],[Priority]]="Critical",Table4[[#This Row],[Priority]]="High")</f>
        <v>0</v>
      </c>
      <c r="AL27" s="283">
        <f ca="1">Table4[[#This Row],[Required Risk Resolution Date]]-$AE$1</f>
        <v>-40990</v>
      </c>
      <c r="AM27" s="58" t="b">
        <f t="shared" ca="1" si="3"/>
        <v>0</v>
      </c>
      <c r="AN27" s="59" t="b">
        <f>OR(Table4[[#This Row],[Priority]]="Critical",Table4[[#This Row],[Priority]]="High",Table4[[#This Row],[Priority]]="Moderate")</f>
        <v>0</v>
      </c>
    </row>
    <row r="28" spans="1:40" s="59" customFormat="1" ht="108" hidden="1">
      <c r="A28" s="60" t="s">
        <v>459</v>
      </c>
      <c r="B28" s="64">
        <v>40827</v>
      </c>
      <c r="C28" s="60"/>
      <c r="D28" s="60" t="s">
        <v>492</v>
      </c>
      <c r="E28" s="323"/>
      <c r="F28" s="56" t="s">
        <v>470</v>
      </c>
      <c r="G28" s="56"/>
      <c r="H28" s="56" t="s">
        <v>148</v>
      </c>
      <c r="I28" s="56"/>
      <c r="J28" s="56" t="s">
        <v>471</v>
      </c>
      <c r="K28" s="323"/>
      <c r="L28" s="323"/>
      <c r="M28" s="323"/>
      <c r="N28" s="323" t="s">
        <v>81</v>
      </c>
      <c r="O28" s="323" t="s">
        <v>93</v>
      </c>
      <c r="P28" s="323"/>
      <c r="Q28" s="323"/>
      <c r="R28" s="323"/>
      <c r="S28" s="323"/>
      <c r="T28" s="56" t="s">
        <v>29</v>
      </c>
      <c r="U28" s="56"/>
      <c r="V28" s="56" t="s">
        <v>474</v>
      </c>
      <c r="W28" s="56" t="s">
        <v>1482</v>
      </c>
      <c r="X28" s="390">
        <v>40856</v>
      </c>
      <c r="Y28" s="72"/>
      <c r="Z28" s="56" t="s">
        <v>475</v>
      </c>
      <c r="AA28" s="56"/>
      <c r="AB28" s="75">
        <v>40850</v>
      </c>
      <c r="AC28" s="323" t="s">
        <v>1479</v>
      </c>
      <c r="AE28" s="283">
        <f ca="1">$AE$1-Table4[[#This Row],[Date Captured]]</f>
        <v>163</v>
      </c>
      <c r="AF28" s="59" t="b">
        <f>IFERROR(OR(Table4[[#This Row],[Status]]="02. Open &amp; Assigned",Table4[[#This Row],[Status]]="01. Open",Table4[[#This Row],[Status]]="03. Action/Mitigation Plan Defined",Table4[[#This Row],[Status]]="04. Action Plan Completed",Table4[[#This Row],[Status]]="08. Blank"),"")</f>
        <v>0</v>
      </c>
      <c r="AG28" s="59" t="str">
        <f>IF(Table4[[#This Row],[Required Risk Resolution Date]]="","FALSE",IF($AE$1&gt;Table4[[#This Row],[Required Risk Resolution Date]],TRUE,FALSE))</f>
        <v>FALSE</v>
      </c>
      <c r="AH28" s="58" t="b">
        <f t="shared" ca="1" si="0"/>
        <v>0</v>
      </c>
      <c r="AI28" s="58" t="b">
        <f t="shared" ca="1" si="1"/>
        <v>1</v>
      </c>
      <c r="AJ28" s="58" t="b">
        <f t="shared" ca="1" si="2"/>
        <v>0</v>
      </c>
      <c r="AK28" s="58" t="b">
        <f>OR(Table4[[#This Row],[Priority]]="Critical",Table4[[#This Row],[Priority]]="High")</f>
        <v>0</v>
      </c>
      <c r="AL28" s="283">
        <f ca="1">Table4[[#This Row],[Required Risk Resolution Date]]-$AE$1</f>
        <v>-40990</v>
      </c>
      <c r="AM28" s="58" t="b">
        <f t="shared" ca="1" si="3"/>
        <v>0</v>
      </c>
      <c r="AN28" s="59" t="b">
        <f>OR(Table4[[#This Row],[Priority]]="Critical",Table4[[#This Row],[Priority]]="High",Table4[[#This Row],[Priority]]="Moderate")</f>
        <v>0</v>
      </c>
    </row>
    <row r="29" spans="1:40" s="59" customFormat="1" ht="194.25" hidden="1" customHeight="1">
      <c r="A29" s="76" t="s">
        <v>468</v>
      </c>
      <c r="B29" s="78">
        <v>40743</v>
      </c>
      <c r="C29" s="76"/>
      <c r="D29" s="76" t="s">
        <v>171</v>
      </c>
      <c r="E29" s="324"/>
      <c r="F29" s="71" t="s">
        <v>472</v>
      </c>
      <c r="G29" s="71"/>
      <c r="H29" s="71" t="s">
        <v>148</v>
      </c>
      <c r="I29" s="71"/>
      <c r="J29" s="71" t="s">
        <v>473</v>
      </c>
      <c r="K29" s="324"/>
      <c r="L29" s="324"/>
      <c r="M29" s="324"/>
      <c r="N29" s="324" t="s">
        <v>81</v>
      </c>
      <c r="O29" s="324" t="s">
        <v>167</v>
      </c>
      <c r="P29" s="324"/>
      <c r="Q29" s="324"/>
      <c r="R29" s="324"/>
      <c r="S29" s="324"/>
      <c r="T29" s="79" t="s">
        <v>29</v>
      </c>
      <c r="U29" s="79"/>
      <c r="V29" s="71" t="s">
        <v>476</v>
      </c>
      <c r="W29" s="79"/>
      <c r="X29" s="78"/>
      <c r="Y29" s="78"/>
      <c r="Z29" s="79"/>
      <c r="AA29" s="71"/>
      <c r="AB29" s="80"/>
      <c r="AC29" s="324"/>
      <c r="AE29" s="283">
        <f ca="1">$AE$1-Table4[[#This Row],[Date Captured]]</f>
        <v>247</v>
      </c>
      <c r="AF29" s="59" t="b">
        <f>IFERROR(OR(Table4[[#This Row],[Status]]="02. Open &amp; Assigned",Table4[[#This Row],[Status]]="01. Open",Table4[[#This Row],[Status]]="03. Action/Mitigation Plan Defined",Table4[[#This Row],[Status]]="04. Action Plan Completed",Table4[[#This Row],[Status]]="08. Blank"),"")</f>
        <v>0</v>
      </c>
      <c r="AG29" s="59" t="str">
        <f>IF(Table4[[#This Row],[Required Risk Resolution Date]]="","FALSE",IF($AE$1&gt;Table4[[#This Row],[Required Risk Resolution Date]],TRUE,FALSE))</f>
        <v>FALSE</v>
      </c>
      <c r="AH29" s="58" t="b">
        <f t="shared" ca="1" si="0"/>
        <v>0</v>
      </c>
      <c r="AI29" s="58" t="b">
        <f t="shared" ca="1" si="1"/>
        <v>0</v>
      </c>
      <c r="AJ29" s="58" t="b">
        <f t="shared" ca="1" si="2"/>
        <v>1</v>
      </c>
      <c r="AK29" s="58" t="b">
        <f>OR(Table4[[#This Row],[Priority]]="Critical",Table4[[#This Row],[Priority]]="High")</f>
        <v>0</v>
      </c>
      <c r="AL29" s="283">
        <f ca="1">Table4[[#This Row],[Required Risk Resolution Date]]-$AE$1</f>
        <v>-40990</v>
      </c>
      <c r="AM29" s="58" t="b">
        <f t="shared" ca="1" si="3"/>
        <v>0</v>
      </c>
      <c r="AN29" s="59" t="b">
        <f>OR(Table4[[#This Row],[Priority]]="Critical",Table4[[#This Row],[Priority]]="High",Table4[[#This Row],[Priority]]="Moderate")</f>
        <v>0</v>
      </c>
    </row>
    <row r="30" spans="1:40" ht="172.5" customHeight="1">
      <c r="A30" s="60" t="s">
        <v>469</v>
      </c>
      <c r="B30" s="258">
        <v>40743</v>
      </c>
      <c r="C30" s="60" t="s">
        <v>438</v>
      </c>
      <c r="D30" s="60" t="s">
        <v>2433</v>
      </c>
      <c r="E30" s="323" t="s">
        <v>1938</v>
      </c>
      <c r="F30" s="323" t="s">
        <v>2795</v>
      </c>
      <c r="G30" s="323" t="s">
        <v>1583</v>
      </c>
      <c r="H30" s="323" t="s">
        <v>148</v>
      </c>
      <c r="I30" s="323"/>
      <c r="J30" s="323" t="s">
        <v>1585</v>
      </c>
      <c r="K30" s="323" t="s">
        <v>1584</v>
      </c>
      <c r="L30" s="323" t="s">
        <v>129</v>
      </c>
      <c r="M30" s="323" t="s">
        <v>1493</v>
      </c>
      <c r="N30" s="323" t="s">
        <v>81</v>
      </c>
      <c r="O30" s="323" t="s">
        <v>167</v>
      </c>
      <c r="P30" s="323" t="s">
        <v>167</v>
      </c>
      <c r="Q30" s="323" t="s">
        <v>93</v>
      </c>
      <c r="R30" s="323" t="s">
        <v>167</v>
      </c>
      <c r="S30" s="323" t="s">
        <v>1586</v>
      </c>
      <c r="T30" s="323" t="s">
        <v>1569</v>
      </c>
      <c r="U30" s="323" t="s">
        <v>180</v>
      </c>
      <c r="V30" s="323" t="s">
        <v>481</v>
      </c>
      <c r="W30" s="323" t="s">
        <v>2796</v>
      </c>
      <c r="X30" s="259">
        <v>40991</v>
      </c>
      <c r="Y30" s="259" t="s">
        <v>1582</v>
      </c>
      <c r="Z30" s="323"/>
      <c r="AA30" s="162">
        <v>41012</v>
      </c>
      <c r="AB30" s="218"/>
      <c r="AC30" s="323"/>
      <c r="AE30" s="283">
        <f ca="1">$AE$1-Table4[[#This Row],[Date Captured]]</f>
        <v>247</v>
      </c>
      <c r="AF30" s="58" t="b">
        <f>IFERROR(OR(Table4[[#This Row],[Status]]="02. Open &amp; Assigned",Table4[[#This Row],[Status]]="01. Open",Table4[[#This Row],[Status]]="03. Action/Mitigation Plan Defined",Table4[[#This Row],[Status]]="04. Action Plan Completed",Table4[[#This Row],[Status]]="08. Blank"),"")</f>
        <v>1</v>
      </c>
      <c r="AG30" s="58" t="b">
        <f ca="1">IF(Table4[[#This Row],[Required Risk Resolution Date]]="","FALSE",IF($AE$1&gt;Table4[[#This Row],[Required Risk Resolution Date]],TRUE,FALSE))</f>
        <v>0</v>
      </c>
      <c r="AH30" s="58" t="b">
        <f t="shared" ca="1" si="0"/>
        <v>0</v>
      </c>
      <c r="AI30" s="58" t="b">
        <f t="shared" ca="1" si="1"/>
        <v>0</v>
      </c>
      <c r="AJ30" s="58" t="b">
        <f t="shared" ca="1" si="2"/>
        <v>1</v>
      </c>
      <c r="AK30" s="58" t="b">
        <f>OR(Table4[[#This Row],[Priority]]="Critical",Table4[[#This Row],[Priority]]="High")</f>
        <v>0</v>
      </c>
      <c r="AL30" s="283">
        <f ca="1">Table4[[#This Row],[Required Risk Resolution Date]]-$AE$1</f>
        <v>22</v>
      </c>
      <c r="AM30" s="58" t="b">
        <f t="shared" ca="1" si="3"/>
        <v>0</v>
      </c>
      <c r="AN30" s="59" t="b">
        <f>OR(Table4[[#This Row],[Priority]]="Critical",Table4[[#This Row],[Priority]]="High",Table4[[#This Row],[Priority]]="Moderate")</f>
        <v>1</v>
      </c>
    </row>
    <row r="31" spans="1:40" s="59" customFormat="1" ht="156" hidden="1">
      <c r="A31" s="60" t="s">
        <v>477</v>
      </c>
      <c r="B31" s="64">
        <v>40743</v>
      </c>
      <c r="C31" s="60"/>
      <c r="D31" s="60" t="s">
        <v>171</v>
      </c>
      <c r="E31" s="6"/>
      <c r="F31" s="56" t="s">
        <v>479</v>
      </c>
      <c r="G31" s="56"/>
      <c r="H31" s="56" t="s">
        <v>148</v>
      </c>
      <c r="I31" s="56"/>
      <c r="J31" s="56" t="s">
        <v>480</v>
      </c>
      <c r="K31" s="6"/>
      <c r="L31" s="6"/>
      <c r="M31" s="6"/>
      <c r="N31" s="6" t="s">
        <v>81</v>
      </c>
      <c r="O31" s="6" t="s">
        <v>93</v>
      </c>
      <c r="P31" s="6"/>
      <c r="Q31" s="6"/>
      <c r="R31" s="6"/>
      <c r="S31" s="6"/>
      <c r="T31" s="56" t="s">
        <v>29</v>
      </c>
      <c r="U31" s="56"/>
      <c r="V31" s="56" t="s">
        <v>482</v>
      </c>
      <c r="W31" s="56" t="s">
        <v>483</v>
      </c>
      <c r="X31" s="64">
        <v>40835</v>
      </c>
      <c r="Y31" s="64"/>
      <c r="Z31" s="56"/>
      <c r="AA31" s="56"/>
      <c r="AB31" s="67">
        <v>40835</v>
      </c>
      <c r="AC31" s="6"/>
      <c r="AE31" s="283">
        <f ca="1">$AE$1-Table4[[#This Row],[Date Captured]]</f>
        <v>247</v>
      </c>
      <c r="AF31" s="59" t="b">
        <f>IFERROR(OR(Table4[[#This Row],[Status]]="02. Open &amp; Assigned",Table4[[#This Row],[Status]]="01. Open",Table4[[#This Row],[Status]]="03. Action/Mitigation Plan Defined",Table4[[#This Row],[Status]]="04. Action Plan Completed",Table4[[#This Row],[Status]]="08. Blank"),"")</f>
        <v>0</v>
      </c>
      <c r="AG31" s="59" t="str">
        <f>IF(Table4[[#This Row],[Required Risk Resolution Date]]="","FALSE",IF($AE$1&gt;Table4[[#This Row],[Required Risk Resolution Date]],TRUE,FALSE))</f>
        <v>FALSE</v>
      </c>
      <c r="AH31" s="58" t="b">
        <f t="shared" ca="1" si="0"/>
        <v>0</v>
      </c>
      <c r="AI31" s="58" t="b">
        <f t="shared" ca="1" si="1"/>
        <v>0</v>
      </c>
      <c r="AJ31" s="58" t="b">
        <f t="shared" ca="1" si="2"/>
        <v>1</v>
      </c>
      <c r="AK31" s="58" t="b">
        <f>OR(Table4[[#This Row],[Priority]]="Critical",Table4[[#This Row],[Priority]]="High")</f>
        <v>0</v>
      </c>
      <c r="AL31" s="283">
        <f ca="1">Table4[[#This Row],[Required Risk Resolution Date]]-$AE$1</f>
        <v>-40990</v>
      </c>
      <c r="AM31" s="58" t="b">
        <f t="shared" ca="1" si="3"/>
        <v>0</v>
      </c>
      <c r="AN31" s="59" t="b">
        <f>OR(Table4[[#This Row],[Priority]]="Critical",Table4[[#This Row],[Priority]]="High",Table4[[#This Row],[Priority]]="Moderate")</f>
        <v>0</v>
      </c>
    </row>
    <row r="32" spans="1:40" s="59" customFormat="1" ht="409.5" hidden="1">
      <c r="A32" s="60" t="s">
        <v>239</v>
      </c>
      <c r="B32" s="64">
        <v>40758</v>
      </c>
      <c r="C32" s="60"/>
      <c r="D32" s="60" t="s">
        <v>171</v>
      </c>
      <c r="E32" s="6"/>
      <c r="F32" s="56" t="s">
        <v>495</v>
      </c>
      <c r="G32" s="56"/>
      <c r="H32" s="56" t="s">
        <v>148</v>
      </c>
      <c r="I32" s="56"/>
      <c r="J32" s="56" t="s">
        <v>473</v>
      </c>
      <c r="K32" s="6"/>
      <c r="L32" s="6"/>
      <c r="M32" s="6"/>
      <c r="N32" s="6" t="s">
        <v>83</v>
      </c>
      <c r="O32" s="6" t="s">
        <v>167</v>
      </c>
      <c r="P32" s="6"/>
      <c r="Q32" s="6"/>
      <c r="R32" s="6"/>
      <c r="S32" s="6"/>
      <c r="T32" s="56"/>
      <c r="U32" s="56"/>
      <c r="V32" s="56" t="s">
        <v>497</v>
      </c>
      <c r="W32" s="56"/>
      <c r="X32" s="323"/>
      <c r="Y32" s="323"/>
      <c r="Z32" s="323"/>
      <c r="AA32" s="323"/>
      <c r="AB32" s="323"/>
      <c r="AC32" s="6"/>
      <c r="AE32" s="283">
        <f ca="1">$AE$1-Table4[[#This Row],[Date Captured]]</f>
        <v>232</v>
      </c>
      <c r="AF32" s="59" t="b">
        <f>IFERROR(OR(Table4[[#This Row],[Status]]="02. Open &amp; Assigned",Table4[[#This Row],[Status]]="01. Open",Table4[[#This Row],[Status]]="03. Action/Mitigation Plan Defined",Table4[[#This Row],[Status]]="04. Action Plan Completed",Table4[[#This Row],[Status]]="08. Blank"),"")</f>
        <v>0</v>
      </c>
      <c r="AG32" s="59" t="str">
        <f>IF(Table4[[#This Row],[Required Risk Resolution Date]]="","FALSE",IF($AE$1&gt;Table4[[#This Row],[Required Risk Resolution Date]],TRUE,FALSE))</f>
        <v>FALSE</v>
      </c>
      <c r="AH32" s="58" t="b">
        <f t="shared" ca="1" si="0"/>
        <v>0</v>
      </c>
      <c r="AI32" s="58" t="b">
        <f t="shared" ca="1" si="1"/>
        <v>0</v>
      </c>
      <c r="AJ32" s="58" t="b">
        <f t="shared" ca="1" si="2"/>
        <v>1</v>
      </c>
      <c r="AK32" s="58" t="b">
        <f>OR(Table4[[#This Row],[Priority]]="Critical",Table4[[#This Row],[Priority]]="High")</f>
        <v>0</v>
      </c>
      <c r="AL32" s="283">
        <f ca="1">Table4[[#This Row],[Required Risk Resolution Date]]-$AE$1</f>
        <v>-40990</v>
      </c>
      <c r="AM32" s="58" t="b">
        <f t="shared" ca="1" si="3"/>
        <v>0</v>
      </c>
      <c r="AN32" s="59" t="b">
        <f>OR(Table4[[#This Row],[Priority]]="Critical",Table4[[#This Row],[Priority]]="High",Table4[[#This Row],[Priority]]="Moderate")</f>
        <v>0</v>
      </c>
    </row>
    <row r="33" spans="1:40" s="59" customFormat="1" ht="180" hidden="1" customHeight="1">
      <c r="A33" s="60" t="s">
        <v>246</v>
      </c>
      <c r="B33" s="64">
        <v>40855</v>
      </c>
      <c r="C33" s="60" t="s">
        <v>1570</v>
      </c>
      <c r="D33" s="60" t="s">
        <v>171</v>
      </c>
      <c r="E33" s="6" t="s">
        <v>1588</v>
      </c>
      <c r="F33" s="56" t="s">
        <v>520</v>
      </c>
      <c r="G33" s="56" t="s">
        <v>521</v>
      </c>
      <c r="H33" s="56" t="s">
        <v>148</v>
      </c>
      <c r="I33" s="56"/>
      <c r="J33" s="56" t="s">
        <v>471</v>
      </c>
      <c r="K33" s="6" t="s">
        <v>1587</v>
      </c>
      <c r="L33" s="6" t="s">
        <v>129</v>
      </c>
      <c r="M33" s="6" t="s">
        <v>1489</v>
      </c>
      <c r="N33" s="6" t="s">
        <v>83</v>
      </c>
      <c r="O33" s="6" t="s">
        <v>91</v>
      </c>
      <c r="P33" s="6" t="s">
        <v>93</v>
      </c>
      <c r="Q33" s="6" t="s">
        <v>91</v>
      </c>
      <c r="R33" s="6" t="s">
        <v>167</v>
      </c>
      <c r="S33" s="6" t="s">
        <v>1589</v>
      </c>
      <c r="T33" s="56" t="s">
        <v>29</v>
      </c>
      <c r="U33" s="56" t="s">
        <v>528</v>
      </c>
      <c r="V33" s="88" t="s">
        <v>529</v>
      </c>
      <c r="W33" s="56" t="s">
        <v>1652</v>
      </c>
      <c r="X33" s="55">
        <v>40919</v>
      </c>
      <c r="Y33" s="323" t="s">
        <v>1565</v>
      </c>
      <c r="Z33" s="323" t="s">
        <v>1503</v>
      </c>
      <c r="AA33" s="162">
        <v>40939</v>
      </c>
      <c r="AB33" s="55">
        <v>40919</v>
      </c>
      <c r="AC33" s="6"/>
      <c r="AE33" s="283">
        <f ca="1">$AE$1-Table4[[#This Row],[Date Captured]]</f>
        <v>135</v>
      </c>
      <c r="AF33" s="59" t="b">
        <f>IFERROR(OR(Table4[[#This Row],[Status]]="02. Open &amp; Assigned",Table4[[#This Row],[Status]]="01. Open",Table4[[#This Row],[Status]]="03. Action/Mitigation Plan Defined",Table4[[#This Row],[Status]]="04. Action Plan Completed",Table4[[#This Row],[Status]]="08. Blank"),"")</f>
        <v>0</v>
      </c>
      <c r="AG33" s="59" t="b">
        <f ca="1">IF(Table4[[#This Row],[Required Risk Resolution Date]]="","FALSE",IF($AE$1&gt;Table4[[#This Row],[Required Risk Resolution Date]],TRUE,FALSE))</f>
        <v>1</v>
      </c>
      <c r="AH33" s="58" t="b">
        <f t="shared" ca="1" si="0"/>
        <v>0</v>
      </c>
      <c r="AI33" s="58" t="b">
        <f t="shared" ca="1" si="1"/>
        <v>1</v>
      </c>
      <c r="AJ33" s="58" t="b">
        <f t="shared" ca="1" si="2"/>
        <v>0</v>
      </c>
      <c r="AK33" s="58" t="b">
        <f>OR(Table4[[#This Row],[Priority]]="Critical",Table4[[#This Row],[Priority]]="High")</f>
        <v>0</v>
      </c>
      <c r="AL33" s="283">
        <f ca="1">Table4[[#This Row],[Required Risk Resolution Date]]-$AE$1</f>
        <v>-51</v>
      </c>
      <c r="AM33" s="58" t="b">
        <f t="shared" ca="1" si="3"/>
        <v>0</v>
      </c>
      <c r="AN33" s="59" t="b">
        <f>OR(Table4[[#This Row],[Priority]]="Critical",Table4[[#This Row],[Priority]]="High",Table4[[#This Row],[Priority]]="Moderate")</f>
        <v>1</v>
      </c>
    </row>
    <row r="34" spans="1:40" s="59" customFormat="1" ht="202.5">
      <c r="A34" s="60" t="s">
        <v>582</v>
      </c>
      <c r="B34" s="61">
        <v>40960</v>
      </c>
      <c r="C34" s="60" t="s">
        <v>2185</v>
      </c>
      <c r="D34" s="60" t="s">
        <v>1566</v>
      </c>
      <c r="E34" s="6" t="s">
        <v>2241</v>
      </c>
      <c r="F34" s="323" t="s">
        <v>2186</v>
      </c>
      <c r="G34" s="323" t="s">
        <v>2242</v>
      </c>
      <c r="H34" s="323" t="s">
        <v>721</v>
      </c>
      <c r="I34" s="323" t="s">
        <v>2762</v>
      </c>
      <c r="J34" s="323" t="s">
        <v>1779</v>
      </c>
      <c r="K34" s="323" t="s">
        <v>186</v>
      </c>
      <c r="L34" s="6" t="s">
        <v>128</v>
      </c>
      <c r="M34" s="6" t="s">
        <v>1489</v>
      </c>
      <c r="N34" s="6" t="s">
        <v>83</v>
      </c>
      <c r="O34" s="323" t="s">
        <v>91</v>
      </c>
      <c r="P34" s="323" t="s">
        <v>91</v>
      </c>
      <c r="Q34" s="323" t="s">
        <v>167</v>
      </c>
      <c r="R34" s="323" t="s">
        <v>167</v>
      </c>
      <c r="S34" s="6" t="s">
        <v>2326</v>
      </c>
      <c r="T34" s="323" t="s">
        <v>29</v>
      </c>
      <c r="U34" s="323" t="s">
        <v>2323</v>
      </c>
      <c r="V34" s="323" t="s">
        <v>2325</v>
      </c>
      <c r="W34" s="323" t="s">
        <v>2917</v>
      </c>
      <c r="X34" s="197">
        <v>40982</v>
      </c>
      <c r="Y34" s="323" t="s">
        <v>1564</v>
      </c>
      <c r="Z34" s="323" t="s">
        <v>2817</v>
      </c>
      <c r="AA34" s="162">
        <v>40998</v>
      </c>
      <c r="AB34" s="323"/>
      <c r="AC34" s="6"/>
      <c r="AE34" s="283">
        <f ca="1">$AE$1-Table4[[#This Row],[Date Captured]]</f>
        <v>30</v>
      </c>
      <c r="AF34" s="59" t="b">
        <f>IFERROR(OR(Table4[[#This Row],[Status]]="02. Open &amp; Assigned",Table4[[#This Row],[Status]]="01. Open",Table4[[#This Row],[Status]]="03. Action/Mitigation Plan Defined",Table4[[#This Row],[Status]]="04. Action Plan Completed",Table4[[#This Row],[Status]]="08. Blank"),"")</f>
        <v>1</v>
      </c>
      <c r="AG34" s="59" t="b">
        <f ca="1">IF(Table4[[#This Row],[Required Risk Resolution Date]]="","FALSE",IF($AE$1&gt;Table4[[#This Row],[Required Risk Resolution Date]],TRUE,FALSE))</f>
        <v>0</v>
      </c>
      <c r="AH34" s="58" t="b">
        <f t="shared" ca="1" si="0"/>
        <v>1</v>
      </c>
      <c r="AI34" s="58" t="b">
        <f t="shared" ca="1" si="1"/>
        <v>0</v>
      </c>
      <c r="AJ34" s="58" t="b">
        <f t="shared" ca="1" si="2"/>
        <v>0</v>
      </c>
      <c r="AK34" s="58" t="b">
        <f>OR(Table4[[#This Row],[Priority]]="Critical",Table4[[#This Row],[Priority]]="High")</f>
        <v>1</v>
      </c>
      <c r="AL34" s="283">
        <f ca="1">Table4[[#This Row],[Required Risk Resolution Date]]-$AE$1</f>
        <v>8</v>
      </c>
      <c r="AM34" s="58" t="b">
        <f t="shared" ca="1" si="3"/>
        <v>0</v>
      </c>
      <c r="AN34" s="59" t="b">
        <f>OR(Table4[[#This Row],[Priority]]="Critical",Table4[[#This Row],[Priority]]="High",Table4[[#This Row],[Priority]]="Moderate")</f>
        <v>1</v>
      </c>
    </row>
    <row r="35" spans="1:40" ht="300" hidden="1">
      <c r="A35" s="60" t="s">
        <v>583</v>
      </c>
      <c r="B35" s="61">
        <v>40960</v>
      </c>
      <c r="C35" s="60" t="s">
        <v>2185</v>
      </c>
      <c r="D35" s="60" t="s">
        <v>171</v>
      </c>
      <c r="E35" s="323" t="s">
        <v>2243</v>
      </c>
      <c r="F35" s="323" t="s">
        <v>2187</v>
      </c>
      <c r="G35" s="323" t="s">
        <v>2244</v>
      </c>
      <c r="H35" s="323" t="s">
        <v>721</v>
      </c>
      <c r="I35" s="323" t="s">
        <v>2762</v>
      </c>
      <c r="J35" s="323" t="s">
        <v>1779</v>
      </c>
      <c r="K35" s="323" t="s">
        <v>186</v>
      </c>
      <c r="L35" s="6" t="s">
        <v>127</v>
      </c>
      <c r="M35" s="323" t="s">
        <v>1579</v>
      </c>
      <c r="N35" s="323" t="s">
        <v>83</v>
      </c>
      <c r="O35" s="323" t="s">
        <v>94</v>
      </c>
      <c r="P35" s="323" t="s">
        <v>94</v>
      </c>
      <c r="Q35" s="323" t="s">
        <v>93</v>
      </c>
      <c r="R35" s="323" t="s">
        <v>93</v>
      </c>
      <c r="S35" s="323" t="s">
        <v>2245</v>
      </c>
      <c r="T35" s="323" t="s">
        <v>1569</v>
      </c>
      <c r="U35" s="323" t="s">
        <v>1130</v>
      </c>
      <c r="V35" s="323" t="s">
        <v>2818</v>
      </c>
      <c r="W35" s="323" t="s">
        <v>2906</v>
      </c>
      <c r="X35" s="197">
        <v>40982</v>
      </c>
      <c r="Y35" s="323" t="s">
        <v>1564</v>
      </c>
      <c r="Z35" s="435" t="s">
        <v>2907</v>
      </c>
      <c r="AA35" s="162">
        <v>41001</v>
      </c>
      <c r="AB35" s="55">
        <v>40983</v>
      </c>
      <c r="AC35" s="6"/>
      <c r="AE35" s="283">
        <f ca="1">$AE$1-Table4[[#This Row],[Date Captured]]</f>
        <v>30</v>
      </c>
      <c r="AF35" s="58" t="b">
        <f>IFERROR(OR(Table4[[#This Row],[Status]]="02. Open &amp; Assigned",Table4[[#This Row],[Status]]="01. Open",Table4[[#This Row],[Status]]="03. Action/Mitigation Plan Defined",Table4[[#This Row],[Status]]="04. Action Plan Completed",Table4[[#This Row],[Status]]="08. Blank"),"")</f>
        <v>0</v>
      </c>
      <c r="AG35" s="58" t="b">
        <f ca="1">IF(Table4[[#This Row],[Required Risk Resolution Date]]="","FALSE",IF($AE$1&gt;Table4[[#This Row],[Required Risk Resolution Date]],TRUE,FALSE))</f>
        <v>0</v>
      </c>
      <c r="AH35" s="58" t="b">
        <f t="shared" ca="1" si="0"/>
        <v>1</v>
      </c>
      <c r="AI35" s="58" t="b">
        <f t="shared" ca="1" si="1"/>
        <v>0</v>
      </c>
      <c r="AJ35" s="58" t="b">
        <f t="shared" ca="1" si="2"/>
        <v>0</v>
      </c>
      <c r="AK35" s="58" t="b">
        <f>OR(Table4[[#This Row],[Priority]]="Critical",Table4[[#This Row],[Priority]]="High")</f>
        <v>1</v>
      </c>
      <c r="AL35" s="283">
        <f ca="1">Table4[[#This Row],[Required Risk Resolution Date]]-$AE$1</f>
        <v>11</v>
      </c>
      <c r="AM35" s="58" t="b">
        <f t="shared" ca="1" si="3"/>
        <v>0</v>
      </c>
      <c r="AN35" s="59" t="b">
        <f>OR(Table4[[#This Row],[Priority]]="Critical",Table4[[#This Row],[Priority]]="High",Table4[[#This Row],[Priority]]="Moderate")</f>
        <v>1</v>
      </c>
    </row>
    <row r="36" spans="1:40" s="59" customFormat="1" ht="270" hidden="1">
      <c r="A36" s="60" t="s">
        <v>578</v>
      </c>
      <c r="B36" s="61">
        <v>40960</v>
      </c>
      <c r="C36" s="60" t="s">
        <v>2185</v>
      </c>
      <c r="D36" s="60" t="s">
        <v>171</v>
      </c>
      <c r="E36" s="323" t="s">
        <v>2819</v>
      </c>
      <c r="F36" s="323" t="s">
        <v>2240</v>
      </c>
      <c r="G36" s="323" t="s">
        <v>2820</v>
      </c>
      <c r="H36" s="323" t="s">
        <v>721</v>
      </c>
      <c r="I36" s="323" t="s">
        <v>2762</v>
      </c>
      <c r="J36" s="323" t="s">
        <v>1779</v>
      </c>
      <c r="K36" s="323" t="s">
        <v>166</v>
      </c>
      <c r="L36" s="323" t="s">
        <v>129</v>
      </c>
      <c r="M36" s="6" t="s">
        <v>1489</v>
      </c>
      <c r="N36" s="323" t="s">
        <v>87</v>
      </c>
      <c r="O36" s="323" t="s">
        <v>167</v>
      </c>
      <c r="P36" s="323" t="s">
        <v>109</v>
      </c>
      <c r="Q36" s="323" t="s">
        <v>93</v>
      </c>
      <c r="R36" s="323" t="s">
        <v>93</v>
      </c>
      <c r="S36" s="323" t="s">
        <v>2322</v>
      </c>
      <c r="T36" s="323" t="s">
        <v>29</v>
      </c>
      <c r="U36" s="323" t="s">
        <v>2323</v>
      </c>
      <c r="V36" s="323" t="s">
        <v>2324</v>
      </c>
      <c r="W36" s="323" t="s">
        <v>2852</v>
      </c>
      <c r="X36" s="197">
        <v>40982</v>
      </c>
      <c r="Y36" s="323" t="s">
        <v>2327</v>
      </c>
      <c r="Z36" s="323" t="s">
        <v>2853</v>
      </c>
      <c r="AA36" s="162">
        <v>40982</v>
      </c>
      <c r="AB36" s="55">
        <v>40982</v>
      </c>
      <c r="AC36" s="6"/>
      <c r="AE36" s="283">
        <f ca="1">$AE$1-Table4[[#This Row],[Date Captured]]</f>
        <v>30</v>
      </c>
      <c r="AF36" s="59" t="b">
        <f>IFERROR(OR(Table4[[#This Row],[Status]]="02. Open &amp; Assigned",Table4[[#This Row],[Status]]="01. Open",Table4[[#This Row],[Status]]="03. Action/Mitigation Plan Defined",Table4[[#This Row],[Status]]="04. Action Plan Completed",Table4[[#This Row],[Status]]="08. Blank"),"")</f>
        <v>0</v>
      </c>
      <c r="AG36" s="59" t="b">
        <f ca="1">IF(Table4[[#This Row],[Required Risk Resolution Date]]="","FALSE",IF($AE$1&gt;Table4[[#This Row],[Required Risk Resolution Date]],TRUE,FALSE))</f>
        <v>1</v>
      </c>
      <c r="AH36" s="58" t="b">
        <f t="shared" ca="1" si="0"/>
        <v>1</v>
      </c>
      <c r="AI36" s="58" t="b">
        <f t="shared" ca="1" si="1"/>
        <v>0</v>
      </c>
      <c r="AJ36" s="58" t="b">
        <f t="shared" ca="1" si="2"/>
        <v>0</v>
      </c>
      <c r="AK36" s="58" t="b">
        <f>OR(Table4[[#This Row],[Priority]]="Critical",Table4[[#This Row],[Priority]]="High")</f>
        <v>0</v>
      </c>
      <c r="AL36" s="283">
        <f ca="1">Table4[[#This Row],[Required Risk Resolution Date]]-$AE$1</f>
        <v>-8</v>
      </c>
      <c r="AM36" s="58" t="b">
        <f t="shared" ca="1" si="3"/>
        <v>0</v>
      </c>
      <c r="AN36" s="59" t="b">
        <f>OR(Table4[[#This Row],[Priority]]="Critical",Table4[[#This Row],[Priority]]="High",Table4[[#This Row],[Priority]]="Moderate")</f>
        <v>1</v>
      </c>
    </row>
    <row r="37" spans="1:40" s="59" customFormat="1" ht="336" hidden="1">
      <c r="A37" s="60" t="s">
        <v>34</v>
      </c>
      <c r="B37" s="61">
        <v>40589</v>
      </c>
      <c r="C37" s="60" t="s">
        <v>1570</v>
      </c>
      <c r="D37" s="60" t="s">
        <v>492</v>
      </c>
      <c r="E37" s="323" t="s">
        <v>1653</v>
      </c>
      <c r="F37" s="56" t="s">
        <v>165</v>
      </c>
      <c r="G37" s="323" t="s">
        <v>1654</v>
      </c>
      <c r="H37" s="323" t="s">
        <v>149</v>
      </c>
      <c r="I37" s="323"/>
      <c r="J37" s="323" t="s">
        <v>166</v>
      </c>
      <c r="K37" s="323" t="s">
        <v>166</v>
      </c>
      <c r="L37" s="6" t="s">
        <v>129</v>
      </c>
      <c r="M37" s="6"/>
      <c r="N37" s="323" t="s">
        <v>81</v>
      </c>
      <c r="O37" s="323" t="s">
        <v>93</v>
      </c>
      <c r="P37" s="323" t="s">
        <v>93</v>
      </c>
      <c r="Q37" s="323" t="s">
        <v>93</v>
      </c>
      <c r="R37" s="323" t="s">
        <v>167</v>
      </c>
      <c r="S37" s="323"/>
      <c r="T37" s="323" t="s">
        <v>29</v>
      </c>
      <c r="U37" s="56" t="s">
        <v>168</v>
      </c>
      <c r="V37" s="56" t="s">
        <v>169</v>
      </c>
      <c r="W37" s="56" t="s">
        <v>1658</v>
      </c>
      <c r="X37" s="55">
        <v>40835</v>
      </c>
      <c r="Y37" s="323"/>
      <c r="Z37" s="56" t="s">
        <v>1657</v>
      </c>
      <c r="AA37" s="162"/>
      <c r="AB37" s="55" t="s">
        <v>1656</v>
      </c>
      <c r="AC37" s="6" t="s">
        <v>673</v>
      </c>
      <c r="AE37" s="283">
        <f ca="1">$AE$1-Table4[[#This Row],[Date Captured]]</f>
        <v>401</v>
      </c>
      <c r="AF37" s="59" t="b">
        <f>IFERROR(OR(Table4[[#This Row],[Status]]="02. Open &amp; Assigned",Table4[[#This Row],[Status]]="01. Open",Table4[[#This Row],[Status]]="03. Action/Mitigation Plan Defined",Table4[[#This Row],[Status]]="04. Action Plan Completed",Table4[[#This Row],[Status]]="08. Blank"),"")</f>
        <v>0</v>
      </c>
      <c r="AG37" s="59" t="str">
        <f>IF(Table4[[#This Row],[Required Risk Resolution Date]]="","FALSE",IF($AE$1&gt;Table4[[#This Row],[Required Risk Resolution Date]],TRUE,FALSE))</f>
        <v>FALSE</v>
      </c>
      <c r="AH37" s="58" t="b">
        <f t="shared" ca="1" si="0"/>
        <v>0</v>
      </c>
      <c r="AI37" s="58" t="b">
        <f t="shared" ca="1" si="1"/>
        <v>0</v>
      </c>
      <c r="AJ37" s="58" t="b">
        <f t="shared" ca="1" si="2"/>
        <v>1</v>
      </c>
      <c r="AK37" s="58" t="b">
        <f>OR(Table4[[#This Row],[Priority]]="Critical",Table4[[#This Row],[Priority]]="High")</f>
        <v>0</v>
      </c>
      <c r="AL37" s="283">
        <f ca="1">Table4[[#This Row],[Required Risk Resolution Date]]-$AE$1</f>
        <v>-40990</v>
      </c>
      <c r="AM37" s="58" t="b">
        <f t="shared" ca="1" si="3"/>
        <v>0</v>
      </c>
      <c r="AN37" s="59" t="b">
        <f>OR(Table4[[#This Row],[Priority]]="Critical",Table4[[#This Row],[Priority]]="High",Table4[[#This Row],[Priority]]="Moderate")</f>
        <v>1</v>
      </c>
    </row>
    <row r="38" spans="1:40" s="59" customFormat="1" ht="89.25" customHeight="1">
      <c r="A38" s="60" t="s">
        <v>255</v>
      </c>
      <c r="B38" s="61">
        <v>40911</v>
      </c>
      <c r="C38" s="60" t="s">
        <v>983</v>
      </c>
      <c r="D38" s="60" t="s">
        <v>1566</v>
      </c>
      <c r="E38" s="323" t="s">
        <v>1567</v>
      </c>
      <c r="F38" s="129" t="s">
        <v>2821</v>
      </c>
      <c r="G38" s="323" t="s">
        <v>978</v>
      </c>
      <c r="H38" s="323" t="s">
        <v>721</v>
      </c>
      <c r="I38" s="323" t="s">
        <v>2762</v>
      </c>
      <c r="J38" s="323" t="s">
        <v>1779</v>
      </c>
      <c r="K38" s="323" t="s">
        <v>1779</v>
      </c>
      <c r="L38" s="323" t="s">
        <v>127</v>
      </c>
      <c r="M38" s="323" t="s">
        <v>1484</v>
      </c>
      <c r="N38" s="323" t="s">
        <v>83</v>
      </c>
      <c r="O38" s="323" t="s">
        <v>167</v>
      </c>
      <c r="P38" s="323" t="s">
        <v>91</v>
      </c>
      <c r="Q38" s="323" t="s">
        <v>93</v>
      </c>
      <c r="R38" s="323" t="s">
        <v>167</v>
      </c>
      <c r="S38" s="323" t="s">
        <v>1568</v>
      </c>
      <c r="T38" s="323" t="s">
        <v>1569</v>
      </c>
      <c r="U38" s="323"/>
      <c r="V38" s="323"/>
      <c r="W38" s="323" t="s">
        <v>2937</v>
      </c>
      <c r="X38" s="55">
        <v>41003</v>
      </c>
      <c r="Y38" s="323" t="s">
        <v>1564</v>
      </c>
      <c r="Z38" s="323"/>
      <c r="AA38" s="162">
        <v>41003</v>
      </c>
      <c r="AB38" s="323"/>
      <c r="AC38" s="6" t="s">
        <v>1500</v>
      </c>
      <c r="AE38" s="283">
        <f ca="1">$AE$1-Table4[[#This Row],[Date Captured]]</f>
        <v>79</v>
      </c>
      <c r="AF38" s="59" t="b">
        <f>IFERROR(OR(Table4[[#This Row],[Status]]="02. Open &amp; Assigned",Table4[[#This Row],[Status]]="01. Open",Table4[[#This Row],[Status]]="03. Action/Mitigation Plan Defined",Table4[[#This Row],[Status]]="04. Action Plan Completed",Table4[[#This Row],[Status]]="08. Blank"),"")</f>
        <v>1</v>
      </c>
      <c r="AG38" s="59" t="b">
        <f ca="1">IF(Table4[[#This Row],[Required Risk Resolution Date]]="","FALSE",IF($AE$1&gt;Table4[[#This Row],[Required Risk Resolution Date]],TRUE,FALSE))</f>
        <v>0</v>
      </c>
      <c r="AH38" s="58" t="b">
        <f t="shared" ca="1" si="0"/>
        <v>1</v>
      </c>
      <c r="AI38" s="58" t="b">
        <f t="shared" ca="1" si="1"/>
        <v>0</v>
      </c>
      <c r="AJ38" s="58" t="b">
        <f t="shared" ca="1" si="2"/>
        <v>0</v>
      </c>
      <c r="AK38" s="58" t="b">
        <f>OR(Table4[[#This Row],[Priority]]="Critical",Table4[[#This Row],[Priority]]="High")</f>
        <v>1</v>
      </c>
      <c r="AL38" s="283">
        <f ca="1">Table4[[#This Row],[Required Risk Resolution Date]]-$AE$1</f>
        <v>13</v>
      </c>
      <c r="AM38" s="58" t="b">
        <f t="shared" ca="1" si="3"/>
        <v>0</v>
      </c>
      <c r="AN38" s="59" t="b">
        <f>OR(Table4[[#This Row],[Priority]]="Critical",Table4[[#This Row],[Priority]]="High",Table4[[#This Row],[Priority]]="Moderate")</f>
        <v>1</v>
      </c>
    </row>
    <row r="39" spans="1:40" ht="167.25" hidden="1" customHeight="1">
      <c r="A39" s="365" t="s">
        <v>2188</v>
      </c>
      <c r="B39" s="366">
        <v>40955</v>
      </c>
      <c r="C39" s="365" t="s">
        <v>2286</v>
      </c>
      <c r="D39" s="365" t="s">
        <v>171</v>
      </c>
      <c r="E39" s="7" t="s">
        <v>2289</v>
      </c>
      <c r="F39" s="367" t="s">
        <v>2290</v>
      </c>
      <c r="G39" s="367"/>
      <c r="H39" s="367" t="s">
        <v>149</v>
      </c>
      <c r="I39" s="367"/>
      <c r="J39" s="367"/>
      <c r="K39" s="367" t="s">
        <v>2291</v>
      </c>
      <c r="L39" s="370" t="s">
        <v>128</v>
      </c>
      <c r="M39" s="324" t="s">
        <v>1579</v>
      </c>
      <c r="N39" s="324" t="s">
        <v>83</v>
      </c>
      <c r="O39" s="324" t="s">
        <v>167</v>
      </c>
      <c r="P39" s="324" t="s">
        <v>93</v>
      </c>
      <c r="Q39" s="324" t="s">
        <v>167</v>
      </c>
      <c r="R39" s="324" t="s">
        <v>109</v>
      </c>
      <c r="S39" s="324" t="s">
        <v>2164</v>
      </c>
      <c r="T39" s="324" t="s">
        <v>29</v>
      </c>
      <c r="U39" s="324" t="s">
        <v>2164</v>
      </c>
      <c r="V39" s="378"/>
      <c r="W39" s="151" t="s">
        <v>2583</v>
      </c>
      <c r="X39" s="382">
        <v>40975</v>
      </c>
      <c r="Y39" s="323"/>
      <c r="Z39" s="323" t="s">
        <v>2584</v>
      </c>
      <c r="AA39" s="162"/>
      <c r="AB39" s="55">
        <v>40975</v>
      </c>
      <c r="AC39" s="323" t="s">
        <v>2189</v>
      </c>
      <c r="AE39" s="283">
        <f ca="1">$AE$1-Table4[[#This Row],[Date Captured]]</f>
        <v>35</v>
      </c>
      <c r="AF39" s="58" t="b">
        <f>IFERROR(OR(Table4[[#This Row],[Status]]="02. Open &amp; Assigned",Table4[[#This Row],[Status]]="01. Open",Table4[[#This Row],[Status]]="03. Action/Mitigation Plan Defined",Table4[[#This Row],[Status]]="04. Action Plan Completed",Table4[[#This Row],[Status]]="08. Blank"),"")</f>
        <v>0</v>
      </c>
      <c r="AG39" s="58" t="str">
        <f>IF(Table4[[#This Row],[Required Risk Resolution Date]]="","FALSE",IF($AE$1&gt;Table4[[#This Row],[Required Risk Resolution Date]],TRUE,FALSE))</f>
        <v>FALSE</v>
      </c>
      <c r="AH39" s="58" t="b">
        <f t="shared" ca="1" si="0"/>
        <v>1</v>
      </c>
      <c r="AI39" s="58" t="b">
        <f t="shared" ca="1" si="1"/>
        <v>0</v>
      </c>
      <c r="AJ39" s="58" t="b">
        <f t="shared" ca="1" si="2"/>
        <v>0</v>
      </c>
      <c r="AK39" s="58" t="b">
        <f>OR(Table4[[#This Row],[Priority]]="Critical",Table4[[#This Row],[Priority]]="High")</f>
        <v>1</v>
      </c>
      <c r="AL39" s="283">
        <f ca="1">Table4[[#This Row],[Required Risk Resolution Date]]-$AE$1</f>
        <v>-40990</v>
      </c>
      <c r="AM39" s="58" t="b">
        <f t="shared" ca="1" si="3"/>
        <v>0</v>
      </c>
      <c r="AN39" s="59" t="b">
        <f>OR(Table4[[#This Row],[Priority]]="Critical",Table4[[#This Row],[Priority]]="High",Table4[[#This Row],[Priority]]="Moderate")</f>
        <v>1</v>
      </c>
    </row>
    <row r="40" spans="1:40" s="59" customFormat="1" ht="105.75" customHeight="1">
      <c r="A40" s="60" t="s">
        <v>2368</v>
      </c>
      <c r="B40" s="61">
        <v>40982</v>
      </c>
      <c r="C40" s="60" t="s">
        <v>323</v>
      </c>
      <c r="D40" s="60" t="s">
        <v>1566</v>
      </c>
      <c r="E40" s="323" t="s">
        <v>2822</v>
      </c>
      <c r="F40" s="323" t="s">
        <v>2823</v>
      </c>
      <c r="G40" s="323" t="s">
        <v>2824</v>
      </c>
      <c r="H40" s="323" t="s">
        <v>721</v>
      </c>
      <c r="I40" s="323" t="s">
        <v>2762</v>
      </c>
      <c r="J40" s="323" t="s">
        <v>1779</v>
      </c>
      <c r="K40" s="323" t="s">
        <v>2825</v>
      </c>
      <c r="L40" s="323" t="s">
        <v>128</v>
      </c>
      <c r="M40" s="323" t="s">
        <v>1489</v>
      </c>
      <c r="N40" s="323" t="s">
        <v>79</v>
      </c>
      <c r="O40" s="323" t="s">
        <v>91</v>
      </c>
      <c r="P40" s="323" t="s">
        <v>91</v>
      </c>
      <c r="Q40" s="323" t="s">
        <v>167</v>
      </c>
      <c r="R40" s="323" t="s">
        <v>167</v>
      </c>
      <c r="S40" s="323" t="s">
        <v>2827</v>
      </c>
      <c r="T40" s="323" t="s">
        <v>29</v>
      </c>
      <c r="U40" s="323" t="s">
        <v>2828</v>
      </c>
      <c r="V40" s="323" t="s">
        <v>2829</v>
      </c>
      <c r="W40" s="323" t="s">
        <v>2830</v>
      </c>
      <c r="X40" s="55">
        <v>40982</v>
      </c>
      <c r="Y40" s="323" t="s">
        <v>1564</v>
      </c>
      <c r="Z40" s="323" t="s">
        <v>2831</v>
      </c>
      <c r="AA40" s="162">
        <v>41001</v>
      </c>
      <c r="AB40" s="323"/>
      <c r="AC40" s="6"/>
      <c r="AE40" s="283">
        <f ca="1">$AE$1-Table4[[#This Row],[Date Captured]]</f>
        <v>8</v>
      </c>
      <c r="AF40" s="59" t="b">
        <f>IFERROR(OR(Table4[[#This Row],[Status]]="02. Open &amp; Assigned",Table4[[#This Row],[Status]]="01. Open",Table4[[#This Row],[Status]]="03. Action/Mitigation Plan Defined",Table4[[#This Row],[Status]]="04. Action Plan Completed",Table4[[#This Row],[Status]]="08. Blank"),"")</f>
        <v>1</v>
      </c>
      <c r="AG40" s="59" t="b">
        <f ca="1">IF(Table4[[#This Row],[Required Risk Resolution Date]]="","FALSE",IF($AE$1&gt;Table4[[#This Row],[Required Risk Resolution Date]],TRUE,FALSE))</f>
        <v>0</v>
      </c>
      <c r="AH40" s="58" t="b">
        <f t="shared" ca="1" si="0"/>
        <v>0</v>
      </c>
      <c r="AI40" s="58" t="b">
        <f t="shared" ca="1" si="1"/>
        <v>0</v>
      </c>
      <c r="AJ40" s="58" t="b">
        <f t="shared" ca="1" si="2"/>
        <v>0</v>
      </c>
      <c r="AK40" s="58" t="b">
        <f>OR(Table4[[#This Row],[Priority]]="Critical",Table4[[#This Row],[Priority]]="High")</f>
        <v>1</v>
      </c>
      <c r="AL40" s="283">
        <f ca="1">Table4[[#This Row],[Required Risk Resolution Date]]-$AE$1</f>
        <v>11</v>
      </c>
      <c r="AM40" s="58" t="b">
        <f t="shared" ca="1" si="3"/>
        <v>0</v>
      </c>
      <c r="AN40" s="59" t="b">
        <f>OR(Table4[[#This Row],[Priority]]="Critical",Table4[[#This Row],[Priority]]="High",Table4[[#This Row],[Priority]]="Moderate")</f>
        <v>1</v>
      </c>
    </row>
    <row r="41" spans="1:40" s="59" customFormat="1" ht="243">
      <c r="A41" s="60" t="s">
        <v>2369</v>
      </c>
      <c r="B41" s="61">
        <v>40982</v>
      </c>
      <c r="C41" s="60" t="s">
        <v>323</v>
      </c>
      <c r="D41" s="60" t="s">
        <v>1566</v>
      </c>
      <c r="E41" s="323" t="s">
        <v>2832</v>
      </c>
      <c r="F41" s="323" t="s">
        <v>2833</v>
      </c>
      <c r="G41" s="323" t="s">
        <v>2834</v>
      </c>
      <c r="H41" s="323" t="s">
        <v>721</v>
      </c>
      <c r="I41" s="323" t="s">
        <v>2762</v>
      </c>
      <c r="J41" s="323" t="s">
        <v>1779</v>
      </c>
      <c r="K41" s="323" t="s">
        <v>2826</v>
      </c>
      <c r="L41" s="323" t="s">
        <v>127</v>
      </c>
      <c r="M41" s="323" t="s">
        <v>1489</v>
      </c>
      <c r="N41" s="323" t="s">
        <v>81</v>
      </c>
      <c r="O41" s="323" t="s">
        <v>93</v>
      </c>
      <c r="P41" s="323" t="s">
        <v>91</v>
      </c>
      <c r="Q41" s="323" t="s">
        <v>93</v>
      </c>
      <c r="R41" s="323" t="s">
        <v>93</v>
      </c>
      <c r="S41" s="323" t="s">
        <v>2835</v>
      </c>
      <c r="T41" s="323" t="s">
        <v>291</v>
      </c>
      <c r="U41" s="323" t="s">
        <v>1130</v>
      </c>
      <c r="V41" s="323" t="s">
        <v>2836</v>
      </c>
      <c r="W41" s="323" t="s">
        <v>2837</v>
      </c>
      <c r="X41" s="55">
        <v>40982</v>
      </c>
      <c r="Y41" s="323" t="s">
        <v>1564</v>
      </c>
      <c r="Z41" s="323" t="s">
        <v>2838</v>
      </c>
      <c r="AA41" s="162">
        <v>40998</v>
      </c>
      <c r="AB41" s="323"/>
      <c r="AC41" s="6"/>
      <c r="AE41" s="283">
        <f ca="1">$AE$1-Table4[[#This Row],[Date Captured]]</f>
        <v>8</v>
      </c>
      <c r="AF41" s="59" t="b">
        <f>IFERROR(OR(Table4[[#This Row],[Status]]="02. Open &amp; Assigned",Table4[[#This Row],[Status]]="01. Open",Table4[[#This Row],[Status]]="03. Action/Mitigation Plan Defined",Table4[[#This Row],[Status]]="04. Action Plan Completed",Table4[[#This Row],[Status]]="08. Blank"),"")</f>
        <v>1</v>
      </c>
      <c r="AG41" s="59" t="b">
        <f ca="1">IF(Table4[[#This Row],[Required Risk Resolution Date]]="","FALSE",IF($AE$1&gt;Table4[[#This Row],[Required Risk Resolution Date]],TRUE,FALSE))</f>
        <v>0</v>
      </c>
      <c r="AH41" s="58" t="b">
        <f t="shared" ca="1" si="0"/>
        <v>0</v>
      </c>
      <c r="AI41" s="58" t="b">
        <f t="shared" ca="1" si="1"/>
        <v>0</v>
      </c>
      <c r="AJ41" s="58" t="b">
        <f t="shared" ca="1" si="2"/>
        <v>0</v>
      </c>
      <c r="AK41" s="58" t="b">
        <f>OR(Table4[[#This Row],[Priority]]="Critical",Table4[[#This Row],[Priority]]="High")</f>
        <v>1</v>
      </c>
      <c r="AL41" s="283">
        <f ca="1">Table4[[#This Row],[Required Risk Resolution Date]]-$AE$1</f>
        <v>8</v>
      </c>
      <c r="AM41" s="58" t="b">
        <f t="shared" ca="1" si="3"/>
        <v>0</v>
      </c>
      <c r="AN41" s="59" t="b">
        <f>OR(Table4[[#This Row],[Priority]]="Critical",Table4[[#This Row],[Priority]]="High",Table4[[#This Row],[Priority]]="Moderate")</f>
        <v>1</v>
      </c>
    </row>
    <row r="42" spans="1:40" s="59" customFormat="1" ht="132" hidden="1">
      <c r="A42" s="60" t="s">
        <v>178</v>
      </c>
      <c r="B42" s="61">
        <v>40655</v>
      </c>
      <c r="C42" s="60"/>
      <c r="D42" s="60" t="s">
        <v>171</v>
      </c>
      <c r="E42" s="7"/>
      <c r="F42" s="56" t="s">
        <v>179</v>
      </c>
      <c r="G42" s="7"/>
      <c r="H42" s="7" t="s">
        <v>149</v>
      </c>
      <c r="I42" s="7"/>
      <c r="J42" s="7" t="s">
        <v>166</v>
      </c>
      <c r="K42" s="7" t="s">
        <v>166</v>
      </c>
      <c r="L42" s="6"/>
      <c r="M42" s="6"/>
      <c r="N42" s="7" t="s">
        <v>81</v>
      </c>
      <c r="O42" s="7" t="s">
        <v>93</v>
      </c>
      <c r="P42" s="7"/>
      <c r="Q42" s="7"/>
      <c r="R42" s="7"/>
      <c r="S42" s="7"/>
      <c r="T42" s="7" t="s">
        <v>29</v>
      </c>
      <c r="U42" s="7" t="s">
        <v>180</v>
      </c>
      <c r="V42" s="56" t="s">
        <v>181</v>
      </c>
      <c r="W42" s="56" t="s">
        <v>183</v>
      </c>
      <c r="X42" s="7"/>
      <c r="Y42" s="7"/>
      <c r="Z42" s="56" t="s">
        <v>182</v>
      </c>
      <c r="AA42" s="323"/>
      <c r="AB42" s="55">
        <v>40660</v>
      </c>
      <c r="AC42" s="6"/>
      <c r="AE42" s="283">
        <f ca="1">$AE$1-Table4[[#This Row],[Date Captured]]</f>
        <v>335</v>
      </c>
      <c r="AF42" s="59" t="b">
        <f>IFERROR(OR(Table4[[#This Row],[Status]]="02. Open &amp; Assigned",Table4[[#This Row],[Status]]="01. Open",Table4[[#This Row],[Status]]="03. Action/Mitigation Plan Defined",Table4[[#This Row],[Status]]="04. Action Plan Completed",Table4[[#This Row],[Status]]="08. Blank"),"")</f>
        <v>0</v>
      </c>
      <c r="AG42" s="59" t="str">
        <f>IF(Table4[[#This Row],[Required Risk Resolution Date]]="","FALSE",IF($AE$1&gt;Table4[[#This Row],[Required Risk Resolution Date]],TRUE,FALSE))</f>
        <v>FALSE</v>
      </c>
      <c r="AH42" s="58" t="b">
        <f t="shared" ca="1" si="0"/>
        <v>0</v>
      </c>
      <c r="AI42" s="58" t="b">
        <f t="shared" ca="1" si="1"/>
        <v>0</v>
      </c>
      <c r="AJ42" s="58" t="b">
        <f t="shared" ca="1" si="2"/>
        <v>1</v>
      </c>
      <c r="AK42" s="58" t="b">
        <f>OR(Table4[[#This Row],[Priority]]="Critical",Table4[[#This Row],[Priority]]="High")</f>
        <v>0</v>
      </c>
      <c r="AL42" s="283">
        <f ca="1">Table4[[#This Row],[Required Risk Resolution Date]]-$AE$1</f>
        <v>-40990</v>
      </c>
      <c r="AM42" s="58" t="b">
        <f t="shared" ca="1" si="3"/>
        <v>0</v>
      </c>
      <c r="AN42" s="59" t="b">
        <f>OR(Table4[[#This Row],[Priority]]="Critical",Table4[[#This Row],[Priority]]="High",Table4[[#This Row],[Priority]]="Moderate")</f>
        <v>0</v>
      </c>
    </row>
    <row r="43" spans="1:40" s="59" customFormat="1" ht="94.5" hidden="1">
      <c r="A43" s="365" t="s">
        <v>2191</v>
      </c>
      <c r="B43" s="369">
        <v>40960</v>
      </c>
      <c r="C43" s="365" t="s">
        <v>2293</v>
      </c>
      <c r="D43" s="365" t="s">
        <v>171</v>
      </c>
      <c r="E43" s="367" t="s">
        <v>2296</v>
      </c>
      <c r="F43" s="367" t="s">
        <v>2297</v>
      </c>
      <c r="G43" s="367" t="s">
        <v>2629</v>
      </c>
      <c r="H43" s="367" t="s">
        <v>149</v>
      </c>
      <c r="I43" s="367"/>
      <c r="J43" s="367" t="s">
        <v>403</v>
      </c>
      <c r="K43" s="367" t="s">
        <v>2293</v>
      </c>
      <c r="L43" s="370" t="s">
        <v>128</v>
      </c>
      <c r="M43" s="324" t="s">
        <v>1579</v>
      </c>
      <c r="N43" s="324" t="s">
        <v>83</v>
      </c>
      <c r="O43" s="324" t="s">
        <v>167</v>
      </c>
      <c r="P43" s="324" t="s">
        <v>93</v>
      </c>
      <c r="Q43" s="324" t="s">
        <v>167</v>
      </c>
      <c r="R43" s="324" t="s">
        <v>109</v>
      </c>
      <c r="S43" s="324" t="s">
        <v>2164</v>
      </c>
      <c r="T43" s="324" t="s">
        <v>29</v>
      </c>
      <c r="U43" s="324" t="s">
        <v>2164</v>
      </c>
      <c r="V43" s="378" t="s">
        <v>2630</v>
      </c>
      <c r="W43" s="378" t="s">
        <v>2789</v>
      </c>
      <c r="X43" s="382">
        <v>40975</v>
      </c>
      <c r="Y43" s="323" t="s">
        <v>1582</v>
      </c>
      <c r="Z43" s="323" t="s">
        <v>2790</v>
      </c>
      <c r="AA43" s="162"/>
      <c r="AB43" s="55">
        <v>40981</v>
      </c>
      <c r="AC43" s="6"/>
      <c r="AE43" s="283">
        <f ca="1">$AE$1-Table4[[#This Row],[Date Captured]]</f>
        <v>30</v>
      </c>
      <c r="AF43" s="59" t="b">
        <f>IFERROR(OR(Table4[[#This Row],[Status]]="02. Open &amp; Assigned",Table4[[#This Row],[Status]]="01. Open",Table4[[#This Row],[Status]]="03. Action/Mitigation Plan Defined",Table4[[#This Row],[Status]]="04. Action Plan Completed",Table4[[#This Row],[Status]]="08. Blank"),"")</f>
        <v>0</v>
      </c>
      <c r="AG43" s="59" t="str">
        <f>IF(Table4[[#This Row],[Required Risk Resolution Date]]="","FALSE",IF($AE$1&gt;Table4[[#This Row],[Required Risk Resolution Date]],TRUE,FALSE))</f>
        <v>FALSE</v>
      </c>
      <c r="AH43" s="58" t="b">
        <f t="shared" ca="1" si="0"/>
        <v>1</v>
      </c>
      <c r="AI43" s="58" t="b">
        <f t="shared" ca="1" si="1"/>
        <v>0</v>
      </c>
      <c r="AJ43" s="58" t="b">
        <f t="shared" ca="1" si="2"/>
        <v>0</v>
      </c>
      <c r="AK43" s="58" t="b">
        <f>OR(Table4[[#This Row],[Priority]]="Critical",Table4[[#This Row],[Priority]]="High")</f>
        <v>1</v>
      </c>
      <c r="AL43" s="283">
        <f ca="1">Table4[[#This Row],[Required Risk Resolution Date]]-$AE$1</f>
        <v>-40990</v>
      </c>
      <c r="AM43" s="58" t="b">
        <f t="shared" ca="1" si="3"/>
        <v>0</v>
      </c>
      <c r="AN43" s="59" t="b">
        <f>OR(Table4[[#This Row],[Priority]]="Critical",Table4[[#This Row],[Priority]]="High",Table4[[#This Row],[Priority]]="Moderate")</f>
        <v>1</v>
      </c>
    </row>
    <row r="44" spans="1:40" s="59" customFormat="1" ht="207.75" hidden="1" customHeight="1">
      <c r="A44" s="60" t="s">
        <v>195</v>
      </c>
      <c r="B44" s="61">
        <v>40655</v>
      </c>
      <c r="C44" s="60"/>
      <c r="D44" s="60" t="s">
        <v>171</v>
      </c>
      <c r="E44" s="7"/>
      <c r="F44" s="56" t="s">
        <v>267</v>
      </c>
      <c r="G44" s="7"/>
      <c r="H44" s="7" t="s">
        <v>149</v>
      </c>
      <c r="I44" s="7"/>
      <c r="J44" s="7" t="s">
        <v>268</v>
      </c>
      <c r="K44" s="7"/>
      <c r="L44" s="6"/>
      <c r="M44" s="6"/>
      <c r="N44" s="7" t="s">
        <v>81</v>
      </c>
      <c r="O44" s="7" t="s">
        <v>93</v>
      </c>
      <c r="P44" s="7"/>
      <c r="Q44" s="7"/>
      <c r="R44" s="7"/>
      <c r="S44" s="7"/>
      <c r="T44" s="7" t="s">
        <v>29</v>
      </c>
      <c r="U44" s="7" t="s">
        <v>180</v>
      </c>
      <c r="V44" s="56" t="s">
        <v>269</v>
      </c>
      <c r="W44" s="56" t="s">
        <v>271</v>
      </c>
      <c r="X44" s="7"/>
      <c r="Y44" s="7"/>
      <c r="Z44" s="56" t="s">
        <v>182</v>
      </c>
      <c r="AA44" s="323"/>
      <c r="AB44" s="55">
        <v>40660</v>
      </c>
      <c r="AC44" s="6"/>
      <c r="AE44" s="283">
        <f ca="1">$AE$1-Table4[[#This Row],[Date Captured]]</f>
        <v>335</v>
      </c>
      <c r="AF44" s="59" t="b">
        <f>IFERROR(OR(Table4[[#This Row],[Status]]="02. Open &amp; Assigned",Table4[[#This Row],[Status]]="01. Open",Table4[[#This Row],[Status]]="03. Action/Mitigation Plan Defined",Table4[[#This Row],[Status]]="04. Action Plan Completed",Table4[[#This Row],[Status]]="08. Blank"),"")</f>
        <v>0</v>
      </c>
      <c r="AG44" s="59" t="str">
        <f>IF(Table4[[#This Row],[Required Risk Resolution Date]]="","FALSE",IF($AE$1&gt;Table4[[#This Row],[Required Risk Resolution Date]],TRUE,FALSE))</f>
        <v>FALSE</v>
      </c>
      <c r="AH44" s="58" t="b">
        <f t="shared" ca="1" si="0"/>
        <v>0</v>
      </c>
      <c r="AI44" s="58" t="b">
        <f t="shared" ca="1" si="1"/>
        <v>0</v>
      </c>
      <c r="AJ44" s="58" t="b">
        <f t="shared" ca="1" si="2"/>
        <v>1</v>
      </c>
      <c r="AK44" s="58" t="b">
        <f>OR(Table4[[#This Row],[Priority]]="Critical",Table4[[#This Row],[Priority]]="High")</f>
        <v>0</v>
      </c>
      <c r="AL44" s="283">
        <f ca="1">Table4[[#This Row],[Required Risk Resolution Date]]-$AE$1</f>
        <v>-40990</v>
      </c>
      <c r="AM44" s="58" t="b">
        <f t="shared" ca="1" si="3"/>
        <v>0</v>
      </c>
      <c r="AN44" s="59" t="b">
        <f>OR(Table4[[#This Row],[Priority]]="Critical",Table4[[#This Row],[Priority]]="High",Table4[[#This Row],[Priority]]="Moderate")</f>
        <v>0</v>
      </c>
    </row>
    <row r="45" spans="1:40" ht="120" hidden="1">
      <c r="A45" s="60" t="s">
        <v>199</v>
      </c>
      <c r="B45" s="61">
        <v>40673</v>
      </c>
      <c r="C45" s="60"/>
      <c r="D45" s="60" t="s">
        <v>171</v>
      </c>
      <c r="E45" s="323"/>
      <c r="F45" s="56" t="s">
        <v>289</v>
      </c>
      <c r="G45" s="323"/>
      <c r="H45" s="323" t="s">
        <v>149</v>
      </c>
      <c r="I45" s="323"/>
      <c r="J45" s="323" t="s">
        <v>166</v>
      </c>
      <c r="K45" s="323"/>
      <c r="L45" s="323"/>
      <c r="M45" s="323"/>
      <c r="N45" s="323" t="s">
        <v>81</v>
      </c>
      <c r="O45" s="323" t="s">
        <v>93</v>
      </c>
      <c r="P45" s="323"/>
      <c r="Q45" s="323"/>
      <c r="R45" s="323"/>
      <c r="S45" s="323"/>
      <c r="T45" s="323" t="s">
        <v>29</v>
      </c>
      <c r="U45" s="323" t="s">
        <v>180</v>
      </c>
      <c r="V45" s="56"/>
      <c r="W45" s="56" t="s">
        <v>292</v>
      </c>
      <c r="X45" s="323"/>
      <c r="Y45" s="323"/>
      <c r="Z45" s="323"/>
      <c r="AA45" s="323"/>
      <c r="AB45" s="55">
        <v>40674</v>
      </c>
      <c r="AC45" s="6"/>
      <c r="AE45" s="283">
        <f ca="1">$AE$1-Table4[[#This Row],[Date Captured]]</f>
        <v>317</v>
      </c>
      <c r="AF45" s="58" t="b">
        <f>IFERROR(OR(Table4[[#This Row],[Status]]="02. Open &amp; Assigned",Table4[[#This Row],[Status]]="01. Open",Table4[[#This Row],[Status]]="03. Action/Mitigation Plan Defined",Table4[[#This Row],[Status]]="04. Action Plan Completed",Table4[[#This Row],[Status]]="08. Blank"),"")</f>
        <v>0</v>
      </c>
      <c r="AG45" s="58" t="str">
        <f>IF(Table4[[#This Row],[Required Risk Resolution Date]]="","FALSE",IF($AE$1&gt;Table4[[#This Row],[Required Risk Resolution Date]],TRUE,FALSE))</f>
        <v>FALSE</v>
      </c>
      <c r="AH45" s="58" t="b">
        <f t="shared" ca="1" si="0"/>
        <v>0</v>
      </c>
      <c r="AI45" s="58" t="b">
        <f t="shared" ca="1" si="1"/>
        <v>0</v>
      </c>
      <c r="AJ45" s="58" t="b">
        <f t="shared" ca="1" si="2"/>
        <v>1</v>
      </c>
      <c r="AK45" s="58" t="b">
        <f>OR(Table4[[#This Row],[Priority]]="Critical",Table4[[#This Row],[Priority]]="High")</f>
        <v>0</v>
      </c>
      <c r="AL45" s="283">
        <f ca="1">Table4[[#This Row],[Required Risk Resolution Date]]-$AE$1</f>
        <v>-40990</v>
      </c>
      <c r="AM45" s="58" t="b">
        <f t="shared" ca="1" si="3"/>
        <v>0</v>
      </c>
      <c r="AN45" s="59" t="b">
        <f>OR(Table4[[#This Row],[Priority]]="Critical",Table4[[#This Row],[Priority]]="High",Table4[[#This Row],[Priority]]="Moderate")</f>
        <v>0</v>
      </c>
    </row>
    <row r="46" spans="1:40" ht="161.25" hidden="1" customHeight="1">
      <c r="A46" s="60" t="s">
        <v>200</v>
      </c>
      <c r="B46" s="61">
        <v>40673</v>
      </c>
      <c r="C46" s="60"/>
      <c r="D46" s="60" t="s">
        <v>171</v>
      </c>
      <c r="E46" s="6"/>
      <c r="F46" s="56" t="s">
        <v>290</v>
      </c>
      <c r="G46" s="323"/>
      <c r="H46" s="323" t="s">
        <v>149</v>
      </c>
      <c r="I46" s="323"/>
      <c r="J46" s="323" t="s">
        <v>261</v>
      </c>
      <c r="K46" s="6"/>
      <c r="L46" s="6"/>
      <c r="M46" s="6"/>
      <c r="N46" s="6" t="s">
        <v>81</v>
      </c>
      <c r="O46" s="6" t="s">
        <v>93</v>
      </c>
      <c r="P46" s="6"/>
      <c r="Q46" s="6"/>
      <c r="R46" s="323"/>
      <c r="S46" s="6"/>
      <c r="T46" s="323" t="s">
        <v>291</v>
      </c>
      <c r="U46" s="323" t="s">
        <v>180</v>
      </c>
      <c r="V46" s="56"/>
      <c r="W46" s="56" t="s">
        <v>293</v>
      </c>
      <c r="X46" s="55">
        <v>40723</v>
      </c>
      <c r="Y46" s="323"/>
      <c r="Z46" s="323"/>
      <c r="AA46" s="323"/>
      <c r="AB46" s="55">
        <v>40723</v>
      </c>
      <c r="AC46" s="6"/>
      <c r="AE46" s="283">
        <f ca="1">$AE$1-Table4[[#This Row],[Date Captured]]</f>
        <v>317</v>
      </c>
      <c r="AF46" s="58" t="b">
        <f>IFERROR(OR(Table4[[#This Row],[Status]]="02. Open &amp; Assigned",Table4[[#This Row],[Status]]="01. Open",Table4[[#This Row],[Status]]="03. Action/Mitigation Plan Defined",Table4[[#This Row],[Status]]="04. Action Plan Completed",Table4[[#This Row],[Status]]="08. Blank"),"")</f>
        <v>0</v>
      </c>
      <c r="AG46" s="58" t="str">
        <f>IF(Table4[[#This Row],[Required Risk Resolution Date]]="","FALSE",IF($AE$1&gt;Table4[[#This Row],[Required Risk Resolution Date]],TRUE,FALSE))</f>
        <v>FALSE</v>
      </c>
      <c r="AH46" s="58" t="b">
        <f t="shared" ca="1" si="0"/>
        <v>0</v>
      </c>
      <c r="AI46" s="58" t="b">
        <f t="shared" ca="1" si="1"/>
        <v>0</v>
      </c>
      <c r="AJ46" s="58" t="b">
        <f t="shared" ca="1" si="2"/>
        <v>1</v>
      </c>
      <c r="AK46" s="58" t="b">
        <f>OR(Table4[[#This Row],[Priority]]="Critical",Table4[[#This Row],[Priority]]="High")</f>
        <v>0</v>
      </c>
      <c r="AL46" s="283">
        <f ca="1">Table4[[#This Row],[Required Risk Resolution Date]]-$AE$1</f>
        <v>-40990</v>
      </c>
      <c r="AM46" s="58" t="b">
        <f t="shared" ca="1" si="3"/>
        <v>0</v>
      </c>
      <c r="AN46" s="59" t="b">
        <f>OR(Table4[[#This Row],[Priority]]="Critical",Table4[[#This Row],[Priority]]="High",Table4[[#This Row],[Priority]]="Moderate")</f>
        <v>0</v>
      </c>
    </row>
    <row r="47" spans="1:40" s="59" customFormat="1" ht="243.75" hidden="1" customHeight="1">
      <c r="A47" s="60" t="s">
        <v>206</v>
      </c>
      <c r="B47" s="61">
        <v>40674</v>
      </c>
      <c r="C47" s="60"/>
      <c r="D47" s="60" t="s">
        <v>171</v>
      </c>
      <c r="E47" s="6"/>
      <c r="F47" s="56" t="s">
        <v>305</v>
      </c>
      <c r="G47" s="323"/>
      <c r="H47" s="56" t="s">
        <v>149</v>
      </c>
      <c r="I47" s="56"/>
      <c r="J47" s="56" t="s">
        <v>166</v>
      </c>
      <c r="K47" s="6"/>
      <c r="L47" s="6"/>
      <c r="M47" s="6"/>
      <c r="N47" s="6" t="s">
        <v>81</v>
      </c>
      <c r="O47" s="6" t="s">
        <v>93</v>
      </c>
      <c r="P47" s="6"/>
      <c r="Q47" s="6"/>
      <c r="R47" s="6"/>
      <c r="S47" s="6"/>
      <c r="T47" s="323" t="s">
        <v>291</v>
      </c>
      <c r="U47" s="323"/>
      <c r="V47" s="323"/>
      <c r="W47" s="56" t="s">
        <v>306</v>
      </c>
      <c r="X47" s="55">
        <v>40709</v>
      </c>
      <c r="Y47" s="323"/>
      <c r="Z47" s="323"/>
      <c r="AA47" s="323"/>
      <c r="AB47" s="55">
        <v>40702</v>
      </c>
      <c r="AC47" s="6"/>
      <c r="AE47" s="283">
        <f ca="1">$AE$1-Table4[[#This Row],[Date Captured]]</f>
        <v>316</v>
      </c>
      <c r="AF47" s="59" t="b">
        <f>IFERROR(OR(Table4[[#This Row],[Status]]="02. Open &amp; Assigned",Table4[[#This Row],[Status]]="01. Open",Table4[[#This Row],[Status]]="03. Action/Mitigation Plan Defined",Table4[[#This Row],[Status]]="04. Action Plan Completed",Table4[[#This Row],[Status]]="08. Blank"),"")</f>
        <v>0</v>
      </c>
      <c r="AG47" s="59" t="str">
        <f>IF(Table4[[#This Row],[Required Risk Resolution Date]]="","FALSE",IF($AE$1&gt;Table4[[#This Row],[Required Risk Resolution Date]],TRUE,FALSE))</f>
        <v>FALSE</v>
      </c>
      <c r="AH47" s="58" t="b">
        <f t="shared" ca="1" si="0"/>
        <v>0</v>
      </c>
      <c r="AI47" s="58" t="b">
        <f t="shared" ca="1" si="1"/>
        <v>0</v>
      </c>
      <c r="AJ47" s="58" t="b">
        <f t="shared" ca="1" si="2"/>
        <v>1</v>
      </c>
      <c r="AK47" s="58" t="b">
        <f>OR(Table4[[#This Row],[Priority]]="Critical",Table4[[#This Row],[Priority]]="High")</f>
        <v>0</v>
      </c>
      <c r="AL47" s="283">
        <f ca="1">Table4[[#This Row],[Required Risk Resolution Date]]-$AE$1</f>
        <v>-40990</v>
      </c>
      <c r="AM47" s="58" t="b">
        <f t="shared" ca="1" si="3"/>
        <v>0</v>
      </c>
      <c r="AN47" s="59" t="b">
        <f>OR(Table4[[#This Row],[Priority]]="Critical",Table4[[#This Row],[Priority]]="High",Table4[[#This Row],[Priority]]="Moderate")</f>
        <v>0</v>
      </c>
    </row>
    <row r="48" spans="1:40" s="59" customFormat="1" ht="108" hidden="1">
      <c r="A48" s="60" t="s">
        <v>208</v>
      </c>
      <c r="B48" s="61">
        <v>40702</v>
      </c>
      <c r="C48" s="60"/>
      <c r="D48" s="60" t="s">
        <v>171</v>
      </c>
      <c r="E48" s="6"/>
      <c r="F48" s="56" t="s">
        <v>312</v>
      </c>
      <c r="G48" s="56"/>
      <c r="H48" s="56" t="s">
        <v>149</v>
      </c>
      <c r="I48" s="56"/>
      <c r="J48" s="56" t="s">
        <v>166</v>
      </c>
      <c r="K48" s="6"/>
      <c r="L48" s="6"/>
      <c r="M48" s="6"/>
      <c r="N48" s="6" t="s">
        <v>81</v>
      </c>
      <c r="O48" s="6" t="s">
        <v>93</v>
      </c>
      <c r="P48" s="6"/>
      <c r="Q48" s="6"/>
      <c r="R48" s="6"/>
      <c r="S48" s="6"/>
      <c r="T48" s="56" t="s">
        <v>291</v>
      </c>
      <c r="U48" s="56"/>
      <c r="V48" s="56"/>
      <c r="W48" s="56" t="s">
        <v>313</v>
      </c>
      <c r="X48" s="55">
        <v>40702</v>
      </c>
      <c r="Y48" s="323"/>
      <c r="Z48" s="56" t="s">
        <v>314</v>
      </c>
      <c r="AA48" s="323"/>
      <c r="AB48" s="323"/>
      <c r="AC48" s="6"/>
      <c r="AE48" s="283">
        <f ca="1">$AE$1-Table4[[#This Row],[Date Captured]]</f>
        <v>288</v>
      </c>
      <c r="AF48" s="59" t="b">
        <f>IFERROR(OR(Table4[[#This Row],[Status]]="02. Open &amp; Assigned",Table4[[#This Row],[Status]]="01. Open",Table4[[#This Row],[Status]]="03. Action/Mitigation Plan Defined",Table4[[#This Row],[Status]]="04. Action Plan Completed",Table4[[#This Row],[Status]]="08. Blank"),"")</f>
        <v>0</v>
      </c>
      <c r="AG48" s="59" t="str">
        <f>IF(Table4[[#This Row],[Required Risk Resolution Date]]="","FALSE",IF($AE$1&gt;Table4[[#This Row],[Required Risk Resolution Date]],TRUE,FALSE))</f>
        <v>FALSE</v>
      </c>
      <c r="AH48" s="58" t="b">
        <f t="shared" ca="1" si="0"/>
        <v>0</v>
      </c>
      <c r="AI48" s="58" t="b">
        <f t="shared" ca="1" si="1"/>
        <v>0</v>
      </c>
      <c r="AJ48" s="58" t="b">
        <f t="shared" ca="1" si="2"/>
        <v>1</v>
      </c>
      <c r="AK48" s="58" t="b">
        <f>OR(Table4[[#This Row],[Priority]]="Critical",Table4[[#This Row],[Priority]]="High")</f>
        <v>0</v>
      </c>
      <c r="AL48" s="283">
        <f ca="1">Table4[[#This Row],[Required Risk Resolution Date]]-$AE$1</f>
        <v>-40990</v>
      </c>
      <c r="AM48" s="58" t="b">
        <f t="shared" ca="1" si="3"/>
        <v>0</v>
      </c>
      <c r="AN48" s="59" t="b">
        <f>OR(Table4[[#This Row],[Priority]]="Critical",Table4[[#This Row],[Priority]]="High",Table4[[#This Row],[Priority]]="Moderate")</f>
        <v>0</v>
      </c>
    </row>
    <row r="49" spans="1:40" s="59" customFormat="1" ht="144" hidden="1">
      <c r="A49" s="60" t="s">
        <v>209</v>
      </c>
      <c r="B49" s="61">
        <v>40702</v>
      </c>
      <c r="C49" s="60"/>
      <c r="D49" s="60" t="s">
        <v>171</v>
      </c>
      <c r="E49" s="6"/>
      <c r="F49" s="56" t="s">
        <v>315</v>
      </c>
      <c r="G49" s="323"/>
      <c r="H49" s="56" t="s">
        <v>149</v>
      </c>
      <c r="I49" s="56"/>
      <c r="J49" s="56" t="s">
        <v>166</v>
      </c>
      <c r="K49" s="6"/>
      <c r="L49" s="6"/>
      <c r="M49" s="6"/>
      <c r="N49" s="6" t="s">
        <v>81</v>
      </c>
      <c r="O49" s="6" t="s">
        <v>93</v>
      </c>
      <c r="P49" s="6"/>
      <c r="Q49" s="6"/>
      <c r="R49" s="6"/>
      <c r="S49" s="6"/>
      <c r="T49" s="56" t="s">
        <v>29</v>
      </c>
      <c r="U49" s="56"/>
      <c r="V49" s="56" t="s">
        <v>318</v>
      </c>
      <c r="W49" s="56" t="s">
        <v>319</v>
      </c>
      <c r="X49" s="64">
        <v>40730</v>
      </c>
      <c r="Y49" s="64"/>
      <c r="Z49" s="56"/>
      <c r="AA49" s="63"/>
      <c r="AB49" s="63">
        <v>40730</v>
      </c>
      <c r="AC49" s="6"/>
      <c r="AE49" s="283">
        <f ca="1">$AE$1-Table4[[#This Row],[Date Captured]]</f>
        <v>288</v>
      </c>
      <c r="AF49" s="59" t="b">
        <f>IFERROR(OR(Table4[[#This Row],[Status]]="02. Open &amp; Assigned",Table4[[#This Row],[Status]]="01. Open",Table4[[#This Row],[Status]]="03. Action/Mitigation Plan Defined",Table4[[#This Row],[Status]]="04. Action Plan Completed",Table4[[#This Row],[Status]]="08. Blank"),"")</f>
        <v>0</v>
      </c>
      <c r="AG49" s="59" t="str">
        <f>IF(Table4[[#This Row],[Required Risk Resolution Date]]="","FALSE",IF($AE$1&gt;Table4[[#This Row],[Required Risk Resolution Date]],TRUE,FALSE))</f>
        <v>FALSE</v>
      </c>
      <c r="AH49" s="58" t="b">
        <f t="shared" ca="1" si="0"/>
        <v>0</v>
      </c>
      <c r="AI49" s="58" t="b">
        <f t="shared" ca="1" si="1"/>
        <v>0</v>
      </c>
      <c r="AJ49" s="58" t="b">
        <f t="shared" ca="1" si="2"/>
        <v>1</v>
      </c>
      <c r="AK49" s="58" t="b">
        <f>OR(Table4[[#This Row],[Priority]]="Critical",Table4[[#This Row],[Priority]]="High")</f>
        <v>0</v>
      </c>
      <c r="AL49" s="283">
        <f ca="1">Table4[[#This Row],[Required Risk Resolution Date]]-$AE$1</f>
        <v>-40990</v>
      </c>
      <c r="AM49" s="58" t="b">
        <f t="shared" ca="1" si="3"/>
        <v>0</v>
      </c>
      <c r="AN49" s="59" t="b">
        <f>OR(Table4[[#This Row],[Priority]]="Critical",Table4[[#This Row],[Priority]]="High",Table4[[#This Row],[Priority]]="Moderate")</f>
        <v>0</v>
      </c>
    </row>
    <row r="50" spans="1:40" s="59" customFormat="1" ht="409.5" hidden="1">
      <c r="A50" s="60" t="s">
        <v>216</v>
      </c>
      <c r="B50" s="258">
        <v>40730</v>
      </c>
      <c r="C50" s="60" t="s">
        <v>1570</v>
      </c>
      <c r="D50" s="60" t="s">
        <v>492</v>
      </c>
      <c r="E50" s="323" t="s">
        <v>1693</v>
      </c>
      <c r="F50" s="323" t="s">
        <v>342</v>
      </c>
      <c r="G50" s="323" t="s">
        <v>1712</v>
      </c>
      <c r="H50" s="323" t="s">
        <v>149</v>
      </c>
      <c r="I50" s="323"/>
      <c r="J50" s="323" t="s">
        <v>186</v>
      </c>
      <c r="K50" s="323" t="s">
        <v>186</v>
      </c>
      <c r="L50" s="6" t="s">
        <v>128</v>
      </c>
      <c r="M50" s="6"/>
      <c r="N50" s="323" t="s">
        <v>83</v>
      </c>
      <c r="O50" s="323" t="s">
        <v>93</v>
      </c>
      <c r="P50" s="323"/>
      <c r="Q50" s="323"/>
      <c r="R50" s="323"/>
      <c r="S50" s="323"/>
      <c r="T50" s="323" t="s">
        <v>29</v>
      </c>
      <c r="U50" s="323"/>
      <c r="V50" s="323" t="s">
        <v>344</v>
      </c>
      <c r="W50" s="323" t="s">
        <v>1713</v>
      </c>
      <c r="X50" s="147">
        <v>40940</v>
      </c>
      <c r="Y50" s="147"/>
      <c r="Z50" s="323" t="s">
        <v>1968</v>
      </c>
      <c r="AA50" s="260"/>
      <c r="AB50" s="261">
        <v>40947</v>
      </c>
      <c r="AC50" s="6" t="s">
        <v>1967</v>
      </c>
      <c r="AE50" s="283">
        <f ca="1">$AE$1-Table4[[#This Row],[Date Captured]]</f>
        <v>260</v>
      </c>
      <c r="AF50" s="59" t="b">
        <f>IFERROR(OR(Table4[[#This Row],[Status]]="02. Open &amp; Assigned",Table4[[#This Row],[Status]]="01. Open",Table4[[#This Row],[Status]]="03. Action/Mitigation Plan Defined",Table4[[#This Row],[Status]]="04. Action Plan Completed",Table4[[#This Row],[Status]]="08. Blank"),"")</f>
        <v>0</v>
      </c>
      <c r="AG50" s="59" t="str">
        <f>IF(Table4[[#This Row],[Required Risk Resolution Date]]="","FALSE",IF($AE$1&gt;Table4[[#This Row],[Required Risk Resolution Date]],TRUE,FALSE))</f>
        <v>FALSE</v>
      </c>
      <c r="AH50" s="58" t="b">
        <f t="shared" ca="1" si="0"/>
        <v>0</v>
      </c>
      <c r="AI50" s="58" t="b">
        <f t="shared" ca="1" si="1"/>
        <v>0</v>
      </c>
      <c r="AJ50" s="58" t="b">
        <f t="shared" ca="1" si="2"/>
        <v>1</v>
      </c>
      <c r="AK50" s="58" t="b">
        <f>OR(Table4[[#This Row],[Priority]]="Critical",Table4[[#This Row],[Priority]]="High")</f>
        <v>1</v>
      </c>
      <c r="AL50" s="283">
        <f ca="1">Table4[[#This Row],[Required Risk Resolution Date]]-$AE$1</f>
        <v>-40990</v>
      </c>
      <c r="AM50" s="58" t="b">
        <f t="shared" ca="1" si="3"/>
        <v>0</v>
      </c>
      <c r="AN50" s="59" t="b">
        <f>OR(Table4[[#This Row],[Priority]]="Critical",Table4[[#This Row],[Priority]]="High",Table4[[#This Row],[Priority]]="Moderate")</f>
        <v>1</v>
      </c>
    </row>
    <row r="51" spans="1:40" s="59" customFormat="1" ht="137.25" hidden="1" customHeight="1">
      <c r="A51" s="60" t="s">
        <v>217</v>
      </c>
      <c r="B51" s="64">
        <v>40751</v>
      </c>
      <c r="C51" s="60"/>
      <c r="D51" s="60" t="s">
        <v>171</v>
      </c>
      <c r="E51" s="323"/>
      <c r="F51" s="56" t="s">
        <v>343</v>
      </c>
      <c r="G51" s="56"/>
      <c r="H51" s="56" t="s">
        <v>149</v>
      </c>
      <c r="I51" s="56"/>
      <c r="J51" s="56" t="s">
        <v>166</v>
      </c>
      <c r="K51" s="323"/>
      <c r="L51" s="6"/>
      <c r="M51" s="6"/>
      <c r="N51" s="323" t="s">
        <v>83</v>
      </c>
      <c r="O51" s="323" t="s">
        <v>93</v>
      </c>
      <c r="P51" s="323"/>
      <c r="Q51" s="323"/>
      <c r="R51" s="323"/>
      <c r="S51" s="323"/>
      <c r="T51" s="56" t="s">
        <v>29</v>
      </c>
      <c r="U51" s="56"/>
      <c r="V51" s="56" t="s">
        <v>345</v>
      </c>
      <c r="W51" s="56" t="s">
        <v>346</v>
      </c>
      <c r="X51" s="64">
        <v>40765</v>
      </c>
      <c r="Y51" s="64"/>
      <c r="Z51" s="56"/>
      <c r="AA51" s="63"/>
      <c r="AB51" s="63">
        <v>40765</v>
      </c>
      <c r="AC51" s="6"/>
      <c r="AE51" s="283">
        <f ca="1">$AE$1-Table4[[#This Row],[Date Captured]]</f>
        <v>239</v>
      </c>
      <c r="AF51" s="59" t="b">
        <f>IFERROR(OR(Table4[[#This Row],[Status]]="02. Open &amp; Assigned",Table4[[#This Row],[Status]]="01. Open",Table4[[#This Row],[Status]]="03. Action/Mitigation Plan Defined",Table4[[#This Row],[Status]]="04. Action Plan Completed",Table4[[#This Row],[Status]]="08. Blank"),"")</f>
        <v>0</v>
      </c>
      <c r="AG51" s="59" t="str">
        <f>IF(Table4[[#This Row],[Required Risk Resolution Date]]="","FALSE",IF($AE$1&gt;Table4[[#This Row],[Required Risk Resolution Date]],TRUE,FALSE))</f>
        <v>FALSE</v>
      </c>
      <c r="AH51" s="58" t="b">
        <f t="shared" ca="1" si="0"/>
        <v>0</v>
      </c>
      <c r="AI51" s="58" t="b">
        <f t="shared" ca="1" si="1"/>
        <v>0</v>
      </c>
      <c r="AJ51" s="58" t="b">
        <f t="shared" ca="1" si="2"/>
        <v>1</v>
      </c>
      <c r="AK51" s="58" t="b">
        <f>OR(Table4[[#This Row],[Priority]]="Critical",Table4[[#This Row],[Priority]]="High")</f>
        <v>0</v>
      </c>
      <c r="AL51" s="283">
        <f ca="1">Table4[[#This Row],[Required Risk Resolution Date]]-$AE$1</f>
        <v>-40990</v>
      </c>
      <c r="AM51" s="58" t="b">
        <f t="shared" ca="1" si="3"/>
        <v>0</v>
      </c>
      <c r="AN51" s="59" t="b">
        <f>OR(Table4[[#This Row],[Priority]]="Critical",Table4[[#This Row],[Priority]]="High",Table4[[#This Row],[Priority]]="Moderate")</f>
        <v>0</v>
      </c>
    </row>
    <row r="52" spans="1:40" s="59" customFormat="1" ht="221.25" hidden="1" customHeight="1">
      <c r="A52" s="60" t="s">
        <v>400</v>
      </c>
      <c r="B52" s="64">
        <v>40826</v>
      </c>
      <c r="C52" s="60"/>
      <c r="D52" s="60" t="s">
        <v>171</v>
      </c>
      <c r="E52" s="323"/>
      <c r="F52" s="56" t="s">
        <v>402</v>
      </c>
      <c r="G52" s="56"/>
      <c r="H52" s="56" t="s">
        <v>149</v>
      </c>
      <c r="I52" s="56"/>
      <c r="J52" s="56" t="s">
        <v>403</v>
      </c>
      <c r="K52" s="323"/>
      <c r="L52" s="6"/>
      <c r="M52" s="6"/>
      <c r="N52" s="323" t="s">
        <v>83</v>
      </c>
      <c r="O52" s="323" t="s">
        <v>93</v>
      </c>
      <c r="P52" s="323"/>
      <c r="Q52" s="323"/>
      <c r="R52" s="323"/>
      <c r="S52" s="323"/>
      <c r="T52" s="323" t="s">
        <v>29</v>
      </c>
      <c r="U52" s="323"/>
      <c r="V52" s="56" t="s">
        <v>406</v>
      </c>
      <c r="W52" s="56" t="s">
        <v>407</v>
      </c>
      <c r="X52" s="64">
        <v>40835</v>
      </c>
      <c r="Y52" s="64"/>
      <c r="Z52" s="56"/>
      <c r="AA52" s="63"/>
      <c r="AB52" s="63">
        <v>40835</v>
      </c>
      <c r="AC52" s="6"/>
      <c r="AE52" s="283">
        <f ca="1">$AE$1-Table4[[#This Row],[Date Captured]]</f>
        <v>164</v>
      </c>
      <c r="AF52" s="59" t="b">
        <f>IFERROR(OR(Table4[[#This Row],[Status]]="02. Open &amp; Assigned",Table4[[#This Row],[Status]]="01. Open",Table4[[#This Row],[Status]]="03. Action/Mitigation Plan Defined",Table4[[#This Row],[Status]]="04. Action Plan Completed",Table4[[#This Row],[Status]]="08. Blank"),"")</f>
        <v>0</v>
      </c>
      <c r="AG52" s="59" t="str">
        <f>IF(Table4[[#This Row],[Required Risk Resolution Date]]="","FALSE",IF($AE$1&gt;Table4[[#This Row],[Required Risk Resolution Date]],TRUE,FALSE))</f>
        <v>FALSE</v>
      </c>
      <c r="AH52" s="58" t="b">
        <f t="shared" ca="1" si="0"/>
        <v>0</v>
      </c>
      <c r="AI52" s="58" t="b">
        <f t="shared" ca="1" si="1"/>
        <v>1</v>
      </c>
      <c r="AJ52" s="58" t="b">
        <f t="shared" ca="1" si="2"/>
        <v>0</v>
      </c>
      <c r="AK52" s="58" t="b">
        <f>OR(Table4[[#This Row],[Priority]]="Critical",Table4[[#This Row],[Priority]]="High")</f>
        <v>0</v>
      </c>
      <c r="AL52" s="283">
        <f ca="1">Table4[[#This Row],[Required Risk Resolution Date]]-$AE$1</f>
        <v>-40990</v>
      </c>
      <c r="AM52" s="58" t="b">
        <f t="shared" ca="1" si="3"/>
        <v>0</v>
      </c>
      <c r="AN52" s="59" t="b">
        <f>OR(Table4[[#This Row],[Priority]]="Critical",Table4[[#This Row],[Priority]]="High",Table4[[#This Row],[Priority]]="Moderate")</f>
        <v>0</v>
      </c>
    </row>
    <row r="53" spans="1:40" ht="111" hidden="1" customHeight="1">
      <c r="A53" s="60" t="s">
        <v>231</v>
      </c>
      <c r="B53" s="64">
        <v>40820</v>
      </c>
      <c r="C53" s="60"/>
      <c r="D53" s="60" t="s">
        <v>171</v>
      </c>
      <c r="E53" s="323"/>
      <c r="F53" s="56" t="s">
        <v>435</v>
      </c>
      <c r="G53" s="56"/>
      <c r="H53" s="56" t="s">
        <v>149</v>
      </c>
      <c r="I53" s="56"/>
      <c r="J53" s="56" t="s">
        <v>436</v>
      </c>
      <c r="K53" s="323"/>
      <c r="L53" s="6"/>
      <c r="M53" s="6"/>
      <c r="N53" s="323"/>
      <c r="O53" s="323" t="s">
        <v>93</v>
      </c>
      <c r="P53" s="323"/>
      <c r="Q53" s="323"/>
      <c r="R53" s="323"/>
      <c r="S53" s="323"/>
      <c r="T53" s="56" t="s">
        <v>29</v>
      </c>
      <c r="U53" s="56"/>
      <c r="V53" s="56" t="s">
        <v>439</v>
      </c>
      <c r="W53" s="56" t="s">
        <v>440</v>
      </c>
      <c r="X53" s="72">
        <v>40898</v>
      </c>
      <c r="Y53" s="72"/>
      <c r="Z53" s="56"/>
      <c r="AA53" s="63"/>
      <c r="AB53" s="63"/>
      <c r="AC53" s="6"/>
      <c r="AE53" s="283">
        <f ca="1">$AE$1-Table4[[#This Row],[Date Captured]]</f>
        <v>170</v>
      </c>
      <c r="AF53" s="58" t="b">
        <f>IFERROR(OR(Table4[[#This Row],[Status]]="02. Open &amp; Assigned",Table4[[#This Row],[Status]]="01. Open",Table4[[#This Row],[Status]]="03. Action/Mitigation Plan Defined",Table4[[#This Row],[Status]]="04. Action Plan Completed",Table4[[#This Row],[Status]]="08. Blank"),"")</f>
        <v>0</v>
      </c>
      <c r="AG53" s="58" t="str">
        <f>IF(Table4[[#This Row],[Required Risk Resolution Date]]="","FALSE",IF($AE$1&gt;Table4[[#This Row],[Required Risk Resolution Date]],TRUE,FALSE))</f>
        <v>FALSE</v>
      </c>
      <c r="AH53" s="58" t="b">
        <f t="shared" ca="1" si="0"/>
        <v>0</v>
      </c>
      <c r="AI53" s="58" t="b">
        <f t="shared" ca="1" si="1"/>
        <v>1</v>
      </c>
      <c r="AJ53" s="58" t="b">
        <f t="shared" ca="1" si="2"/>
        <v>0</v>
      </c>
      <c r="AK53" s="58" t="b">
        <f>OR(Table4[[#This Row],[Priority]]="Critical",Table4[[#This Row],[Priority]]="High")</f>
        <v>0</v>
      </c>
      <c r="AL53" s="283">
        <f ca="1">Table4[[#This Row],[Required Risk Resolution Date]]-$AE$1</f>
        <v>-40990</v>
      </c>
      <c r="AM53" s="58" t="b">
        <f t="shared" ca="1" si="3"/>
        <v>0</v>
      </c>
      <c r="AN53" s="59" t="b">
        <f>OR(Table4[[#This Row],[Priority]]="Critical",Table4[[#This Row],[Priority]]="High",Table4[[#This Row],[Priority]]="Moderate")</f>
        <v>0</v>
      </c>
    </row>
    <row r="54" spans="1:40" s="59" customFormat="1" ht="409.5" hidden="1">
      <c r="A54" s="60" t="s">
        <v>478</v>
      </c>
      <c r="B54" s="81">
        <v>40842</v>
      </c>
      <c r="C54" s="60"/>
      <c r="D54" s="60" t="s">
        <v>171</v>
      </c>
      <c r="E54" s="323"/>
      <c r="F54" s="56" t="s">
        <v>484</v>
      </c>
      <c r="G54" s="82"/>
      <c r="H54" s="56" t="s">
        <v>149</v>
      </c>
      <c r="I54" s="56"/>
      <c r="J54" s="83" t="s">
        <v>186</v>
      </c>
      <c r="K54" s="323"/>
      <c r="L54" s="323"/>
      <c r="M54" s="323"/>
      <c r="N54" s="323" t="s">
        <v>87</v>
      </c>
      <c r="O54" s="323" t="s">
        <v>93</v>
      </c>
      <c r="P54" s="323"/>
      <c r="Q54" s="323"/>
      <c r="R54" s="323"/>
      <c r="S54" s="323"/>
      <c r="T54" s="70" t="s">
        <v>29</v>
      </c>
      <c r="U54" s="79"/>
      <c r="V54" s="68" t="s">
        <v>487</v>
      </c>
      <c r="W54" s="71" t="s">
        <v>488</v>
      </c>
      <c r="X54" s="84">
        <v>40870</v>
      </c>
      <c r="Y54" s="84"/>
      <c r="Z54" s="79"/>
      <c r="AA54" s="85">
        <v>40851</v>
      </c>
      <c r="AB54" s="80">
        <v>40870</v>
      </c>
      <c r="AC54" s="6"/>
      <c r="AE54" s="283">
        <f ca="1">$AE$1-Table4[[#This Row],[Date Captured]]</f>
        <v>148</v>
      </c>
      <c r="AF54" s="59" t="b">
        <f>IFERROR(OR(Table4[[#This Row],[Status]]="02. Open &amp; Assigned",Table4[[#This Row],[Status]]="01. Open",Table4[[#This Row],[Status]]="03. Action/Mitigation Plan Defined",Table4[[#This Row],[Status]]="04. Action Plan Completed",Table4[[#This Row],[Status]]="08. Blank"),"")</f>
        <v>0</v>
      </c>
      <c r="AG54" s="59" t="b">
        <f ca="1">IF(Table4[[#This Row],[Required Risk Resolution Date]]="","FALSE",IF($AE$1&gt;Table4[[#This Row],[Required Risk Resolution Date]],TRUE,FALSE))</f>
        <v>1</v>
      </c>
      <c r="AH54" s="58" t="b">
        <f t="shared" ca="1" si="0"/>
        <v>0</v>
      </c>
      <c r="AI54" s="58" t="b">
        <f t="shared" ca="1" si="1"/>
        <v>1</v>
      </c>
      <c r="AJ54" s="58" t="b">
        <f t="shared" ca="1" si="2"/>
        <v>0</v>
      </c>
      <c r="AK54" s="58" t="b">
        <f>OR(Table4[[#This Row],[Priority]]="Critical",Table4[[#This Row],[Priority]]="High")</f>
        <v>0</v>
      </c>
      <c r="AL54" s="283">
        <f ca="1">Table4[[#This Row],[Required Risk Resolution Date]]-$AE$1</f>
        <v>-139</v>
      </c>
      <c r="AM54" s="58" t="b">
        <f t="shared" ca="1" si="3"/>
        <v>0</v>
      </c>
      <c r="AN54" s="59" t="b">
        <f>OR(Table4[[#This Row],[Priority]]="Critical",Table4[[#This Row],[Priority]]="High",Table4[[#This Row],[Priority]]="Moderate")</f>
        <v>0</v>
      </c>
    </row>
    <row r="55" spans="1:40" s="59" customFormat="1" ht="175.5">
      <c r="A55" s="60" t="s">
        <v>2370</v>
      </c>
      <c r="B55" s="61">
        <v>40982</v>
      </c>
      <c r="C55" s="60" t="s">
        <v>323</v>
      </c>
      <c r="D55" s="60" t="s">
        <v>1566</v>
      </c>
      <c r="E55" s="323" t="s">
        <v>2839</v>
      </c>
      <c r="F55" s="323" t="s">
        <v>2840</v>
      </c>
      <c r="G55" s="323" t="s">
        <v>2841</v>
      </c>
      <c r="H55" s="323" t="s">
        <v>721</v>
      </c>
      <c r="I55" s="323" t="s">
        <v>2762</v>
      </c>
      <c r="J55" s="323" t="s">
        <v>1779</v>
      </c>
      <c r="K55" s="323" t="s">
        <v>2842</v>
      </c>
      <c r="L55" s="323" t="s">
        <v>127</v>
      </c>
      <c r="M55" s="323" t="s">
        <v>1579</v>
      </c>
      <c r="N55" s="323" t="s">
        <v>83</v>
      </c>
      <c r="O55" s="323" t="s">
        <v>93</v>
      </c>
      <c r="P55" s="323" t="s">
        <v>93</v>
      </c>
      <c r="Q55" s="323" t="s">
        <v>93</v>
      </c>
      <c r="R55" s="323" t="s">
        <v>167</v>
      </c>
      <c r="S55" s="323" t="s">
        <v>2843</v>
      </c>
      <c r="T55" s="323" t="s">
        <v>29</v>
      </c>
      <c r="U55" s="323" t="s">
        <v>1130</v>
      </c>
      <c r="V55" s="323" t="s">
        <v>2844</v>
      </c>
      <c r="W55" s="323" t="s">
        <v>2845</v>
      </c>
      <c r="X55" s="55">
        <v>40989</v>
      </c>
      <c r="Y55" s="323" t="s">
        <v>1564</v>
      </c>
      <c r="Z55" s="323" t="s">
        <v>2846</v>
      </c>
      <c r="AA55" s="162">
        <v>40998</v>
      </c>
      <c r="AB55" s="323"/>
      <c r="AC55" s="6"/>
      <c r="AE55" s="283">
        <f ca="1">$AE$1-Table4[[#This Row],[Date Captured]]</f>
        <v>8</v>
      </c>
      <c r="AF55" s="59" t="b">
        <f>IFERROR(OR(Table4[[#This Row],[Status]]="02. Open &amp; Assigned",Table4[[#This Row],[Status]]="01. Open",Table4[[#This Row],[Status]]="03. Action/Mitigation Plan Defined",Table4[[#This Row],[Status]]="04. Action Plan Completed",Table4[[#This Row],[Status]]="08. Blank"),"")</f>
        <v>1</v>
      </c>
      <c r="AG55" s="59" t="b">
        <f ca="1">IF(Table4[[#This Row],[Required Risk Resolution Date]]="","FALSE",IF($AE$1&gt;Table4[[#This Row],[Required Risk Resolution Date]],TRUE,FALSE))</f>
        <v>0</v>
      </c>
      <c r="AH55" s="58" t="b">
        <f t="shared" ca="1" si="0"/>
        <v>0</v>
      </c>
      <c r="AI55" s="58" t="b">
        <f t="shared" ca="1" si="1"/>
        <v>0</v>
      </c>
      <c r="AJ55" s="58" t="b">
        <f t="shared" ca="1" si="2"/>
        <v>0</v>
      </c>
      <c r="AK55" s="58" t="b">
        <f>OR(Table4[[#This Row],[Priority]]="Critical",Table4[[#This Row],[Priority]]="High")</f>
        <v>1</v>
      </c>
      <c r="AL55" s="283">
        <f ca="1">Table4[[#This Row],[Required Risk Resolution Date]]-$AE$1</f>
        <v>8</v>
      </c>
      <c r="AM55" s="58" t="b">
        <f t="shared" ca="1" si="3"/>
        <v>0</v>
      </c>
      <c r="AN55" s="59" t="b">
        <f>OR(Table4[[#This Row],[Priority]]="Critical",Table4[[#This Row],[Priority]]="High",Table4[[#This Row],[Priority]]="Moderate")</f>
        <v>1</v>
      </c>
    </row>
    <row r="56" spans="1:40" s="59" customFormat="1" ht="168" hidden="1">
      <c r="A56" s="60" t="s">
        <v>534</v>
      </c>
      <c r="B56" s="64">
        <v>40619</v>
      </c>
      <c r="C56" s="60"/>
      <c r="D56" s="60" t="s">
        <v>171</v>
      </c>
      <c r="E56" s="6"/>
      <c r="F56" s="56" t="s">
        <v>540</v>
      </c>
      <c r="G56" s="56"/>
      <c r="H56" s="56" t="s">
        <v>149</v>
      </c>
      <c r="I56" s="56"/>
      <c r="J56" s="56" t="s">
        <v>541</v>
      </c>
      <c r="K56" s="6"/>
      <c r="L56" s="6"/>
      <c r="M56" s="6"/>
      <c r="N56" s="6" t="s">
        <v>81</v>
      </c>
      <c r="O56" s="6" t="s">
        <v>93</v>
      </c>
      <c r="P56" s="6"/>
      <c r="Q56" s="6"/>
      <c r="R56" s="6"/>
      <c r="S56" s="6"/>
      <c r="T56" s="56" t="s">
        <v>29</v>
      </c>
      <c r="U56" s="56" t="s">
        <v>547</v>
      </c>
      <c r="V56" s="56" t="s">
        <v>548</v>
      </c>
      <c r="W56" s="56" t="s">
        <v>549</v>
      </c>
      <c r="X56" s="64"/>
      <c r="Y56" s="64"/>
      <c r="Z56" s="56" t="s">
        <v>550</v>
      </c>
      <c r="AA56" s="56"/>
      <c r="AB56" s="63" t="s">
        <v>551</v>
      </c>
      <c r="AC56" s="6"/>
      <c r="AE56" s="283">
        <f ca="1">$AE$1-Table4[[#This Row],[Date Captured]]</f>
        <v>371</v>
      </c>
      <c r="AF56" s="59" t="b">
        <f>IFERROR(OR(Table4[[#This Row],[Status]]="02. Open &amp; Assigned",Table4[[#This Row],[Status]]="01. Open",Table4[[#This Row],[Status]]="03. Action/Mitigation Plan Defined",Table4[[#This Row],[Status]]="04. Action Plan Completed",Table4[[#This Row],[Status]]="08. Blank"),"")</f>
        <v>0</v>
      </c>
      <c r="AG56" s="59" t="str">
        <f>IF(Table4[[#This Row],[Required Risk Resolution Date]]="","FALSE",IF($AE$1&gt;Table4[[#This Row],[Required Risk Resolution Date]],TRUE,FALSE))</f>
        <v>FALSE</v>
      </c>
      <c r="AH56" s="58" t="b">
        <f t="shared" ca="1" si="0"/>
        <v>0</v>
      </c>
      <c r="AI56" s="58" t="b">
        <f t="shared" ca="1" si="1"/>
        <v>0</v>
      </c>
      <c r="AJ56" s="58" t="b">
        <f t="shared" ca="1" si="2"/>
        <v>1</v>
      </c>
      <c r="AK56" s="58" t="b">
        <f>OR(Table4[[#This Row],[Priority]]="Critical",Table4[[#This Row],[Priority]]="High")</f>
        <v>0</v>
      </c>
      <c r="AL56" s="283">
        <f ca="1">Table4[[#This Row],[Required Risk Resolution Date]]-$AE$1</f>
        <v>-40990</v>
      </c>
      <c r="AM56" s="58" t="b">
        <f t="shared" ca="1" si="3"/>
        <v>0</v>
      </c>
      <c r="AN56" s="59" t="b">
        <f>OR(Table4[[#This Row],[Priority]]="Critical",Table4[[#This Row],[Priority]]="High",Table4[[#This Row],[Priority]]="Moderate")</f>
        <v>0</v>
      </c>
    </row>
    <row r="57" spans="1:40" ht="162" hidden="1">
      <c r="A57" s="60" t="s">
        <v>250</v>
      </c>
      <c r="B57" s="258">
        <v>40882</v>
      </c>
      <c r="C57" s="60" t="s">
        <v>1570</v>
      </c>
      <c r="D57" s="60" t="s">
        <v>492</v>
      </c>
      <c r="E57" s="323"/>
      <c r="F57" s="323" t="s">
        <v>545</v>
      </c>
      <c r="G57" s="323" t="s">
        <v>546</v>
      </c>
      <c r="H57" s="323" t="s">
        <v>149</v>
      </c>
      <c r="I57" s="323"/>
      <c r="J57" s="323" t="s">
        <v>261</v>
      </c>
      <c r="K57" s="323"/>
      <c r="L57" s="323" t="s">
        <v>129</v>
      </c>
      <c r="M57" s="323"/>
      <c r="N57" s="323" t="s">
        <v>83</v>
      </c>
      <c r="O57" s="323" t="s">
        <v>167</v>
      </c>
      <c r="P57" s="323"/>
      <c r="Q57" s="323"/>
      <c r="R57" s="323"/>
      <c r="S57" s="323"/>
      <c r="T57" s="323" t="s">
        <v>29</v>
      </c>
      <c r="U57" s="323" t="s">
        <v>554</v>
      </c>
      <c r="V57" s="323" t="s">
        <v>555</v>
      </c>
      <c r="W57" s="323" t="s">
        <v>2373</v>
      </c>
      <c r="X57" s="259">
        <v>40884</v>
      </c>
      <c r="Y57" s="259"/>
      <c r="Z57" s="323"/>
      <c r="AA57" s="162"/>
      <c r="AB57" s="261"/>
      <c r="AC57" s="6"/>
      <c r="AE57" s="283">
        <f ca="1">$AE$1-Table4[[#This Row],[Date Captured]]</f>
        <v>108</v>
      </c>
      <c r="AF57" s="58" t="b">
        <f>IFERROR(OR(Table4[[#This Row],[Status]]="02. Open &amp; Assigned",Table4[[#This Row],[Status]]="01. Open",Table4[[#This Row],[Status]]="03. Action/Mitigation Plan Defined",Table4[[#This Row],[Status]]="04. Action Plan Completed",Table4[[#This Row],[Status]]="08. Blank"),"")</f>
        <v>0</v>
      </c>
      <c r="AG57" s="58" t="str">
        <f>IF(Table4[[#This Row],[Required Risk Resolution Date]]="","FALSE",IF($AE$1&gt;Table4[[#This Row],[Required Risk Resolution Date]],TRUE,FALSE))</f>
        <v>FALSE</v>
      </c>
      <c r="AH57" s="58" t="b">
        <f t="shared" ca="1" si="0"/>
        <v>0</v>
      </c>
      <c r="AI57" s="58" t="b">
        <f t="shared" ca="1" si="1"/>
        <v>1</v>
      </c>
      <c r="AJ57" s="58" t="b">
        <f t="shared" ca="1" si="2"/>
        <v>0</v>
      </c>
      <c r="AK57" s="58" t="b">
        <f>OR(Table4[[#This Row],[Priority]]="Critical",Table4[[#This Row],[Priority]]="High")</f>
        <v>0</v>
      </c>
      <c r="AL57" s="283">
        <f ca="1">Table4[[#This Row],[Required Risk Resolution Date]]-$AE$1</f>
        <v>-40990</v>
      </c>
      <c r="AM57" s="58" t="b">
        <f t="shared" ca="1" si="3"/>
        <v>0</v>
      </c>
      <c r="AN57" s="59" t="b">
        <f>OR(Table4[[#This Row],[Priority]]="Critical",Table4[[#This Row],[Priority]]="High",Table4[[#This Row],[Priority]]="Moderate")</f>
        <v>1</v>
      </c>
    </row>
    <row r="58" spans="1:40" s="59" customFormat="1" ht="98.25" customHeight="1">
      <c r="A58" s="365" t="s">
        <v>2328</v>
      </c>
      <c r="B58" s="366">
        <v>40955</v>
      </c>
      <c r="C58" s="365" t="s">
        <v>2286</v>
      </c>
      <c r="D58" s="365" t="s">
        <v>1566</v>
      </c>
      <c r="E58" s="7" t="s">
        <v>2287</v>
      </c>
      <c r="F58" s="367" t="s">
        <v>2288</v>
      </c>
      <c r="G58" s="367" t="s">
        <v>2588</v>
      </c>
      <c r="H58" s="367" t="s">
        <v>149</v>
      </c>
      <c r="I58" s="367"/>
      <c r="J58" s="367" t="s">
        <v>2291</v>
      </c>
      <c r="K58" s="367" t="s">
        <v>2291</v>
      </c>
      <c r="L58" s="370" t="s">
        <v>128</v>
      </c>
      <c r="M58" s="324" t="s">
        <v>1579</v>
      </c>
      <c r="N58" s="324" t="s">
        <v>83</v>
      </c>
      <c r="O58" s="324" t="s">
        <v>167</v>
      </c>
      <c r="P58" s="324" t="s">
        <v>93</v>
      </c>
      <c r="Q58" s="324" t="s">
        <v>167</v>
      </c>
      <c r="R58" s="324" t="s">
        <v>109</v>
      </c>
      <c r="S58" s="324" t="s">
        <v>2164</v>
      </c>
      <c r="T58" s="324" t="s">
        <v>29</v>
      </c>
      <c r="U58" s="324" t="s">
        <v>2164</v>
      </c>
      <c r="V58" s="323" t="s">
        <v>2589</v>
      </c>
      <c r="W58" s="323" t="s">
        <v>2590</v>
      </c>
      <c r="X58" s="55">
        <v>40975</v>
      </c>
      <c r="Y58" s="323" t="s">
        <v>1564</v>
      </c>
      <c r="Z58" s="323"/>
      <c r="AA58" s="162">
        <v>40999</v>
      </c>
      <c r="AB58" s="323"/>
      <c r="AC58" s="6"/>
      <c r="AE58" s="283">
        <f ca="1">$AE$1-Table4[[#This Row],[Date Captured]]</f>
        <v>35</v>
      </c>
      <c r="AF58" s="59" t="b">
        <f>IFERROR(OR(Table4[[#This Row],[Status]]="02. Open &amp; Assigned",Table4[[#This Row],[Status]]="01. Open",Table4[[#This Row],[Status]]="03. Action/Mitigation Plan Defined",Table4[[#This Row],[Status]]="04. Action Plan Completed",Table4[[#This Row],[Status]]="08. Blank"),"")</f>
        <v>1</v>
      </c>
      <c r="AG58" s="59" t="b">
        <f ca="1">IF(Table4[[#This Row],[Required Risk Resolution Date]]="","FALSE",IF($AE$1&gt;Table4[[#This Row],[Required Risk Resolution Date]],TRUE,FALSE))</f>
        <v>0</v>
      </c>
      <c r="AH58" s="58" t="b">
        <f t="shared" ca="1" si="0"/>
        <v>1</v>
      </c>
      <c r="AI58" s="58" t="b">
        <f t="shared" ca="1" si="1"/>
        <v>0</v>
      </c>
      <c r="AJ58" s="58" t="b">
        <f t="shared" ca="1" si="2"/>
        <v>0</v>
      </c>
      <c r="AK58" s="58" t="b">
        <f>OR(Table4[[#This Row],[Priority]]="Critical",Table4[[#This Row],[Priority]]="High")</f>
        <v>1</v>
      </c>
      <c r="AL58" s="283">
        <f ca="1">Table4[[#This Row],[Required Risk Resolution Date]]-$AE$1</f>
        <v>9</v>
      </c>
      <c r="AM58" s="58" t="b">
        <f t="shared" ca="1" si="3"/>
        <v>0</v>
      </c>
      <c r="AN58" s="59" t="b">
        <f>OR(Table4[[#This Row],[Priority]]="Critical",Table4[[#This Row],[Priority]]="High",Table4[[#This Row],[Priority]]="Moderate")</f>
        <v>1</v>
      </c>
    </row>
    <row r="59" spans="1:40" s="59" customFormat="1" ht="91.5" customHeight="1">
      <c r="A59" s="365" t="s">
        <v>2189</v>
      </c>
      <c r="B59" s="366">
        <v>40955</v>
      </c>
      <c r="C59" s="365" t="s">
        <v>2291</v>
      </c>
      <c r="D59" s="365" t="s">
        <v>1566</v>
      </c>
      <c r="E59" s="7" t="s">
        <v>2289</v>
      </c>
      <c r="F59" s="367" t="s">
        <v>2292</v>
      </c>
      <c r="G59" s="367" t="s">
        <v>2585</v>
      </c>
      <c r="H59" s="367" t="s">
        <v>149</v>
      </c>
      <c r="I59" s="367"/>
      <c r="J59" s="367" t="s">
        <v>2291</v>
      </c>
      <c r="K59" s="367" t="s">
        <v>2291</v>
      </c>
      <c r="L59" s="370" t="s">
        <v>128</v>
      </c>
      <c r="M59" s="324" t="s">
        <v>1579</v>
      </c>
      <c r="N59" s="324" t="s">
        <v>83</v>
      </c>
      <c r="O59" s="324" t="s">
        <v>167</v>
      </c>
      <c r="P59" s="324" t="s">
        <v>93</v>
      </c>
      <c r="Q59" s="324" t="s">
        <v>167</v>
      </c>
      <c r="R59" s="324" t="s">
        <v>109</v>
      </c>
      <c r="S59" s="324" t="s">
        <v>2164</v>
      </c>
      <c r="T59" s="324" t="s">
        <v>29</v>
      </c>
      <c r="U59" s="324" t="s">
        <v>2164</v>
      </c>
      <c r="V59" s="378" t="s">
        <v>2586</v>
      </c>
      <c r="W59" s="378" t="s">
        <v>2587</v>
      </c>
      <c r="X59" s="382">
        <v>40975</v>
      </c>
      <c r="Y59" s="323" t="s">
        <v>1565</v>
      </c>
      <c r="Z59" s="323"/>
      <c r="AA59" s="162">
        <v>41061</v>
      </c>
      <c r="AB59" s="323"/>
      <c r="AC59" s="6"/>
      <c r="AE59" s="283">
        <f ca="1">$AE$1-Table4[[#This Row],[Date Captured]]</f>
        <v>35</v>
      </c>
      <c r="AF59" s="59" t="b">
        <f>IFERROR(OR(Table4[[#This Row],[Status]]="02. Open &amp; Assigned",Table4[[#This Row],[Status]]="01. Open",Table4[[#This Row],[Status]]="03. Action/Mitigation Plan Defined",Table4[[#This Row],[Status]]="04. Action Plan Completed",Table4[[#This Row],[Status]]="08. Blank"),"")</f>
        <v>1</v>
      </c>
      <c r="AG59" s="59" t="b">
        <f ca="1">IF(Table4[[#This Row],[Required Risk Resolution Date]]="","FALSE",IF($AE$1&gt;Table4[[#This Row],[Required Risk Resolution Date]],TRUE,FALSE))</f>
        <v>0</v>
      </c>
      <c r="AH59" s="58" t="b">
        <f t="shared" ca="1" si="0"/>
        <v>1</v>
      </c>
      <c r="AI59" s="58" t="b">
        <f t="shared" ca="1" si="1"/>
        <v>0</v>
      </c>
      <c r="AJ59" s="58" t="b">
        <f t="shared" ca="1" si="2"/>
        <v>0</v>
      </c>
      <c r="AK59" s="58" t="b">
        <f>OR(Table4[[#This Row],[Priority]]="Critical",Table4[[#This Row],[Priority]]="High")</f>
        <v>1</v>
      </c>
      <c r="AL59" s="283">
        <f ca="1">Table4[[#This Row],[Required Risk Resolution Date]]-$AE$1</f>
        <v>71</v>
      </c>
      <c r="AM59" s="58" t="b">
        <f t="shared" ca="1" si="3"/>
        <v>0</v>
      </c>
      <c r="AN59" s="59" t="b">
        <f>OR(Table4[[#This Row],[Priority]]="Critical",Table4[[#This Row],[Priority]]="High",Table4[[#This Row],[Priority]]="Moderate")</f>
        <v>1</v>
      </c>
    </row>
    <row r="60" spans="1:40" s="59" customFormat="1" ht="115.5" customHeight="1">
      <c r="A60" s="365" t="s">
        <v>2190</v>
      </c>
      <c r="B60" s="369">
        <v>40960</v>
      </c>
      <c r="C60" s="365" t="s">
        <v>2293</v>
      </c>
      <c r="D60" s="365" t="s">
        <v>147</v>
      </c>
      <c r="E60" s="367" t="s">
        <v>2626</v>
      </c>
      <c r="F60" s="367" t="s">
        <v>2294</v>
      </c>
      <c r="G60" s="367" t="s">
        <v>2627</v>
      </c>
      <c r="H60" s="367" t="s">
        <v>149</v>
      </c>
      <c r="I60" s="367"/>
      <c r="J60" s="367" t="s">
        <v>2293</v>
      </c>
      <c r="K60" s="367" t="s">
        <v>2293</v>
      </c>
      <c r="L60" s="370" t="s">
        <v>128</v>
      </c>
      <c r="M60" s="324" t="s">
        <v>1579</v>
      </c>
      <c r="N60" s="324" t="s">
        <v>83</v>
      </c>
      <c r="O60" s="324" t="s">
        <v>167</v>
      </c>
      <c r="P60" s="324" t="s">
        <v>93</v>
      </c>
      <c r="Q60" s="324" t="s">
        <v>167</v>
      </c>
      <c r="R60" s="324" t="s">
        <v>109</v>
      </c>
      <c r="S60" s="324" t="s">
        <v>2164</v>
      </c>
      <c r="T60" s="324" t="s">
        <v>29</v>
      </c>
      <c r="U60" s="324" t="s">
        <v>2164</v>
      </c>
      <c r="V60" s="378" t="s">
        <v>2628</v>
      </c>
      <c r="W60" s="380" t="s">
        <v>2295</v>
      </c>
      <c r="X60" s="382">
        <v>40975</v>
      </c>
      <c r="Y60" s="323" t="s">
        <v>1942</v>
      </c>
      <c r="Z60" s="323"/>
      <c r="AA60" s="162">
        <v>41040</v>
      </c>
      <c r="AB60" s="323"/>
      <c r="AC60" s="6"/>
      <c r="AE60" s="283">
        <f ca="1">$AE$1-Table4[[#This Row],[Date Captured]]</f>
        <v>30</v>
      </c>
      <c r="AF60" s="59" t="b">
        <f>IFERROR(OR(Table4[[#This Row],[Status]]="02. Open &amp; Assigned",Table4[[#This Row],[Status]]="01. Open",Table4[[#This Row],[Status]]="03. Action/Mitigation Plan Defined",Table4[[#This Row],[Status]]="04. Action Plan Completed",Table4[[#This Row],[Status]]="08. Blank"),"")</f>
        <v>1</v>
      </c>
      <c r="AG60" s="59" t="b">
        <f ca="1">IF(Table4[[#This Row],[Required Risk Resolution Date]]="","FALSE",IF($AE$1&gt;Table4[[#This Row],[Required Risk Resolution Date]],TRUE,FALSE))</f>
        <v>0</v>
      </c>
      <c r="AH60" s="58" t="b">
        <f t="shared" ca="1" si="0"/>
        <v>1</v>
      </c>
      <c r="AI60" s="58" t="b">
        <f t="shared" ca="1" si="1"/>
        <v>0</v>
      </c>
      <c r="AJ60" s="58" t="b">
        <f t="shared" ca="1" si="2"/>
        <v>0</v>
      </c>
      <c r="AK60" s="58" t="b">
        <f>OR(Table4[[#This Row],[Priority]]="Critical",Table4[[#This Row],[Priority]]="High")</f>
        <v>1</v>
      </c>
      <c r="AL60" s="283">
        <f ca="1">Table4[[#This Row],[Required Risk Resolution Date]]-$AE$1</f>
        <v>50</v>
      </c>
      <c r="AM60" s="58" t="b">
        <f t="shared" ca="1" si="3"/>
        <v>0</v>
      </c>
      <c r="AN60" s="59" t="b">
        <f>OR(Table4[[#This Row],[Priority]]="Critical",Table4[[#This Row],[Priority]]="High",Table4[[#This Row],[Priority]]="Moderate")</f>
        <v>1</v>
      </c>
    </row>
    <row r="61" spans="1:40" s="59" customFormat="1" ht="120.75" hidden="1" customHeight="1">
      <c r="A61" s="60" t="s">
        <v>2196</v>
      </c>
      <c r="B61" s="61">
        <v>40973</v>
      </c>
      <c r="C61" s="60" t="s">
        <v>261</v>
      </c>
      <c r="D61" s="60" t="s">
        <v>171</v>
      </c>
      <c r="E61" s="323" t="s">
        <v>2467</v>
      </c>
      <c r="F61" s="323" t="s">
        <v>2465</v>
      </c>
      <c r="G61" s="323" t="s">
        <v>2466</v>
      </c>
      <c r="H61" s="323" t="s">
        <v>150</v>
      </c>
      <c r="I61" s="323"/>
      <c r="J61" s="323" t="s">
        <v>2468</v>
      </c>
      <c r="K61" s="323" t="s">
        <v>2469</v>
      </c>
      <c r="L61" s="6" t="s">
        <v>129</v>
      </c>
      <c r="M61" s="6" t="s">
        <v>1579</v>
      </c>
      <c r="N61" s="323" t="s">
        <v>89</v>
      </c>
      <c r="O61" s="323" t="s">
        <v>167</v>
      </c>
      <c r="P61" s="323" t="s">
        <v>167</v>
      </c>
      <c r="Q61" s="323" t="s">
        <v>167</v>
      </c>
      <c r="R61" s="323" t="s">
        <v>167</v>
      </c>
      <c r="S61" s="323" t="s">
        <v>2470</v>
      </c>
      <c r="T61" s="323" t="s">
        <v>29</v>
      </c>
      <c r="U61" s="323" t="s">
        <v>321</v>
      </c>
      <c r="V61" s="323" t="s">
        <v>321</v>
      </c>
      <c r="W61" s="323" t="s">
        <v>2765</v>
      </c>
      <c r="X61" s="55">
        <v>40982</v>
      </c>
      <c r="Y61" s="323" t="s">
        <v>1571</v>
      </c>
      <c r="Z61" s="323" t="s">
        <v>2768</v>
      </c>
      <c r="AA61" s="162">
        <v>40998</v>
      </c>
      <c r="AB61" s="55">
        <v>40981</v>
      </c>
      <c r="AC61" s="6"/>
      <c r="AE61" s="283">
        <f ca="1">$AE$1-Table4[[#This Row],[Date Captured]]</f>
        <v>17</v>
      </c>
      <c r="AF61" s="59" t="b">
        <f>IFERROR(OR(Table4[[#This Row],[Status]]="02. Open &amp; Assigned",Table4[[#This Row],[Status]]="01. Open",Table4[[#This Row],[Status]]="03. Action/Mitigation Plan Defined",Table4[[#This Row],[Status]]="04. Action Plan Completed",Table4[[#This Row],[Status]]="08. Blank"),"")</f>
        <v>0</v>
      </c>
      <c r="AG61" s="59" t="b">
        <f ca="1">IF(Table4[[#This Row],[Required Risk Resolution Date]]="","FALSE",IF($AE$1&gt;Table4[[#This Row],[Required Risk Resolution Date]],TRUE,FALSE))</f>
        <v>0</v>
      </c>
      <c r="AH61" s="58" t="b">
        <f t="shared" ca="1" si="0"/>
        <v>0</v>
      </c>
      <c r="AI61" s="58" t="b">
        <f t="shared" ca="1" si="1"/>
        <v>0</v>
      </c>
      <c r="AJ61" s="58" t="b">
        <f t="shared" ca="1" si="2"/>
        <v>0</v>
      </c>
      <c r="AK61" s="58" t="b">
        <f>OR(Table4[[#This Row],[Priority]]="Critical",Table4[[#This Row],[Priority]]="High")</f>
        <v>0</v>
      </c>
      <c r="AL61" s="283">
        <f ca="1">Table4[[#This Row],[Required Risk Resolution Date]]-$AE$1</f>
        <v>8</v>
      </c>
      <c r="AM61" s="58" t="b">
        <f t="shared" ca="1" si="3"/>
        <v>0</v>
      </c>
      <c r="AN61" s="59" t="b">
        <f>OR(Table4[[#This Row],[Priority]]="Critical",Table4[[#This Row],[Priority]]="High",Table4[[#This Row],[Priority]]="Moderate")</f>
        <v>1</v>
      </c>
    </row>
    <row r="62" spans="1:40" s="59" customFormat="1" ht="110.25" hidden="1" customHeight="1">
      <c r="A62" s="60" t="s">
        <v>2197</v>
      </c>
      <c r="B62" s="61">
        <v>40973</v>
      </c>
      <c r="C62" s="60" t="s">
        <v>261</v>
      </c>
      <c r="D62" s="60" t="s">
        <v>171</v>
      </c>
      <c r="E62" s="323" t="s">
        <v>2504</v>
      </c>
      <c r="F62" s="323" t="s">
        <v>2396</v>
      </c>
      <c r="G62" s="323" t="s">
        <v>2505</v>
      </c>
      <c r="H62" s="323" t="s">
        <v>150</v>
      </c>
      <c r="I62" s="323"/>
      <c r="J62" s="323" t="s">
        <v>2468</v>
      </c>
      <c r="K62" s="323" t="s">
        <v>2490</v>
      </c>
      <c r="L62" s="6" t="s">
        <v>129</v>
      </c>
      <c r="M62" s="6" t="s">
        <v>1579</v>
      </c>
      <c r="N62" s="323" t="s">
        <v>83</v>
      </c>
      <c r="O62" s="323" t="s">
        <v>167</v>
      </c>
      <c r="P62" s="323" t="s">
        <v>167</v>
      </c>
      <c r="Q62" s="323" t="s">
        <v>167</v>
      </c>
      <c r="R62" s="323" t="s">
        <v>167</v>
      </c>
      <c r="S62" s="323" t="s">
        <v>2506</v>
      </c>
      <c r="T62" s="323" t="s">
        <v>1569</v>
      </c>
      <c r="U62" s="323" t="s">
        <v>321</v>
      </c>
      <c r="V62" s="323" t="s">
        <v>321</v>
      </c>
      <c r="W62" s="323" t="s">
        <v>2474</v>
      </c>
      <c r="X62" s="218">
        <v>40975</v>
      </c>
      <c r="Y62" s="323" t="s">
        <v>1574</v>
      </c>
      <c r="Z62" s="323"/>
      <c r="AA62" s="162">
        <v>40998</v>
      </c>
      <c r="AB62" s="323"/>
      <c r="AC62" s="6"/>
      <c r="AE62" s="283">
        <f ca="1">$AE$1-Table4[[#This Row],[Date Captured]]</f>
        <v>17</v>
      </c>
      <c r="AF62" s="59" t="b">
        <f>IFERROR(OR(Table4[[#This Row],[Status]]="02. Open &amp; Assigned",Table4[[#This Row],[Status]]="01. Open",Table4[[#This Row],[Status]]="03. Action/Mitigation Plan Defined",Table4[[#This Row],[Status]]="04. Action Plan Completed",Table4[[#This Row],[Status]]="08. Blank"),"")</f>
        <v>0</v>
      </c>
      <c r="AG62" s="59" t="b">
        <f ca="1">IF(Table4[[#This Row],[Required Risk Resolution Date]]="","FALSE",IF($AE$1&gt;Table4[[#This Row],[Required Risk Resolution Date]],TRUE,FALSE))</f>
        <v>0</v>
      </c>
      <c r="AH62" s="58" t="b">
        <f t="shared" ca="1" si="0"/>
        <v>0</v>
      </c>
      <c r="AI62" s="58" t="b">
        <f t="shared" ca="1" si="1"/>
        <v>0</v>
      </c>
      <c r="AJ62" s="58" t="b">
        <f t="shared" ca="1" si="2"/>
        <v>0</v>
      </c>
      <c r="AK62" s="58" t="b">
        <f>OR(Table4[[#This Row],[Priority]]="Critical",Table4[[#This Row],[Priority]]="High")</f>
        <v>0</v>
      </c>
      <c r="AL62" s="283">
        <f ca="1">Table4[[#This Row],[Required Risk Resolution Date]]-$AE$1</f>
        <v>8</v>
      </c>
      <c r="AM62" s="58" t="b">
        <f t="shared" ca="1" si="3"/>
        <v>0</v>
      </c>
      <c r="AN62" s="59" t="b">
        <f>OR(Table4[[#This Row],[Priority]]="Critical",Table4[[#This Row],[Priority]]="High",Table4[[#This Row],[Priority]]="Moderate")</f>
        <v>1</v>
      </c>
    </row>
    <row r="63" spans="1:40" s="59" customFormat="1" ht="73.5" customHeight="1">
      <c r="A63" s="60" t="s">
        <v>244</v>
      </c>
      <c r="B63" s="258">
        <v>40848</v>
      </c>
      <c r="C63" s="60" t="s">
        <v>1570</v>
      </c>
      <c r="D63" s="60" t="s">
        <v>1566</v>
      </c>
      <c r="E63" s="323" t="s">
        <v>1876</v>
      </c>
      <c r="F63" s="323" t="s">
        <v>511</v>
      </c>
      <c r="G63" s="323" t="s">
        <v>1877</v>
      </c>
      <c r="H63" s="323" t="s">
        <v>149</v>
      </c>
      <c r="I63" s="323"/>
      <c r="J63" s="324" t="s">
        <v>1492</v>
      </c>
      <c r="K63" s="323" t="s">
        <v>1131</v>
      </c>
      <c r="L63" s="6" t="s">
        <v>130</v>
      </c>
      <c r="M63" s="6" t="s">
        <v>1493</v>
      </c>
      <c r="N63" s="323" t="s">
        <v>83</v>
      </c>
      <c r="O63" s="323" t="s">
        <v>91</v>
      </c>
      <c r="P63" s="323" t="s">
        <v>167</v>
      </c>
      <c r="Q63" s="323" t="s">
        <v>167</v>
      </c>
      <c r="R63" s="323" t="s">
        <v>167</v>
      </c>
      <c r="S63" s="323" t="s">
        <v>1873</v>
      </c>
      <c r="T63" s="323" t="s">
        <v>1569</v>
      </c>
      <c r="U63" s="323" t="s">
        <v>180</v>
      </c>
      <c r="V63" s="323" t="s">
        <v>1874</v>
      </c>
      <c r="W63" s="323" t="s">
        <v>1875</v>
      </c>
      <c r="X63" s="55">
        <v>40947</v>
      </c>
      <c r="Y63" s="323" t="s">
        <v>1574</v>
      </c>
      <c r="Z63" s="323"/>
      <c r="AA63" s="162">
        <v>41090</v>
      </c>
      <c r="AB63" s="323"/>
      <c r="AC63" s="6"/>
      <c r="AE63" s="283">
        <f ca="1">$AE$1-Table4[[#This Row],[Date Captured]]</f>
        <v>142</v>
      </c>
      <c r="AF63" s="59" t="b">
        <f>IFERROR(OR(Table4[[#This Row],[Status]]="02. Open &amp; Assigned",Table4[[#This Row],[Status]]="01. Open",Table4[[#This Row],[Status]]="03. Action/Mitigation Plan Defined",Table4[[#This Row],[Status]]="04. Action Plan Completed",Table4[[#This Row],[Status]]="08. Blank"),"")</f>
        <v>1</v>
      </c>
      <c r="AG63" s="59" t="b">
        <f ca="1">IF(Table4[[#This Row],[Required Risk Resolution Date]]="","FALSE",IF($AE$1&gt;Table4[[#This Row],[Required Risk Resolution Date]],TRUE,FALSE))</f>
        <v>0</v>
      </c>
      <c r="AH63" s="58" t="b">
        <f t="shared" ca="1" si="0"/>
        <v>0</v>
      </c>
      <c r="AI63" s="58" t="b">
        <f t="shared" ca="1" si="1"/>
        <v>1</v>
      </c>
      <c r="AJ63" s="58" t="b">
        <f t="shared" ca="1" si="2"/>
        <v>0</v>
      </c>
      <c r="AK63" s="58" t="b">
        <f>OR(Table4[[#This Row],[Priority]]="Critical",Table4[[#This Row],[Priority]]="High")</f>
        <v>0</v>
      </c>
      <c r="AL63" s="283">
        <f ca="1">Table4[[#This Row],[Required Risk Resolution Date]]-$AE$1</f>
        <v>100</v>
      </c>
      <c r="AM63" s="58" t="b">
        <f t="shared" ca="1" si="3"/>
        <v>0</v>
      </c>
      <c r="AN63" s="59" t="b">
        <f>OR(Table4[[#This Row],[Priority]]="Critical",Table4[[#This Row],[Priority]]="High",Table4[[#This Row],[Priority]]="Moderate")</f>
        <v>0</v>
      </c>
    </row>
    <row r="64" spans="1:40" s="59" customFormat="1" ht="42.75" customHeight="1">
      <c r="A64" s="60" t="s">
        <v>254</v>
      </c>
      <c r="B64" s="258">
        <v>40892</v>
      </c>
      <c r="C64" s="60" t="s">
        <v>1570</v>
      </c>
      <c r="D64" s="60" t="s">
        <v>1566</v>
      </c>
      <c r="E64" s="6" t="s">
        <v>1730</v>
      </c>
      <c r="F64" s="323" t="s">
        <v>566</v>
      </c>
      <c r="G64" s="323" t="s">
        <v>1725</v>
      </c>
      <c r="H64" s="323" t="s">
        <v>149</v>
      </c>
      <c r="I64" s="323"/>
      <c r="J64" s="323" t="s">
        <v>567</v>
      </c>
      <c r="K64" s="6" t="s">
        <v>567</v>
      </c>
      <c r="L64" s="6" t="s">
        <v>129</v>
      </c>
      <c r="M64" s="6" t="s">
        <v>1493</v>
      </c>
      <c r="N64" s="6" t="s">
        <v>81</v>
      </c>
      <c r="O64" s="6" t="s">
        <v>167</v>
      </c>
      <c r="P64" s="6" t="s">
        <v>167</v>
      </c>
      <c r="Q64" s="6" t="s">
        <v>167</v>
      </c>
      <c r="R64" s="6" t="s">
        <v>167</v>
      </c>
      <c r="S64" s="6" t="s">
        <v>1726</v>
      </c>
      <c r="T64" s="323" t="s">
        <v>29</v>
      </c>
      <c r="U64" s="323" t="s">
        <v>1727</v>
      </c>
      <c r="V64" s="323" t="s">
        <v>569</v>
      </c>
      <c r="W64" s="323" t="s">
        <v>2939</v>
      </c>
      <c r="X64" s="259">
        <v>41017</v>
      </c>
      <c r="Y64" s="259" t="s">
        <v>1565</v>
      </c>
      <c r="Z64" s="323"/>
      <c r="AA64" s="162">
        <v>41030</v>
      </c>
      <c r="AB64" s="261"/>
      <c r="AC64" s="6"/>
      <c r="AE64" s="283">
        <f ca="1">$AE$1-Table4[[#This Row],[Date Captured]]</f>
        <v>98</v>
      </c>
      <c r="AF64" s="59" t="b">
        <f>IFERROR(OR(Table4[[#This Row],[Status]]="02. Open &amp; Assigned",Table4[[#This Row],[Status]]="01. Open",Table4[[#This Row],[Status]]="03. Action/Mitigation Plan Defined",Table4[[#This Row],[Status]]="04. Action Plan Completed",Table4[[#This Row],[Status]]="08. Blank"),"")</f>
        <v>1</v>
      </c>
      <c r="AG64" s="59" t="b">
        <f ca="1">IF(Table4[[#This Row],[Required Risk Resolution Date]]="","FALSE",IF($AE$1&gt;Table4[[#This Row],[Required Risk Resolution Date]],TRUE,FALSE))</f>
        <v>0</v>
      </c>
      <c r="AH64" s="58" t="b">
        <f t="shared" ca="1" si="0"/>
        <v>0</v>
      </c>
      <c r="AI64" s="58" t="b">
        <f t="shared" ca="1" si="1"/>
        <v>1</v>
      </c>
      <c r="AJ64" s="58" t="b">
        <f t="shared" ca="1" si="2"/>
        <v>0</v>
      </c>
      <c r="AK64" s="58" t="b">
        <f>OR(Table4[[#This Row],[Priority]]="Critical",Table4[[#This Row],[Priority]]="High")</f>
        <v>0</v>
      </c>
      <c r="AL64" s="283">
        <f ca="1">Table4[[#This Row],[Required Risk Resolution Date]]-$AE$1</f>
        <v>40</v>
      </c>
      <c r="AM64" s="58" t="b">
        <f t="shared" ca="1" si="3"/>
        <v>0</v>
      </c>
      <c r="AN64" s="59" t="b">
        <f>OR(Table4[[#This Row],[Priority]]="Critical",Table4[[#This Row],[Priority]]="High",Table4[[#This Row],[Priority]]="Moderate")</f>
        <v>1</v>
      </c>
    </row>
    <row r="65" spans="1:40" s="77" customFormat="1" ht="54" hidden="1">
      <c r="A65" s="60" t="s">
        <v>2363</v>
      </c>
      <c r="B65" s="61">
        <v>40973</v>
      </c>
      <c r="C65" s="60" t="s">
        <v>261</v>
      </c>
      <c r="D65" s="60" t="s">
        <v>171</v>
      </c>
      <c r="E65" s="6" t="s">
        <v>2501</v>
      </c>
      <c r="F65" s="323" t="s">
        <v>2403</v>
      </c>
      <c r="G65" s="323" t="s">
        <v>2495</v>
      </c>
      <c r="H65" s="323" t="s">
        <v>150</v>
      </c>
      <c r="I65" s="323"/>
      <c r="J65" s="323" t="s">
        <v>764</v>
      </c>
      <c r="K65" s="6"/>
      <c r="L65" s="6" t="s">
        <v>128</v>
      </c>
      <c r="M65" s="6" t="s">
        <v>1493</v>
      </c>
      <c r="N65" s="6" t="s">
        <v>79</v>
      </c>
      <c r="O65" s="6" t="s">
        <v>93</v>
      </c>
      <c r="P65" s="6" t="s">
        <v>93</v>
      </c>
      <c r="Q65" s="6" t="s">
        <v>93</v>
      </c>
      <c r="R65" s="6" t="s">
        <v>93</v>
      </c>
      <c r="S65" s="6" t="s">
        <v>321</v>
      </c>
      <c r="T65" s="323" t="s">
        <v>1569</v>
      </c>
      <c r="U65" s="323"/>
      <c r="V65" s="323" t="s">
        <v>321</v>
      </c>
      <c r="W65" s="323" t="s">
        <v>2496</v>
      </c>
      <c r="X65" s="218">
        <v>40982</v>
      </c>
      <c r="Y65" s="323" t="s">
        <v>1564</v>
      </c>
      <c r="Z65" s="323" t="s">
        <v>2698</v>
      </c>
      <c r="AA65" s="162">
        <v>40998</v>
      </c>
      <c r="AB65" s="55">
        <v>40975</v>
      </c>
      <c r="AC65" s="6"/>
      <c r="AE65" s="283">
        <f ca="1">$AE$1-Table4[[#This Row],[Date Captured]]</f>
        <v>17</v>
      </c>
      <c r="AF65" s="59" t="b">
        <f>IFERROR(OR(Table4[[#This Row],[Status]]="02. Open &amp; Assigned",Table4[[#This Row],[Status]]="01. Open",Table4[[#This Row],[Status]]="03. Action/Mitigation Plan Defined",Table4[[#This Row],[Status]]="04. Action Plan Completed",Table4[[#This Row],[Status]]="08. Blank"),"")</f>
        <v>0</v>
      </c>
      <c r="AG65" s="59" t="b">
        <f ca="1">IF(Table4[[#This Row],[Required Risk Resolution Date]]="","FALSE",IF($AE$1&gt;Table4[[#This Row],[Required Risk Resolution Date]],TRUE,FALSE))</f>
        <v>0</v>
      </c>
      <c r="AH65" s="58" t="b">
        <f t="shared" ca="1" si="0"/>
        <v>0</v>
      </c>
      <c r="AI65" s="58" t="b">
        <f t="shared" ca="1" si="1"/>
        <v>0</v>
      </c>
      <c r="AJ65" s="58" t="b">
        <f t="shared" ca="1" si="2"/>
        <v>0</v>
      </c>
      <c r="AK65" s="58" t="b">
        <f>OR(Table4[[#This Row],[Priority]]="Critical",Table4[[#This Row],[Priority]]="High")</f>
        <v>1</v>
      </c>
      <c r="AL65" s="283">
        <f ca="1">Table4[[#This Row],[Required Risk Resolution Date]]-$AE$1</f>
        <v>8</v>
      </c>
      <c r="AM65" s="58" t="b">
        <f t="shared" ca="1" si="3"/>
        <v>0</v>
      </c>
      <c r="AN65" s="59" t="b">
        <f>OR(Table4[[#This Row],[Priority]]="Critical",Table4[[#This Row],[Priority]]="High",Table4[[#This Row],[Priority]]="Moderate")</f>
        <v>1</v>
      </c>
    </row>
    <row r="66" spans="1:40" ht="81" customHeight="1">
      <c r="A66" s="60" t="s">
        <v>2194</v>
      </c>
      <c r="B66" s="273">
        <v>40973</v>
      </c>
      <c r="C66" s="60" t="s">
        <v>523</v>
      </c>
      <c r="D66" s="60" t="s">
        <v>2433</v>
      </c>
      <c r="E66" s="6" t="s">
        <v>1908</v>
      </c>
      <c r="F66" s="323" t="s">
        <v>2347</v>
      </c>
      <c r="G66" s="323" t="s">
        <v>2345</v>
      </c>
      <c r="H66" s="323" t="s">
        <v>149</v>
      </c>
      <c r="I66" s="323"/>
      <c r="J66" s="323" t="s">
        <v>523</v>
      </c>
      <c r="K66" s="6" t="s">
        <v>403</v>
      </c>
      <c r="L66" s="6" t="s">
        <v>127</v>
      </c>
      <c r="M66" s="6" t="s">
        <v>1579</v>
      </c>
      <c r="N66" s="6" t="s">
        <v>81</v>
      </c>
      <c r="O66" s="6" t="s">
        <v>94</v>
      </c>
      <c r="P66" s="6" t="s">
        <v>93</v>
      </c>
      <c r="Q66" s="6" t="s">
        <v>94</v>
      </c>
      <c r="R66" s="6" t="s">
        <v>93</v>
      </c>
      <c r="S66" s="6" t="s">
        <v>2346</v>
      </c>
      <c r="T66" s="323" t="s">
        <v>29</v>
      </c>
      <c r="U66" s="323" t="s">
        <v>180</v>
      </c>
      <c r="V66" s="323" t="s">
        <v>2797</v>
      </c>
      <c r="W66" s="323" t="s">
        <v>2798</v>
      </c>
      <c r="X66" s="55">
        <v>40975</v>
      </c>
      <c r="Y66" s="323" t="s">
        <v>1582</v>
      </c>
      <c r="Z66" s="323"/>
      <c r="AA66" s="162">
        <v>40999</v>
      </c>
      <c r="AB66" s="323"/>
      <c r="AC66" s="6"/>
      <c r="AE66" s="283">
        <f ca="1">$AE$1-Table4[[#This Row],[Date Captured]]</f>
        <v>17</v>
      </c>
      <c r="AF66" s="58" t="b">
        <f>IFERROR(OR(Table4[[#This Row],[Status]]="02. Open &amp; Assigned",Table4[[#This Row],[Status]]="01. Open",Table4[[#This Row],[Status]]="03. Action/Mitigation Plan Defined",Table4[[#This Row],[Status]]="04. Action Plan Completed",Table4[[#This Row],[Status]]="08. Blank"),"")</f>
        <v>1</v>
      </c>
      <c r="AG66" s="58" t="b">
        <f ca="1">IF(Table4[[#This Row],[Required Risk Resolution Date]]="","FALSE",IF($AE$1&gt;Table4[[#This Row],[Required Risk Resolution Date]],TRUE,FALSE))</f>
        <v>0</v>
      </c>
      <c r="AH66" s="58" t="b">
        <f t="shared" ca="1" si="0"/>
        <v>0</v>
      </c>
      <c r="AI66" s="58" t="b">
        <f t="shared" ca="1" si="1"/>
        <v>0</v>
      </c>
      <c r="AJ66" s="58" t="b">
        <f t="shared" ca="1" si="2"/>
        <v>0</v>
      </c>
      <c r="AK66" s="58" t="b">
        <f>OR(Table4[[#This Row],[Priority]]="Critical",Table4[[#This Row],[Priority]]="High")</f>
        <v>1</v>
      </c>
      <c r="AL66" s="283">
        <f ca="1">Table4[[#This Row],[Required Risk Resolution Date]]-$AE$1</f>
        <v>9</v>
      </c>
      <c r="AM66" s="58" t="b">
        <f t="shared" ca="1" si="3"/>
        <v>0</v>
      </c>
      <c r="AN66" s="59" t="b">
        <f>OR(Table4[[#This Row],[Priority]]="Critical",Table4[[#This Row],[Priority]]="High",Table4[[#This Row],[Priority]]="Moderate")</f>
        <v>1</v>
      </c>
    </row>
    <row r="67" spans="1:40" s="77" customFormat="1" ht="135">
      <c r="A67" s="60" t="s">
        <v>2516</v>
      </c>
      <c r="B67" s="273">
        <v>40983</v>
      </c>
      <c r="C67" s="60" t="s">
        <v>2862</v>
      </c>
      <c r="D67" s="60" t="s">
        <v>1566</v>
      </c>
      <c r="E67" s="6" t="s">
        <v>2863</v>
      </c>
      <c r="F67" s="323" t="s">
        <v>2864</v>
      </c>
      <c r="G67" s="323" t="s">
        <v>2868</v>
      </c>
      <c r="H67" s="323" t="s">
        <v>149</v>
      </c>
      <c r="I67" s="323"/>
      <c r="J67" s="323" t="s">
        <v>166</v>
      </c>
      <c r="K67" s="6" t="s">
        <v>166</v>
      </c>
      <c r="L67" s="6" t="s">
        <v>128</v>
      </c>
      <c r="M67" s="6" t="s">
        <v>1493</v>
      </c>
      <c r="N67" s="6" t="s">
        <v>81</v>
      </c>
      <c r="O67" s="6" t="s">
        <v>167</v>
      </c>
      <c r="P67" s="6" t="s">
        <v>93</v>
      </c>
      <c r="Q67" s="6" t="s">
        <v>93</v>
      </c>
      <c r="R67" s="6" t="s">
        <v>167</v>
      </c>
      <c r="S67" s="6" t="s">
        <v>2865</v>
      </c>
      <c r="T67" s="323" t="s">
        <v>29</v>
      </c>
      <c r="U67" s="323" t="s">
        <v>2031</v>
      </c>
      <c r="V67" s="323" t="s">
        <v>2866</v>
      </c>
      <c r="W67" s="323" t="s">
        <v>2867</v>
      </c>
      <c r="X67" s="218">
        <v>40998</v>
      </c>
      <c r="Y67" s="323" t="s">
        <v>1565</v>
      </c>
      <c r="Z67" s="218"/>
      <c r="AA67" s="162">
        <v>41029</v>
      </c>
      <c r="AB67" s="323"/>
      <c r="AC67" s="6"/>
      <c r="AE67" s="283">
        <f ca="1">$AE$1-Table4[[#This Row],[Date Captured]]</f>
        <v>7</v>
      </c>
      <c r="AF67" s="59" t="b">
        <f>IFERROR(OR(Table4[[#This Row],[Status]]="02. Open &amp; Assigned",Table4[[#This Row],[Status]]="01. Open",Table4[[#This Row],[Status]]="03. Action/Mitigation Plan Defined",Table4[[#This Row],[Status]]="04. Action Plan Completed",Table4[[#This Row],[Status]]="08. Blank"),"")</f>
        <v>1</v>
      </c>
      <c r="AG67" s="59" t="b">
        <f ca="1">IF(Table4[[#This Row],[Required Risk Resolution Date]]="","FALSE",IF($AE$1&gt;Table4[[#This Row],[Required Risk Resolution Date]],TRUE,FALSE))</f>
        <v>0</v>
      </c>
      <c r="AH67" s="58" t="b">
        <f t="shared" ca="1" si="0"/>
        <v>0</v>
      </c>
      <c r="AI67" s="58" t="b">
        <f t="shared" ca="1" si="1"/>
        <v>0</v>
      </c>
      <c r="AJ67" s="58" t="b">
        <f t="shared" ca="1" si="2"/>
        <v>0</v>
      </c>
      <c r="AK67" s="58" t="b">
        <f>OR(Table4[[#This Row],[Priority]]="Critical",Table4[[#This Row],[Priority]]="High")</f>
        <v>1</v>
      </c>
      <c r="AL67" s="283">
        <f ca="1">Table4[[#This Row],[Required Risk Resolution Date]]-$AE$1</f>
        <v>39</v>
      </c>
      <c r="AM67" s="58" t="b">
        <f t="shared" ca="1" si="3"/>
        <v>0</v>
      </c>
      <c r="AN67" s="59" t="b">
        <f>OR(Table4[[#This Row],[Priority]]="Critical",Table4[[#This Row],[Priority]]="High",Table4[[#This Row],[Priority]]="Moderate")</f>
        <v>1</v>
      </c>
    </row>
    <row r="68" spans="1:40" s="59" customFormat="1" ht="80.25" hidden="1" customHeight="1">
      <c r="A68" s="60" t="s">
        <v>2366</v>
      </c>
      <c r="B68" s="385">
        <v>40974</v>
      </c>
      <c r="C68" s="60" t="s">
        <v>261</v>
      </c>
      <c r="D68" s="60" t="s">
        <v>492</v>
      </c>
      <c r="E68" s="6" t="s">
        <v>2484</v>
      </c>
      <c r="F68" s="323" t="s">
        <v>2404</v>
      </c>
      <c r="G68" s="323" t="s">
        <v>2483</v>
      </c>
      <c r="H68" s="323" t="s">
        <v>150</v>
      </c>
      <c r="I68" s="323"/>
      <c r="J68" s="323" t="s">
        <v>561</v>
      </c>
      <c r="K68" s="6" t="s">
        <v>1857</v>
      </c>
      <c r="L68" s="6" t="s">
        <v>128</v>
      </c>
      <c r="M68" s="6" t="s">
        <v>1493</v>
      </c>
      <c r="N68" s="6" t="s">
        <v>81</v>
      </c>
      <c r="O68" s="6" t="s">
        <v>94</v>
      </c>
      <c r="P68" s="6" t="s">
        <v>93</v>
      </c>
      <c r="Q68" s="6" t="s">
        <v>94</v>
      </c>
      <c r="R68" s="6" t="s">
        <v>94</v>
      </c>
      <c r="S68" s="6" t="s">
        <v>2485</v>
      </c>
      <c r="T68" s="323" t="s">
        <v>29</v>
      </c>
      <c r="U68" s="323"/>
      <c r="V68" s="323" t="s">
        <v>321</v>
      </c>
      <c r="W68" s="323" t="s">
        <v>2474</v>
      </c>
      <c r="X68" s="218">
        <v>40989</v>
      </c>
      <c r="Y68" s="323" t="s">
        <v>1571</v>
      </c>
      <c r="Z68" s="323" t="s">
        <v>2634</v>
      </c>
      <c r="AA68" s="162">
        <v>40984</v>
      </c>
      <c r="AB68" s="55">
        <v>40976</v>
      </c>
      <c r="AC68" s="323" t="s">
        <v>2620</v>
      </c>
      <c r="AE68" s="283">
        <f ca="1">$AE$1-Table4[[#This Row],[Date Captured]]</f>
        <v>16</v>
      </c>
      <c r="AF68" s="59" t="b">
        <f>IFERROR(OR(Table4[[#This Row],[Status]]="02. Open &amp; Assigned",Table4[[#This Row],[Status]]="01. Open",Table4[[#This Row],[Status]]="03. Action/Mitigation Plan Defined",Table4[[#This Row],[Status]]="04. Action Plan Completed",Table4[[#This Row],[Status]]="08. Blank"),"")</f>
        <v>0</v>
      </c>
      <c r="AG68" s="59" t="b">
        <f ca="1">IF(Table4[[#This Row],[Required Risk Resolution Date]]="","FALSE",IF($AE$1&gt;Table4[[#This Row],[Required Risk Resolution Date]],TRUE,FALSE))</f>
        <v>1</v>
      </c>
      <c r="AH68" s="58" t="b">
        <f t="shared" ca="1" si="0"/>
        <v>0</v>
      </c>
      <c r="AI68" s="58" t="b">
        <f t="shared" ca="1" si="1"/>
        <v>0</v>
      </c>
      <c r="AJ68" s="58" t="b">
        <f t="shared" ca="1" si="2"/>
        <v>0</v>
      </c>
      <c r="AK68" s="58" t="b">
        <f>OR(Table4[[#This Row],[Priority]]="Critical",Table4[[#This Row],[Priority]]="High")</f>
        <v>1</v>
      </c>
      <c r="AL68" s="283">
        <f ca="1">Table4[[#This Row],[Required Risk Resolution Date]]-$AE$1</f>
        <v>-6</v>
      </c>
      <c r="AM68" s="58" t="b">
        <f t="shared" ca="1" si="3"/>
        <v>0</v>
      </c>
      <c r="AN68" s="59" t="b">
        <f>OR(Table4[[#This Row],[Priority]]="Critical",Table4[[#This Row],[Priority]]="High",Table4[[#This Row],[Priority]]="Moderate")</f>
        <v>1</v>
      </c>
    </row>
    <row r="69" spans="1:40" s="59" customFormat="1" ht="57.75" hidden="1" customHeight="1">
      <c r="A69" s="60" t="s">
        <v>192</v>
      </c>
      <c r="B69" s="61">
        <v>40655</v>
      </c>
      <c r="C69" s="60"/>
      <c r="D69" s="60" t="s">
        <v>171</v>
      </c>
      <c r="E69" s="7"/>
      <c r="F69" s="56" t="s">
        <v>260</v>
      </c>
      <c r="G69" s="7"/>
      <c r="H69" s="7" t="s">
        <v>150</v>
      </c>
      <c r="I69" s="7"/>
      <c r="J69" s="7" t="s">
        <v>261</v>
      </c>
      <c r="K69" s="7"/>
      <c r="L69" s="6"/>
      <c r="M69" s="6"/>
      <c r="N69" s="7" t="s">
        <v>81</v>
      </c>
      <c r="O69" s="7" t="s">
        <v>93</v>
      </c>
      <c r="P69" s="7"/>
      <c r="Q69" s="7"/>
      <c r="R69" s="7"/>
      <c r="S69" s="7"/>
      <c r="T69" s="7" t="s">
        <v>29</v>
      </c>
      <c r="U69" s="7" t="s">
        <v>180</v>
      </c>
      <c r="V69" s="56" t="s">
        <v>263</v>
      </c>
      <c r="W69" s="56" t="s">
        <v>191</v>
      </c>
      <c r="X69" s="7"/>
      <c r="Y69" s="7"/>
      <c r="Z69" s="56" t="s">
        <v>182</v>
      </c>
      <c r="AA69" s="323"/>
      <c r="AB69" s="55">
        <v>40660</v>
      </c>
      <c r="AC69" s="6"/>
      <c r="AE69" s="283">
        <f ca="1">$AE$1-Table4[[#This Row],[Date Captured]]</f>
        <v>335</v>
      </c>
      <c r="AF69" s="59" t="b">
        <f>IFERROR(OR(Table4[[#This Row],[Status]]="02. Open &amp; Assigned",Table4[[#This Row],[Status]]="01. Open",Table4[[#This Row],[Status]]="03. Action/Mitigation Plan Defined",Table4[[#This Row],[Status]]="04. Action Plan Completed",Table4[[#This Row],[Status]]="08. Blank"),"")</f>
        <v>0</v>
      </c>
      <c r="AG69" s="59" t="str">
        <f>IF(Table4[[#This Row],[Required Risk Resolution Date]]="","FALSE",IF($AE$1&gt;Table4[[#This Row],[Required Risk Resolution Date]],TRUE,FALSE))</f>
        <v>FALSE</v>
      </c>
      <c r="AH69" s="58" t="b">
        <f t="shared" ref="AH69:AH132" ca="1" si="4">IF(AE69&lt;30,FALSE,IF(AE69&gt;90,FALSE,TRUE))</f>
        <v>0</v>
      </c>
      <c r="AI69" s="58" t="b">
        <f t="shared" ref="AI69:AI132" ca="1" si="5">IF(AE69&lt;91,FALSE,IF(AE69&gt;180,FALSE,TRUE))</f>
        <v>0</v>
      </c>
      <c r="AJ69" s="58" t="b">
        <f t="shared" ref="AJ69:AJ132" ca="1" si="6">IF(AE69&gt;180,TRUE,FALSE)</f>
        <v>1</v>
      </c>
      <c r="AK69" s="58" t="b">
        <f>OR(Table4[[#This Row],[Priority]]="Critical",Table4[[#This Row],[Priority]]="High")</f>
        <v>0</v>
      </c>
      <c r="AL69" s="283">
        <f ca="1">Table4[[#This Row],[Required Risk Resolution Date]]-$AE$1</f>
        <v>-40990</v>
      </c>
      <c r="AM69" s="58" t="b">
        <f t="shared" ref="AM69:AM132" ca="1" si="7">IF(AL69&lt;1,FALSE,IF(AL69&gt;7,FALSE,TRUE))</f>
        <v>0</v>
      </c>
      <c r="AN69" s="59" t="b">
        <f>OR(Table4[[#This Row],[Priority]]="Critical",Table4[[#This Row],[Priority]]="High",Table4[[#This Row],[Priority]]="Moderate")</f>
        <v>0</v>
      </c>
    </row>
    <row r="70" spans="1:40" s="59" customFormat="1" ht="93.75" hidden="1" customHeight="1">
      <c r="A70" s="60" t="s">
        <v>193</v>
      </c>
      <c r="B70" s="61">
        <v>40655</v>
      </c>
      <c r="C70" s="60"/>
      <c r="D70" s="60" t="s">
        <v>171</v>
      </c>
      <c r="E70" s="7"/>
      <c r="F70" s="56" t="s">
        <v>262</v>
      </c>
      <c r="G70" s="7"/>
      <c r="H70" s="7" t="s">
        <v>150</v>
      </c>
      <c r="I70" s="7"/>
      <c r="J70" s="7" t="s">
        <v>261</v>
      </c>
      <c r="K70" s="7"/>
      <c r="L70" s="6"/>
      <c r="M70" s="6"/>
      <c r="N70" s="7" t="s">
        <v>81</v>
      </c>
      <c r="O70" s="7" t="s">
        <v>167</v>
      </c>
      <c r="P70" s="7"/>
      <c r="Q70" s="7"/>
      <c r="R70" s="7"/>
      <c r="S70" s="7"/>
      <c r="T70" s="7" t="s">
        <v>29</v>
      </c>
      <c r="U70" s="7" t="s">
        <v>180</v>
      </c>
      <c r="V70" s="56" t="s">
        <v>263</v>
      </c>
      <c r="W70" s="56" t="s">
        <v>264</v>
      </c>
      <c r="X70" s="57">
        <v>40807</v>
      </c>
      <c r="Y70" s="7"/>
      <c r="Z70" s="56" t="s">
        <v>265</v>
      </c>
      <c r="AA70" s="323"/>
      <c r="AB70" s="55">
        <v>40667</v>
      </c>
      <c r="AC70" s="6"/>
      <c r="AE70" s="283">
        <f ca="1">$AE$1-Table4[[#This Row],[Date Captured]]</f>
        <v>335</v>
      </c>
      <c r="AF70" s="59" t="b">
        <f>IFERROR(OR(Table4[[#This Row],[Status]]="02. Open &amp; Assigned",Table4[[#This Row],[Status]]="01. Open",Table4[[#This Row],[Status]]="03. Action/Mitigation Plan Defined",Table4[[#This Row],[Status]]="04. Action Plan Completed",Table4[[#This Row],[Status]]="08. Blank"),"")</f>
        <v>0</v>
      </c>
      <c r="AG70" s="59" t="str">
        <f>IF(Table4[[#This Row],[Required Risk Resolution Date]]="","FALSE",IF($AE$1&gt;Table4[[#This Row],[Required Risk Resolution Date]],TRUE,FALSE))</f>
        <v>FALSE</v>
      </c>
      <c r="AH70" s="58" t="b">
        <f t="shared" ca="1" si="4"/>
        <v>0</v>
      </c>
      <c r="AI70" s="58" t="b">
        <f t="shared" ca="1" si="5"/>
        <v>0</v>
      </c>
      <c r="AJ70" s="58" t="b">
        <f t="shared" ca="1" si="6"/>
        <v>1</v>
      </c>
      <c r="AK70" s="58" t="b">
        <f>OR(Table4[[#This Row],[Priority]]="Critical",Table4[[#This Row],[Priority]]="High")</f>
        <v>0</v>
      </c>
      <c r="AL70" s="283">
        <f ca="1">Table4[[#This Row],[Required Risk Resolution Date]]-$AE$1</f>
        <v>-40990</v>
      </c>
      <c r="AM70" s="58" t="b">
        <f t="shared" ca="1" si="7"/>
        <v>0</v>
      </c>
      <c r="AN70" s="59" t="b">
        <f>OR(Table4[[#This Row],[Priority]]="Critical",Table4[[#This Row],[Priority]]="High",Table4[[#This Row],[Priority]]="Moderate")</f>
        <v>0</v>
      </c>
    </row>
    <row r="71" spans="1:40" s="59" customFormat="1" ht="48" hidden="1">
      <c r="A71" s="60" t="s">
        <v>194</v>
      </c>
      <c r="B71" s="61">
        <v>40655</v>
      </c>
      <c r="C71" s="60"/>
      <c r="D71" s="60" t="s">
        <v>171</v>
      </c>
      <c r="E71" s="7"/>
      <c r="F71" s="56" t="s">
        <v>266</v>
      </c>
      <c r="G71" s="7"/>
      <c r="H71" s="7" t="s">
        <v>150</v>
      </c>
      <c r="I71" s="7"/>
      <c r="J71" s="7" t="s">
        <v>261</v>
      </c>
      <c r="K71" s="7"/>
      <c r="L71" s="323"/>
      <c r="M71" s="323"/>
      <c r="N71" s="7" t="s">
        <v>81</v>
      </c>
      <c r="O71" s="7" t="s">
        <v>93</v>
      </c>
      <c r="P71" s="7"/>
      <c r="Q71" s="7"/>
      <c r="R71" s="7"/>
      <c r="S71" s="7"/>
      <c r="T71" s="7" t="s">
        <v>29</v>
      </c>
      <c r="U71" s="7" t="s">
        <v>180</v>
      </c>
      <c r="V71" s="56" t="s">
        <v>263</v>
      </c>
      <c r="W71" s="56" t="s">
        <v>270</v>
      </c>
      <c r="X71" s="7"/>
      <c r="Y71" s="7"/>
      <c r="Z71" s="56" t="s">
        <v>182</v>
      </c>
      <c r="AA71" s="323"/>
      <c r="AB71" s="55">
        <v>40660</v>
      </c>
      <c r="AC71" s="323"/>
      <c r="AE71" s="283">
        <f ca="1">$AE$1-Table4[[#This Row],[Date Captured]]</f>
        <v>335</v>
      </c>
      <c r="AF71" s="59" t="b">
        <f>IFERROR(OR(Table4[[#This Row],[Status]]="02. Open &amp; Assigned",Table4[[#This Row],[Status]]="01. Open",Table4[[#This Row],[Status]]="03. Action/Mitigation Plan Defined",Table4[[#This Row],[Status]]="04. Action Plan Completed",Table4[[#This Row],[Status]]="08. Blank"),"")</f>
        <v>0</v>
      </c>
      <c r="AG71" s="59" t="str">
        <f>IF(Table4[[#This Row],[Required Risk Resolution Date]]="","FALSE",IF($AE$1&gt;Table4[[#This Row],[Required Risk Resolution Date]],TRUE,FALSE))</f>
        <v>FALSE</v>
      </c>
      <c r="AH71" s="58" t="b">
        <f t="shared" ca="1" si="4"/>
        <v>0</v>
      </c>
      <c r="AI71" s="58" t="b">
        <f t="shared" ca="1" si="5"/>
        <v>0</v>
      </c>
      <c r="AJ71" s="58" t="b">
        <f t="shared" ca="1" si="6"/>
        <v>1</v>
      </c>
      <c r="AK71" s="58" t="b">
        <f>OR(Table4[[#This Row],[Priority]]="Critical",Table4[[#This Row],[Priority]]="High")</f>
        <v>0</v>
      </c>
      <c r="AL71" s="283">
        <f ca="1">Table4[[#This Row],[Required Risk Resolution Date]]-$AE$1</f>
        <v>-40990</v>
      </c>
      <c r="AM71" s="58" t="b">
        <f t="shared" ca="1" si="7"/>
        <v>0</v>
      </c>
      <c r="AN71" s="59" t="b">
        <f>OR(Table4[[#This Row],[Priority]]="Critical",Table4[[#This Row],[Priority]]="High",Table4[[#This Row],[Priority]]="Moderate")</f>
        <v>0</v>
      </c>
    </row>
    <row r="72" spans="1:40" s="59" customFormat="1" ht="73.5" hidden="1" customHeight="1">
      <c r="A72" s="60" t="s">
        <v>196</v>
      </c>
      <c r="B72" s="61">
        <v>40655</v>
      </c>
      <c r="C72" s="60" t="s">
        <v>1570</v>
      </c>
      <c r="D72" s="60" t="s">
        <v>492</v>
      </c>
      <c r="E72" s="7" t="s">
        <v>1483</v>
      </c>
      <c r="F72" s="323" t="s">
        <v>2203</v>
      </c>
      <c r="G72" s="323" t="s">
        <v>273</v>
      </c>
      <c r="H72" s="7" t="s">
        <v>150</v>
      </c>
      <c r="I72" s="7"/>
      <c r="J72" s="7" t="s">
        <v>261</v>
      </c>
      <c r="K72" s="7" t="s">
        <v>403</v>
      </c>
      <c r="L72" s="6" t="s">
        <v>128</v>
      </c>
      <c r="M72" s="6" t="s">
        <v>1484</v>
      </c>
      <c r="N72" s="7" t="s">
        <v>83</v>
      </c>
      <c r="O72" s="7" t="s">
        <v>93</v>
      </c>
      <c r="P72" s="7" t="s">
        <v>93</v>
      </c>
      <c r="Q72" s="7" t="s">
        <v>93</v>
      </c>
      <c r="R72" s="7" t="s">
        <v>93</v>
      </c>
      <c r="S72" s="7" t="s">
        <v>1485</v>
      </c>
      <c r="T72" s="7" t="s">
        <v>29</v>
      </c>
      <c r="U72" s="7" t="s">
        <v>180</v>
      </c>
      <c r="V72" s="323" t="s">
        <v>274</v>
      </c>
      <c r="W72" s="323" t="s">
        <v>2202</v>
      </c>
      <c r="X72" s="57">
        <v>40961</v>
      </c>
      <c r="Y72" s="7" t="s">
        <v>1486</v>
      </c>
      <c r="Z72" s="7" t="s">
        <v>2216</v>
      </c>
      <c r="AA72" s="162">
        <v>40969</v>
      </c>
      <c r="AB72" s="55">
        <v>40961</v>
      </c>
      <c r="AC72" s="6" t="s">
        <v>2204</v>
      </c>
      <c r="AE72" s="283">
        <f ca="1">$AE$1-Table4[[#This Row],[Date Captured]]</f>
        <v>335</v>
      </c>
      <c r="AF72" s="59" t="b">
        <f>IFERROR(OR(Table4[[#This Row],[Status]]="02. Open &amp; Assigned",Table4[[#This Row],[Status]]="01. Open",Table4[[#This Row],[Status]]="03. Action/Mitigation Plan Defined",Table4[[#This Row],[Status]]="04. Action Plan Completed",Table4[[#This Row],[Status]]="08. Blank"),"")</f>
        <v>0</v>
      </c>
      <c r="AG72" s="59" t="b">
        <f ca="1">IF(Table4[[#This Row],[Required Risk Resolution Date]]="","FALSE",IF($AE$1&gt;Table4[[#This Row],[Required Risk Resolution Date]],TRUE,FALSE))</f>
        <v>1</v>
      </c>
      <c r="AH72" s="58" t="b">
        <f t="shared" ca="1" si="4"/>
        <v>0</v>
      </c>
      <c r="AI72" s="58" t="b">
        <f t="shared" ca="1" si="5"/>
        <v>0</v>
      </c>
      <c r="AJ72" s="58" t="b">
        <f t="shared" ca="1" si="6"/>
        <v>1</v>
      </c>
      <c r="AK72" s="58" t="b">
        <f>OR(Table4[[#This Row],[Priority]]="Critical",Table4[[#This Row],[Priority]]="High")</f>
        <v>1</v>
      </c>
      <c r="AL72" s="283">
        <f ca="1">Table4[[#This Row],[Required Risk Resolution Date]]-$AE$1</f>
        <v>-21</v>
      </c>
      <c r="AM72" s="58" t="b">
        <f t="shared" ca="1" si="7"/>
        <v>0</v>
      </c>
      <c r="AN72" s="59" t="b">
        <f>OR(Table4[[#This Row],[Priority]]="Critical",Table4[[#This Row],[Priority]]="High",Table4[[#This Row],[Priority]]="Moderate")</f>
        <v>1</v>
      </c>
    </row>
    <row r="73" spans="1:40" s="59" customFormat="1" ht="49.5" hidden="1" customHeight="1">
      <c r="A73" s="60" t="s">
        <v>197</v>
      </c>
      <c r="B73" s="61">
        <v>40655</v>
      </c>
      <c r="C73" s="60"/>
      <c r="D73" s="60" t="s">
        <v>171</v>
      </c>
      <c r="E73" s="7"/>
      <c r="F73" s="56" t="s">
        <v>272</v>
      </c>
      <c r="G73" s="7"/>
      <c r="H73" s="7" t="s">
        <v>150</v>
      </c>
      <c r="I73" s="7"/>
      <c r="J73" s="7" t="s">
        <v>261</v>
      </c>
      <c r="K73" s="7"/>
      <c r="L73" s="323"/>
      <c r="M73" s="323"/>
      <c r="N73" s="7" t="s">
        <v>83</v>
      </c>
      <c r="O73" s="7" t="s">
        <v>167</v>
      </c>
      <c r="P73" s="7"/>
      <c r="Q73" s="7"/>
      <c r="R73" s="7"/>
      <c r="S73" s="7"/>
      <c r="T73" s="7" t="s">
        <v>29</v>
      </c>
      <c r="U73" s="7" t="s">
        <v>180</v>
      </c>
      <c r="V73" s="56" t="s">
        <v>275</v>
      </c>
      <c r="W73" s="56" t="s">
        <v>276</v>
      </c>
      <c r="X73" s="57">
        <v>40807</v>
      </c>
      <c r="Y73" s="7"/>
      <c r="Z73" s="7" t="s">
        <v>277</v>
      </c>
      <c r="AA73" s="323"/>
      <c r="AB73" s="55">
        <v>40684</v>
      </c>
      <c r="AC73" s="323"/>
      <c r="AE73" s="283">
        <f ca="1">$AE$1-Table4[[#This Row],[Date Captured]]</f>
        <v>335</v>
      </c>
      <c r="AF73" s="59" t="b">
        <f>IFERROR(OR(Table4[[#This Row],[Status]]="02. Open &amp; Assigned",Table4[[#This Row],[Status]]="01. Open",Table4[[#This Row],[Status]]="03. Action/Mitigation Plan Defined",Table4[[#This Row],[Status]]="04. Action Plan Completed",Table4[[#This Row],[Status]]="08. Blank"),"")</f>
        <v>0</v>
      </c>
      <c r="AG73" s="59" t="str">
        <f>IF(Table4[[#This Row],[Required Risk Resolution Date]]="","FALSE",IF($AE$1&gt;Table4[[#This Row],[Required Risk Resolution Date]],TRUE,FALSE))</f>
        <v>FALSE</v>
      </c>
      <c r="AH73" s="58" t="b">
        <f t="shared" ca="1" si="4"/>
        <v>0</v>
      </c>
      <c r="AI73" s="58" t="b">
        <f t="shared" ca="1" si="5"/>
        <v>0</v>
      </c>
      <c r="AJ73" s="58" t="b">
        <f t="shared" ca="1" si="6"/>
        <v>1</v>
      </c>
      <c r="AK73" s="58" t="b">
        <f>OR(Table4[[#This Row],[Priority]]="Critical",Table4[[#This Row],[Priority]]="High")</f>
        <v>0</v>
      </c>
      <c r="AL73" s="283">
        <f ca="1">Table4[[#This Row],[Required Risk Resolution Date]]-$AE$1</f>
        <v>-40990</v>
      </c>
      <c r="AM73" s="58" t="b">
        <f t="shared" ca="1" si="7"/>
        <v>0</v>
      </c>
      <c r="AN73" s="59" t="b">
        <f>OR(Table4[[#This Row],[Priority]]="Critical",Table4[[#This Row],[Priority]]="High",Table4[[#This Row],[Priority]]="Moderate")</f>
        <v>0</v>
      </c>
    </row>
    <row r="74" spans="1:40" ht="106.5" hidden="1" customHeight="1">
      <c r="A74" s="60" t="s">
        <v>198</v>
      </c>
      <c r="B74" s="61">
        <v>40655</v>
      </c>
      <c r="C74" s="60"/>
      <c r="D74" s="60" t="s">
        <v>171</v>
      </c>
      <c r="E74" s="323"/>
      <c r="F74" s="56" t="s">
        <v>280</v>
      </c>
      <c r="G74" s="323"/>
      <c r="H74" s="323" t="s">
        <v>150</v>
      </c>
      <c r="I74" s="323"/>
      <c r="J74" s="323" t="s">
        <v>261</v>
      </c>
      <c r="K74" s="323"/>
      <c r="L74" s="6"/>
      <c r="M74" s="6"/>
      <c r="N74" s="323" t="s">
        <v>83</v>
      </c>
      <c r="O74" s="323" t="s">
        <v>93</v>
      </c>
      <c r="P74" s="323"/>
      <c r="Q74" s="323"/>
      <c r="R74" s="323"/>
      <c r="S74" s="323"/>
      <c r="T74" s="323" t="s">
        <v>29</v>
      </c>
      <c r="U74" s="323"/>
      <c r="V74" s="56" t="s">
        <v>284</v>
      </c>
      <c r="W74" s="56" t="s">
        <v>286</v>
      </c>
      <c r="X74" s="323"/>
      <c r="Y74" s="323"/>
      <c r="Z74" s="323"/>
      <c r="AA74" s="323"/>
      <c r="AB74" s="55">
        <v>40660</v>
      </c>
      <c r="AC74" s="323" t="s">
        <v>197</v>
      </c>
      <c r="AE74" s="283">
        <f ca="1">$AE$1-Table4[[#This Row],[Date Captured]]</f>
        <v>335</v>
      </c>
      <c r="AF74" s="58" t="b">
        <f>IFERROR(OR(Table4[[#This Row],[Status]]="02. Open &amp; Assigned",Table4[[#This Row],[Status]]="01. Open",Table4[[#This Row],[Status]]="03. Action/Mitigation Plan Defined",Table4[[#This Row],[Status]]="04. Action Plan Completed",Table4[[#This Row],[Status]]="08. Blank"),"")</f>
        <v>0</v>
      </c>
      <c r="AG74" s="58" t="str">
        <f>IF(Table4[[#This Row],[Required Risk Resolution Date]]="","FALSE",IF($AE$1&gt;Table4[[#This Row],[Required Risk Resolution Date]],TRUE,FALSE))</f>
        <v>FALSE</v>
      </c>
      <c r="AH74" s="58" t="b">
        <f t="shared" ca="1" si="4"/>
        <v>0</v>
      </c>
      <c r="AI74" s="58" t="b">
        <f t="shared" ca="1" si="5"/>
        <v>0</v>
      </c>
      <c r="AJ74" s="58" t="b">
        <f t="shared" ca="1" si="6"/>
        <v>1</v>
      </c>
      <c r="AK74" s="58" t="b">
        <f>OR(Table4[[#This Row],[Priority]]="Critical",Table4[[#This Row],[Priority]]="High")</f>
        <v>0</v>
      </c>
      <c r="AL74" s="283">
        <f ca="1">Table4[[#This Row],[Required Risk Resolution Date]]-$AE$1</f>
        <v>-40990</v>
      </c>
      <c r="AM74" s="58" t="b">
        <f t="shared" ca="1" si="7"/>
        <v>0</v>
      </c>
      <c r="AN74" s="59" t="b">
        <f>OR(Table4[[#This Row],[Priority]]="Critical",Table4[[#This Row],[Priority]]="High",Table4[[#This Row],[Priority]]="Moderate")</f>
        <v>0</v>
      </c>
    </row>
    <row r="75" spans="1:40" s="59" customFormat="1" ht="39.75" hidden="1" customHeight="1">
      <c r="A75" s="60" t="s">
        <v>214</v>
      </c>
      <c r="B75" s="64">
        <v>40709</v>
      </c>
      <c r="C75" s="60"/>
      <c r="D75" s="60" t="s">
        <v>171</v>
      </c>
      <c r="E75" s="6"/>
      <c r="F75" s="56" t="s">
        <v>332</v>
      </c>
      <c r="G75" s="56"/>
      <c r="H75" s="56" t="s">
        <v>150</v>
      </c>
      <c r="I75" s="56"/>
      <c r="J75" s="56" t="s">
        <v>333</v>
      </c>
      <c r="K75" s="6"/>
      <c r="L75" s="6"/>
      <c r="M75" s="6"/>
      <c r="N75" s="6" t="s">
        <v>83</v>
      </c>
      <c r="O75" s="6" t="s">
        <v>167</v>
      </c>
      <c r="P75" s="6"/>
      <c r="Q75" s="6"/>
      <c r="R75" s="6"/>
      <c r="S75" s="6"/>
      <c r="T75" s="56" t="s">
        <v>291</v>
      </c>
      <c r="U75" s="56" t="s">
        <v>336</v>
      </c>
      <c r="V75" s="56" t="s">
        <v>337</v>
      </c>
      <c r="W75" s="56" t="s">
        <v>338</v>
      </c>
      <c r="X75" s="64">
        <v>40751</v>
      </c>
      <c r="Y75" s="64"/>
      <c r="Z75" s="56" t="s">
        <v>341</v>
      </c>
      <c r="AA75" s="63"/>
      <c r="AB75" s="63" t="s">
        <v>301</v>
      </c>
      <c r="AC75" s="6"/>
      <c r="AE75" s="283">
        <f ca="1">$AE$1-Table4[[#This Row],[Date Captured]]</f>
        <v>281</v>
      </c>
      <c r="AF75" s="59" t="b">
        <f>IFERROR(OR(Table4[[#This Row],[Status]]="02. Open &amp; Assigned",Table4[[#This Row],[Status]]="01. Open",Table4[[#This Row],[Status]]="03. Action/Mitigation Plan Defined",Table4[[#This Row],[Status]]="04. Action Plan Completed",Table4[[#This Row],[Status]]="08. Blank"),"")</f>
        <v>0</v>
      </c>
      <c r="AG75" s="59" t="str">
        <f>IF(Table4[[#This Row],[Required Risk Resolution Date]]="","FALSE",IF($AE$1&gt;Table4[[#This Row],[Required Risk Resolution Date]],TRUE,FALSE))</f>
        <v>FALSE</v>
      </c>
      <c r="AH75" s="58" t="b">
        <f t="shared" ca="1" si="4"/>
        <v>0</v>
      </c>
      <c r="AI75" s="58" t="b">
        <f t="shared" ca="1" si="5"/>
        <v>0</v>
      </c>
      <c r="AJ75" s="58" t="b">
        <f t="shared" ca="1" si="6"/>
        <v>1</v>
      </c>
      <c r="AK75" s="58" t="b">
        <f>OR(Table4[[#This Row],[Priority]]="Critical",Table4[[#This Row],[Priority]]="High")</f>
        <v>0</v>
      </c>
      <c r="AL75" s="283">
        <f ca="1">Table4[[#This Row],[Required Risk Resolution Date]]-$AE$1</f>
        <v>-40990</v>
      </c>
      <c r="AM75" s="58" t="b">
        <f t="shared" ca="1" si="7"/>
        <v>0</v>
      </c>
      <c r="AN75" s="59" t="b">
        <f>OR(Table4[[#This Row],[Priority]]="Critical",Table4[[#This Row],[Priority]]="High",Table4[[#This Row],[Priority]]="Moderate")</f>
        <v>0</v>
      </c>
    </row>
    <row r="76" spans="1:40" s="59" customFormat="1" ht="84" hidden="1">
      <c r="A76" s="60" t="s">
        <v>215</v>
      </c>
      <c r="B76" s="64">
        <v>40722</v>
      </c>
      <c r="C76" s="60"/>
      <c r="D76" s="60" t="s">
        <v>171</v>
      </c>
      <c r="E76" s="6"/>
      <c r="F76" s="56" t="s">
        <v>334</v>
      </c>
      <c r="G76" s="56"/>
      <c r="H76" s="56" t="s">
        <v>150</v>
      </c>
      <c r="I76" s="56"/>
      <c r="J76" s="56" t="s">
        <v>335</v>
      </c>
      <c r="K76" s="6"/>
      <c r="L76" s="6"/>
      <c r="M76" s="6"/>
      <c r="N76" s="6" t="s">
        <v>83</v>
      </c>
      <c r="O76" s="6" t="s">
        <v>93</v>
      </c>
      <c r="P76" s="6"/>
      <c r="Q76" s="6"/>
      <c r="R76" s="6"/>
      <c r="S76" s="6"/>
      <c r="T76" s="56" t="s">
        <v>29</v>
      </c>
      <c r="U76" s="56"/>
      <c r="V76" s="56" t="s">
        <v>339</v>
      </c>
      <c r="W76" s="56" t="s">
        <v>340</v>
      </c>
      <c r="X76" s="64">
        <v>40751</v>
      </c>
      <c r="Y76" s="64"/>
      <c r="Z76" s="56"/>
      <c r="AA76" s="63"/>
      <c r="AB76" s="63">
        <v>40751</v>
      </c>
      <c r="AC76" s="6"/>
      <c r="AE76" s="283">
        <f ca="1">$AE$1-Table4[[#This Row],[Date Captured]]</f>
        <v>268</v>
      </c>
      <c r="AF76" s="59" t="b">
        <f>IFERROR(OR(Table4[[#This Row],[Status]]="02. Open &amp; Assigned",Table4[[#This Row],[Status]]="01. Open",Table4[[#This Row],[Status]]="03. Action/Mitigation Plan Defined",Table4[[#This Row],[Status]]="04. Action Plan Completed",Table4[[#This Row],[Status]]="08. Blank"),"")</f>
        <v>0</v>
      </c>
      <c r="AG76" s="59" t="str">
        <f>IF(Table4[[#This Row],[Required Risk Resolution Date]]="","FALSE",IF($AE$1&gt;Table4[[#This Row],[Required Risk Resolution Date]],TRUE,FALSE))</f>
        <v>FALSE</v>
      </c>
      <c r="AH76" s="58" t="b">
        <f t="shared" ca="1" si="4"/>
        <v>0</v>
      </c>
      <c r="AI76" s="58" t="b">
        <f t="shared" ca="1" si="5"/>
        <v>0</v>
      </c>
      <c r="AJ76" s="58" t="b">
        <f t="shared" ca="1" si="6"/>
        <v>1</v>
      </c>
      <c r="AK76" s="58" t="b">
        <f>OR(Table4[[#This Row],[Priority]]="Critical",Table4[[#This Row],[Priority]]="High")</f>
        <v>0</v>
      </c>
      <c r="AL76" s="283">
        <f ca="1">Table4[[#This Row],[Required Risk Resolution Date]]-$AE$1</f>
        <v>-40990</v>
      </c>
      <c r="AM76" s="58" t="b">
        <f t="shared" ca="1" si="7"/>
        <v>0</v>
      </c>
      <c r="AN76" s="59" t="b">
        <f>OR(Table4[[#This Row],[Priority]]="Critical",Table4[[#This Row],[Priority]]="High",Table4[[#This Row],[Priority]]="Moderate")</f>
        <v>0</v>
      </c>
    </row>
    <row r="77" spans="1:40" s="59" customFormat="1" ht="58.5" hidden="1" customHeight="1">
      <c r="A77" s="60" t="s">
        <v>221</v>
      </c>
      <c r="B77" s="258">
        <v>40760</v>
      </c>
      <c r="C77" s="60" t="s">
        <v>1570</v>
      </c>
      <c r="D77" s="60" t="s">
        <v>171</v>
      </c>
      <c r="E77" s="323" t="s">
        <v>2167</v>
      </c>
      <c r="F77" s="323" t="s">
        <v>364</v>
      </c>
      <c r="G77" s="323" t="s">
        <v>2168</v>
      </c>
      <c r="H77" s="323" t="s">
        <v>150</v>
      </c>
      <c r="I77" s="323"/>
      <c r="J77" s="323" t="s">
        <v>261</v>
      </c>
      <c r="K77" s="323" t="s">
        <v>261</v>
      </c>
      <c r="L77" s="323" t="s">
        <v>130</v>
      </c>
      <c r="M77" s="323" t="s">
        <v>1493</v>
      </c>
      <c r="N77" s="323" t="s">
        <v>87</v>
      </c>
      <c r="O77" s="323" t="s">
        <v>91</v>
      </c>
      <c r="P77" s="323" t="s">
        <v>91</v>
      </c>
      <c r="Q77" s="323" t="s">
        <v>91</v>
      </c>
      <c r="R77" s="323" t="s">
        <v>91</v>
      </c>
      <c r="S77" s="323" t="s">
        <v>1487</v>
      </c>
      <c r="T77" s="323" t="s">
        <v>291</v>
      </c>
      <c r="U77" s="323" t="s">
        <v>367</v>
      </c>
      <c r="V77" s="323" t="s">
        <v>368</v>
      </c>
      <c r="W77" s="323" t="s">
        <v>369</v>
      </c>
      <c r="X77" s="258">
        <v>40996</v>
      </c>
      <c r="Y77" s="258" t="s">
        <v>1574</v>
      </c>
      <c r="Z77" s="323" t="s">
        <v>2710</v>
      </c>
      <c r="AA77" s="260">
        <v>40997</v>
      </c>
      <c r="AB77" s="323"/>
      <c r="AC77" s="6"/>
      <c r="AE77" s="283">
        <f ca="1">$AE$1-Table4[[#This Row],[Date Captured]]</f>
        <v>230</v>
      </c>
      <c r="AF77" s="59" t="b">
        <f>IFERROR(OR(Table4[[#This Row],[Status]]="02. Open &amp; Assigned",Table4[[#This Row],[Status]]="01. Open",Table4[[#This Row],[Status]]="03. Action/Mitigation Plan Defined",Table4[[#This Row],[Status]]="04. Action Plan Completed",Table4[[#This Row],[Status]]="08. Blank"),"")</f>
        <v>0</v>
      </c>
      <c r="AG77" s="59" t="b">
        <f ca="1">IF(Table4[[#This Row],[Required Risk Resolution Date]]="","FALSE",IF($AE$1&gt;Table4[[#This Row],[Required Risk Resolution Date]],TRUE,FALSE))</f>
        <v>0</v>
      </c>
      <c r="AH77" s="58" t="b">
        <f t="shared" ca="1" si="4"/>
        <v>0</v>
      </c>
      <c r="AI77" s="58" t="b">
        <f t="shared" ca="1" si="5"/>
        <v>0</v>
      </c>
      <c r="AJ77" s="58" t="b">
        <f t="shared" ca="1" si="6"/>
        <v>1</v>
      </c>
      <c r="AK77" s="58" t="b">
        <f>OR(Table4[[#This Row],[Priority]]="Critical",Table4[[#This Row],[Priority]]="High")</f>
        <v>0</v>
      </c>
      <c r="AL77" s="283">
        <f ca="1">Table4[[#This Row],[Required Risk Resolution Date]]-$AE$1</f>
        <v>7</v>
      </c>
      <c r="AM77" s="58" t="b">
        <f t="shared" ca="1" si="7"/>
        <v>1</v>
      </c>
      <c r="AN77" s="59" t="b">
        <f>OR(Table4[[#This Row],[Priority]]="Critical",Table4[[#This Row],[Priority]]="High",Table4[[#This Row],[Priority]]="Moderate")</f>
        <v>0</v>
      </c>
    </row>
    <row r="78" spans="1:40" ht="93.75" hidden="1" customHeight="1">
      <c r="A78" s="60" t="s">
        <v>222</v>
      </c>
      <c r="B78" s="258">
        <v>40764</v>
      </c>
      <c r="C78" s="60" t="s">
        <v>1570</v>
      </c>
      <c r="D78" s="60" t="s">
        <v>171</v>
      </c>
      <c r="E78" s="323" t="s">
        <v>1488</v>
      </c>
      <c r="F78" s="323" t="s">
        <v>365</v>
      </c>
      <c r="G78" s="323" t="s">
        <v>366</v>
      </c>
      <c r="H78" s="323" t="s">
        <v>150</v>
      </c>
      <c r="I78" s="323"/>
      <c r="J78" s="323" t="s">
        <v>261</v>
      </c>
      <c r="K78" s="323" t="s">
        <v>261</v>
      </c>
      <c r="L78" s="323" t="s">
        <v>130</v>
      </c>
      <c r="M78" s="323" t="s">
        <v>1489</v>
      </c>
      <c r="N78" s="323" t="s">
        <v>83</v>
      </c>
      <c r="O78" s="323" t="s">
        <v>167</v>
      </c>
      <c r="P78" s="323" t="s">
        <v>91</v>
      </c>
      <c r="Q78" s="323" t="s">
        <v>167</v>
      </c>
      <c r="R78" s="323" t="s">
        <v>167</v>
      </c>
      <c r="S78" s="323" t="s">
        <v>1490</v>
      </c>
      <c r="T78" s="323" t="s">
        <v>29</v>
      </c>
      <c r="U78" s="323"/>
      <c r="V78" s="323" t="s">
        <v>370</v>
      </c>
      <c r="W78" s="323" t="s">
        <v>1854</v>
      </c>
      <c r="X78" s="258">
        <v>40961</v>
      </c>
      <c r="Y78" s="258"/>
      <c r="Z78" s="323"/>
      <c r="AA78" s="260">
        <v>40940</v>
      </c>
      <c r="AB78" s="323"/>
      <c r="AC78" s="6"/>
      <c r="AE78" s="283">
        <f ca="1">$AE$1-Table4[[#This Row],[Date Captured]]</f>
        <v>226</v>
      </c>
      <c r="AF78" s="58" t="b">
        <f>IFERROR(OR(Table4[[#This Row],[Status]]="02. Open &amp; Assigned",Table4[[#This Row],[Status]]="01. Open",Table4[[#This Row],[Status]]="03. Action/Mitigation Plan Defined",Table4[[#This Row],[Status]]="04. Action Plan Completed",Table4[[#This Row],[Status]]="08. Blank"),"")</f>
        <v>0</v>
      </c>
      <c r="AG78" s="58" t="b">
        <f ca="1">IF(Table4[[#This Row],[Required Risk Resolution Date]]="","FALSE",IF($AE$1&gt;Table4[[#This Row],[Required Risk Resolution Date]],TRUE,FALSE))</f>
        <v>1</v>
      </c>
      <c r="AH78" s="58" t="b">
        <f t="shared" ca="1" si="4"/>
        <v>0</v>
      </c>
      <c r="AI78" s="58" t="b">
        <f t="shared" ca="1" si="5"/>
        <v>0</v>
      </c>
      <c r="AJ78" s="58" t="b">
        <f t="shared" ca="1" si="6"/>
        <v>1</v>
      </c>
      <c r="AK78" s="58" t="b">
        <f>OR(Table4[[#This Row],[Priority]]="Critical",Table4[[#This Row],[Priority]]="High")</f>
        <v>0</v>
      </c>
      <c r="AL78" s="283">
        <f ca="1">Table4[[#This Row],[Required Risk Resolution Date]]-$AE$1</f>
        <v>-50</v>
      </c>
      <c r="AM78" s="58" t="b">
        <f t="shared" ca="1" si="7"/>
        <v>0</v>
      </c>
      <c r="AN78" s="59" t="b">
        <f>OR(Table4[[#This Row],[Priority]]="Critical",Table4[[#This Row],[Priority]]="High",Table4[[#This Row],[Priority]]="Moderate")</f>
        <v>0</v>
      </c>
    </row>
    <row r="79" spans="1:40" s="59" customFormat="1" ht="51" hidden="1" customHeight="1">
      <c r="A79" s="60" t="s">
        <v>223</v>
      </c>
      <c r="B79" s="64">
        <v>40764</v>
      </c>
      <c r="C79" s="60"/>
      <c r="D79" s="60" t="s">
        <v>171</v>
      </c>
      <c r="E79" s="323"/>
      <c r="F79" s="56" t="s">
        <v>372</v>
      </c>
      <c r="G79" s="56" t="s">
        <v>373</v>
      </c>
      <c r="H79" s="56" t="s">
        <v>150</v>
      </c>
      <c r="I79" s="56"/>
      <c r="J79" s="56" t="s">
        <v>261</v>
      </c>
      <c r="K79" s="323"/>
      <c r="L79" s="323"/>
      <c r="M79" s="323"/>
      <c r="N79" s="323" t="s">
        <v>83</v>
      </c>
      <c r="O79" s="323" t="s">
        <v>167</v>
      </c>
      <c r="P79" s="323"/>
      <c r="Q79" s="323"/>
      <c r="R79" s="323"/>
      <c r="S79" s="323"/>
      <c r="T79" s="56" t="s">
        <v>29</v>
      </c>
      <c r="U79" s="56"/>
      <c r="V79" s="56" t="s">
        <v>375</v>
      </c>
      <c r="W79" s="56" t="s">
        <v>371</v>
      </c>
      <c r="X79" s="64">
        <v>40909</v>
      </c>
      <c r="Y79" s="64"/>
      <c r="Z79" s="56"/>
      <c r="AA79" s="63"/>
      <c r="AB79" s="63"/>
      <c r="AC79" s="6"/>
      <c r="AE79" s="283">
        <f ca="1">$AE$1-Table4[[#This Row],[Date Captured]]</f>
        <v>226</v>
      </c>
      <c r="AF79" s="59" t="b">
        <f>IFERROR(OR(Table4[[#This Row],[Status]]="02. Open &amp; Assigned",Table4[[#This Row],[Status]]="01. Open",Table4[[#This Row],[Status]]="03. Action/Mitigation Plan Defined",Table4[[#This Row],[Status]]="04. Action Plan Completed",Table4[[#This Row],[Status]]="08. Blank"),"")</f>
        <v>0</v>
      </c>
      <c r="AG79" s="59" t="str">
        <f>IF(Table4[[#This Row],[Required Risk Resolution Date]]="","FALSE",IF($AE$1&gt;Table4[[#This Row],[Required Risk Resolution Date]],TRUE,FALSE))</f>
        <v>FALSE</v>
      </c>
      <c r="AH79" s="58" t="b">
        <f t="shared" ca="1" si="4"/>
        <v>0</v>
      </c>
      <c r="AI79" s="58" t="b">
        <f t="shared" ca="1" si="5"/>
        <v>0</v>
      </c>
      <c r="AJ79" s="58" t="b">
        <f t="shared" ca="1" si="6"/>
        <v>1</v>
      </c>
      <c r="AK79" s="58" t="b">
        <f>OR(Table4[[#This Row],[Priority]]="Critical",Table4[[#This Row],[Priority]]="High")</f>
        <v>0</v>
      </c>
      <c r="AL79" s="283">
        <f ca="1">Table4[[#This Row],[Required Risk Resolution Date]]-$AE$1</f>
        <v>-40990</v>
      </c>
      <c r="AM79" s="58" t="b">
        <f t="shared" ca="1" si="7"/>
        <v>0</v>
      </c>
      <c r="AN79" s="59" t="b">
        <f>OR(Table4[[#This Row],[Priority]]="Critical",Table4[[#This Row],[Priority]]="High",Table4[[#This Row],[Priority]]="Moderate")</f>
        <v>0</v>
      </c>
    </row>
    <row r="80" spans="1:40" s="59" customFormat="1" ht="56.25" hidden="1" customHeight="1">
      <c r="A80" s="60" t="s">
        <v>383</v>
      </c>
      <c r="B80" s="64">
        <v>40826</v>
      </c>
      <c r="C80" s="60" t="s">
        <v>1570</v>
      </c>
      <c r="D80" s="60" t="s">
        <v>492</v>
      </c>
      <c r="E80" s="323" t="s">
        <v>1491</v>
      </c>
      <c r="F80" s="56" t="s">
        <v>391</v>
      </c>
      <c r="G80" s="56" t="s">
        <v>392</v>
      </c>
      <c r="H80" s="323" t="s">
        <v>150</v>
      </c>
      <c r="I80" s="323"/>
      <c r="J80" s="56" t="s">
        <v>393</v>
      </c>
      <c r="K80" s="323" t="s">
        <v>1492</v>
      </c>
      <c r="L80" s="323" t="s">
        <v>128</v>
      </c>
      <c r="M80" s="323" t="s">
        <v>1493</v>
      </c>
      <c r="N80" s="323" t="s">
        <v>83</v>
      </c>
      <c r="O80" s="323" t="s">
        <v>93</v>
      </c>
      <c r="P80" s="323" t="s">
        <v>93</v>
      </c>
      <c r="Q80" s="323" t="s">
        <v>93</v>
      </c>
      <c r="R80" s="323" t="s">
        <v>93</v>
      </c>
      <c r="S80" s="323" t="s">
        <v>1494</v>
      </c>
      <c r="T80" s="323" t="s">
        <v>29</v>
      </c>
      <c r="U80" s="56" t="s">
        <v>1495</v>
      </c>
      <c r="V80" s="56" t="s">
        <v>394</v>
      </c>
      <c r="W80" s="56" t="s">
        <v>395</v>
      </c>
      <c r="X80" s="55">
        <v>40940</v>
      </c>
      <c r="Y80" s="323" t="s">
        <v>1486</v>
      </c>
      <c r="Z80" s="323"/>
      <c r="AA80" s="162"/>
      <c r="AB80" s="323"/>
      <c r="AC80" s="6"/>
      <c r="AE80" s="283">
        <f ca="1">$AE$1-Table4[[#This Row],[Date Captured]]</f>
        <v>164</v>
      </c>
      <c r="AF80" s="59" t="b">
        <f>IFERROR(OR(Table4[[#This Row],[Status]]="02. Open &amp; Assigned",Table4[[#This Row],[Status]]="01. Open",Table4[[#This Row],[Status]]="03. Action/Mitigation Plan Defined",Table4[[#This Row],[Status]]="04. Action Plan Completed",Table4[[#This Row],[Status]]="08. Blank"),"")</f>
        <v>0</v>
      </c>
      <c r="AG80" s="59" t="str">
        <f>IF(Table4[[#This Row],[Required Risk Resolution Date]]="","FALSE",IF($AE$1&gt;Table4[[#This Row],[Required Risk Resolution Date]],TRUE,FALSE))</f>
        <v>FALSE</v>
      </c>
      <c r="AH80" s="58" t="b">
        <f t="shared" ca="1" si="4"/>
        <v>0</v>
      </c>
      <c r="AI80" s="58" t="b">
        <f t="shared" ca="1" si="5"/>
        <v>1</v>
      </c>
      <c r="AJ80" s="58" t="b">
        <f t="shared" ca="1" si="6"/>
        <v>0</v>
      </c>
      <c r="AK80" s="58" t="b">
        <f>OR(Table4[[#This Row],[Priority]]="Critical",Table4[[#This Row],[Priority]]="High")</f>
        <v>1</v>
      </c>
      <c r="AL80" s="283">
        <f ca="1">Table4[[#This Row],[Required Risk Resolution Date]]-$AE$1</f>
        <v>-40990</v>
      </c>
      <c r="AM80" s="58" t="b">
        <f t="shared" ca="1" si="7"/>
        <v>0</v>
      </c>
      <c r="AN80" s="59" t="b">
        <f>OR(Table4[[#This Row],[Priority]]="Critical",Table4[[#This Row],[Priority]]="High",Table4[[#This Row],[Priority]]="Moderate")</f>
        <v>1</v>
      </c>
    </row>
    <row r="81" spans="1:40" s="59" customFormat="1" ht="75" hidden="1" customHeight="1">
      <c r="A81" s="60" t="s">
        <v>408</v>
      </c>
      <c r="B81" s="258">
        <v>40826</v>
      </c>
      <c r="C81" s="60" t="s">
        <v>1570</v>
      </c>
      <c r="D81" s="60" t="s">
        <v>171</v>
      </c>
      <c r="E81" s="323" t="s">
        <v>2169</v>
      </c>
      <c r="F81" s="323" t="s">
        <v>411</v>
      </c>
      <c r="G81" s="323" t="s">
        <v>412</v>
      </c>
      <c r="H81" s="323" t="s">
        <v>150</v>
      </c>
      <c r="I81" s="323"/>
      <c r="J81" s="323" t="s">
        <v>261</v>
      </c>
      <c r="K81" s="323" t="s">
        <v>261</v>
      </c>
      <c r="L81" s="6" t="s">
        <v>130</v>
      </c>
      <c r="M81" s="6" t="s">
        <v>1493</v>
      </c>
      <c r="N81" s="323" t="s">
        <v>87</v>
      </c>
      <c r="O81" s="323" t="s">
        <v>93</v>
      </c>
      <c r="P81" s="323" t="s">
        <v>93</v>
      </c>
      <c r="Q81" s="323" t="s">
        <v>167</v>
      </c>
      <c r="R81" s="323" t="s">
        <v>93</v>
      </c>
      <c r="S81" s="323" t="s">
        <v>1496</v>
      </c>
      <c r="T81" s="323" t="s">
        <v>29</v>
      </c>
      <c r="U81" s="323" t="s">
        <v>415</v>
      </c>
      <c r="V81" s="323" t="s">
        <v>415</v>
      </c>
      <c r="W81" s="323" t="s">
        <v>2460</v>
      </c>
      <c r="X81" s="259">
        <v>41189</v>
      </c>
      <c r="Y81" s="259" t="s">
        <v>1564</v>
      </c>
      <c r="Z81" s="323" t="s">
        <v>2699</v>
      </c>
      <c r="AA81" s="260">
        <v>41189</v>
      </c>
      <c r="AB81" s="261"/>
      <c r="AC81" s="6"/>
      <c r="AE81" s="283">
        <f ca="1">$AE$1-Table4[[#This Row],[Date Captured]]</f>
        <v>164</v>
      </c>
      <c r="AF81" s="59" t="b">
        <f>IFERROR(OR(Table4[[#This Row],[Status]]="02. Open &amp; Assigned",Table4[[#This Row],[Status]]="01. Open",Table4[[#This Row],[Status]]="03. Action/Mitigation Plan Defined",Table4[[#This Row],[Status]]="04. Action Plan Completed",Table4[[#This Row],[Status]]="08. Blank"),"")</f>
        <v>0</v>
      </c>
      <c r="AG81" s="59" t="b">
        <f ca="1">IF(Table4[[#This Row],[Required Risk Resolution Date]]="","FALSE",IF($AE$1&gt;Table4[[#This Row],[Required Risk Resolution Date]],TRUE,FALSE))</f>
        <v>0</v>
      </c>
      <c r="AH81" s="58" t="b">
        <f t="shared" ca="1" si="4"/>
        <v>0</v>
      </c>
      <c r="AI81" s="58" t="b">
        <f t="shared" ca="1" si="5"/>
        <v>1</v>
      </c>
      <c r="AJ81" s="58" t="b">
        <f t="shared" ca="1" si="6"/>
        <v>0</v>
      </c>
      <c r="AK81" s="58" t="b">
        <f>OR(Table4[[#This Row],[Priority]]="Critical",Table4[[#This Row],[Priority]]="High")</f>
        <v>0</v>
      </c>
      <c r="AL81" s="283">
        <f ca="1">Table4[[#This Row],[Required Risk Resolution Date]]-$AE$1</f>
        <v>199</v>
      </c>
      <c r="AM81" s="58" t="b">
        <f t="shared" ca="1" si="7"/>
        <v>0</v>
      </c>
      <c r="AN81" s="59" t="b">
        <f>OR(Table4[[#This Row],[Priority]]="Critical",Table4[[#This Row],[Priority]]="High",Table4[[#This Row],[Priority]]="Moderate")</f>
        <v>0</v>
      </c>
    </row>
    <row r="82" spans="1:40" s="59" customFormat="1" ht="83.25" hidden="1" customHeight="1">
      <c r="A82" s="60" t="s">
        <v>417</v>
      </c>
      <c r="B82" s="64">
        <v>40826</v>
      </c>
      <c r="C82" s="60"/>
      <c r="D82" s="60" t="s">
        <v>492</v>
      </c>
      <c r="E82" s="323"/>
      <c r="F82" s="56" t="s">
        <v>419</v>
      </c>
      <c r="G82" s="56" t="s">
        <v>420</v>
      </c>
      <c r="H82" s="56" t="s">
        <v>150</v>
      </c>
      <c r="I82" s="56"/>
      <c r="J82" s="56" t="s">
        <v>261</v>
      </c>
      <c r="K82" s="323"/>
      <c r="L82" s="323"/>
      <c r="M82" s="323"/>
      <c r="N82" s="323" t="s">
        <v>83</v>
      </c>
      <c r="O82" s="323" t="s">
        <v>93</v>
      </c>
      <c r="P82" s="323"/>
      <c r="Q82" s="323"/>
      <c r="R82" s="323"/>
      <c r="S82" s="323"/>
      <c r="T82" s="56" t="s">
        <v>29</v>
      </c>
      <c r="U82" s="56"/>
      <c r="V82" s="56" t="s">
        <v>421</v>
      </c>
      <c r="W82" s="56" t="s">
        <v>422</v>
      </c>
      <c r="X82" s="72">
        <v>40909</v>
      </c>
      <c r="Y82" s="72"/>
      <c r="Z82" s="56"/>
      <c r="AA82" s="63">
        <v>40969</v>
      </c>
      <c r="AB82" s="63"/>
      <c r="AC82" s="6"/>
      <c r="AE82" s="283">
        <f ca="1">$AE$1-Table4[[#This Row],[Date Captured]]</f>
        <v>164</v>
      </c>
      <c r="AF82" s="59" t="b">
        <f>IFERROR(OR(Table4[[#This Row],[Status]]="02. Open &amp; Assigned",Table4[[#This Row],[Status]]="01. Open",Table4[[#This Row],[Status]]="03. Action/Mitigation Plan Defined",Table4[[#This Row],[Status]]="04. Action Plan Completed",Table4[[#This Row],[Status]]="08. Blank"),"")</f>
        <v>0</v>
      </c>
      <c r="AG82" s="59" t="b">
        <f ca="1">IF(Table4[[#This Row],[Required Risk Resolution Date]]="","FALSE",IF($AE$1&gt;Table4[[#This Row],[Required Risk Resolution Date]],TRUE,FALSE))</f>
        <v>1</v>
      </c>
      <c r="AH82" s="58" t="b">
        <f t="shared" ca="1" si="4"/>
        <v>0</v>
      </c>
      <c r="AI82" s="58" t="b">
        <f t="shared" ca="1" si="5"/>
        <v>1</v>
      </c>
      <c r="AJ82" s="58" t="b">
        <f t="shared" ca="1" si="6"/>
        <v>0</v>
      </c>
      <c r="AK82" s="58" t="b">
        <f>OR(Table4[[#This Row],[Priority]]="Critical",Table4[[#This Row],[Priority]]="High")</f>
        <v>0</v>
      </c>
      <c r="AL82" s="283">
        <f ca="1">Table4[[#This Row],[Required Risk Resolution Date]]-$AE$1</f>
        <v>-21</v>
      </c>
      <c r="AM82" s="58" t="b">
        <f t="shared" ca="1" si="7"/>
        <v>0</v>
      </c>
      <c r="AN82" s="59" t="b">
        <f>OR(Table4[[#This Row],[Priority]]="Critical",Table4[[#This Row],[Priority]]="High",Table4[[#This Row],[Priority]]="Moderate")</f>
        <v>0</v>
      </c>
    </row>
    <row r="83" spans="1:40" s="59" customFormat="1" ht="72.75" hidden="1" customHeight="1">
      <c r="A83" s="60" t="s">
        <v>230</v>
      </c>
      <c r="B83" s="64">
        <v>40807</v>
      </c>
      <c r="C83" s="60"/>
      <c r="D83" s="60" t="s">
        <v>492</v>
      </c>
      <c r="E83" s="323"/>
      <c r="F83" s="56" t="s">
        <v>430</v>
      </c>
      <c r="G83" s="56"/>
      <c r="H83" s="56" t="s">
        <v>150</v>
      </c>
      <c r="I83" s="56"/>
      <c r="J83" s="56" t="s">
        <v>261</v>
      </c>
      <c r="K83" s="323"/>
      <c r="L83" s="6"/>
      <c r="M83" s="6"/>
      <c r="N83" s="323" t="s">
        <v>83</v>
      </c>
      <c r="O83" s="323" t="s">
        <v>93</v>
      </c>
      <c r="P83" s="323"/>
      <c r="Q83" s="323"/>
      <c r="R83" s="323"/>
      <c r="S83" s="323"/>
      <c r="T83" s="323"/>
      <c r="U83" s="323"/>
      <c r="V83" s="56" t="s">
        <v>432</v>
      </c>
      <c r="W83" s="56" t="s">
        <v>433</v>
      </c>
      <c r="X83" s="64">
        <v>40828</v>
      </c>
      <c r="Y83" s="64"/>
      <c r="Z83" s="56"/>
      <c r="AA83" s="63"/>
      <c r="AB83" s="63">
        <v>40828</v>
      </c>
      <c r="AC83" s="6" t="s">
        <v>434</v>
      </c>
      <c r="AE83" s="283">
        <f ca="1">$AE$1-Table4[[#This Row],[Date Captured]]</f>
        <v>183</v>
      </c>
      <c r="AF83" s="59" t="b">
        <f>IFERROR(OR(Table4[[#This Row],[Status]]="02. Open &amp; Assigned",Table4[[#This Row],[Status]]="01. Open",Table4[[#This Row],[Status]]="03. Action/Mitigation Plan Defined",Table4[[#This Row],[Status]]="04. Action Plan Completed",Table4[[#This Row],[Status]]="08. Blank"),"")</f>
        <v>0</v>
      </c>
      <c r="AG83" s="59" t="str">
        <f>IF(Table4[[#This Row],[Required Risk Resolution Date]]="","FALSE",IF($AE$1&gt;Table4[[#This Row],[Required Risk Resolution Date]],TRUE,FALSE))</f>
        <v>FALSE</v>
      </c>
      <c r="AH83" s="58" t="b">
        <f t="shared" ca="1" si="4"/>
        <v>0</v>
      </c>
      <c r="AI83" s="58" t="b">
        <f t="shared" ca="1" si="5"/>
        <v>0</v>
      </c>
      <c r="AJ83" s="58" t="b">
        <f t="shared" ca="1" si="6"/>
        <v>1</v>
      </c>
      <c r="AK83" s="58" t="b">
        <f>OR(Table4[[#This Row],[Priority]]="Critical",Table4[[#This Row],[Priority]]="High")</f>
        <v>0</v>
      </c>
      <c r="AL83" s="283">
        <f ca="1">Table4[[#This Row],[Required Risk Resolution Date]]-$AE$1</f>
        <v>-40990</v>
      </c>
      <c r="AM83" s="58" t="b">
        <f t="shared" ca="1" si="7"/>
        <v>0</v>
      </c>
      <c r="AN83" s="59" t="b">
        <f>OR(Table4[[#This Row],[Priority]]="Critical",Table4[[#This Row],[Priority]]="High",Table4[[#This Row],[Priority]]="Moderate")</f>
        <v>0</v>
      </c>
    </row>
    <row r="84" spans="1:40" s="59" customFormat="1" ht="117.75" hidden="1" customHeight="1">
      <c r="A84" s="60" t="s">
        <v>240</v>
      </c>
      <c r="B84" s="61">
        <v>40848</v>
      </c>
      <c r="C84" s="60"/>
      <c r="D84" s="60" t="s">
        <v>171</v>
      </c>
      <c r="E84" s="6"/>
      <c r="F84" s="56" t="s">
        <v>496</v>
      </c>
      <c r="G84" s="56"/>
      <c r="H84" s="56" t="s">
        <v>150</v>
      </c>
      <c r="I84" s="56"/>
      <c r="J84" s="56" t="s">
        <v>261</v>
      </c>
      <c r="K84" s="6"/>
      <c r="L84" s="6"/>
      <c r="M84" s="6"/>
      <c r="N84" s="6" t="s">
        <v>83</v>
      </c>
      <c r="O84" s="6" t="s">
        <v>167</v>
      </c>
      <c r="P84" s="6"/>
      <c r="Q84" s="6"/>
      <c r="R84" s="6"/>
      <c r="S84" s="6"/>
      <c r="T84" s="56" t="s">
        <v>29</v>
      </c>
      <c r="U84" s="56"/>
      <c r="V84" s="56" t="s">
        <v>498</v>
      </c>
      <c r="W84" s="56" t="s">
        <v>499</v>
      </c>
      <c r="X84" s="55">
        <v>40849</v>
      </c>
      <c r="Y84" s="323"/>
      <c r="Z84" s="323"/>
      <c r="AA84" s="323"/>
      <c r="AB84" s="323"/>
      <c r="AC84" s="6"/>
      <c r="AE84" s="283">
        <f ca="1">$AE$1-Table4[[#This Row],[Date Captured]]</f>
        <v>142</v>
      </c>
      <c r="AF84" s="59" t="b">
        <f>IFERROR(OR(Table4[[#This Row],[Status]]="02. Open &amp; Assigned",Table4[[#This Row],[Status]]="01. Open",Table4[[#This Row],[Status]]="03. Action/Mitigation Plan Defined",Table4[[#This Row],[Status]]="04. Action Plan Completed",Table4[[#This Row],[Status]]="08. Blank"),"")</f>
        <v>0</v>
      </c>
      <c r="AG84" s="59" t="str">
        <f>IF(Table4[[#This Row],[Required Risk Resolution Date]]="","FALSE",IF($AE$1&gt;Table4[[#This Row],[Required Risk Resolution Date]],TRUE,FALSE))</f>
        <v>FALSE</v>
      </c>
      <c r="AH84" s="58" t="b">
        <f t="shared" ca="1" si="4"/>
        <v>0</v>
      </c>
      <c r="AI84" s="58" t="b">
        <f t="shared" ca="1" si="5"/>
        <v>1</v>
      </c>
      <c r="AJ84" s="58" t="b">
        <f t="shared" ca="1" si="6"/>
        <v>0</v>
      </c>
      <c r="AK84" s="58" t="b">
        <f>OR(Table4[[#This Row],[Priority]]="Critical",Table4[[#This Row],[Priority]]="High")</f>
        <v>0</v>
      </c>
      <c r="AL84" s="283">
        <f ca="1">Table4[[#This Row],[Required Risk Resolution Date]]-$AE$1</f>
        <v>-40990</v>
      </c>
      <c r="AM84" s="58" t="b">
        <f t="shared" ca="1" si="7"/>
        <v>0</v>
      </c>
      <c r="AN84" s="59" t="b">
        <f>OR(Table4[[#This Row],[Priority]]="Critical",Table4[[#This Row],[Priority]]="High",Table4[[#This Row],[Priority]]="Moderate")</f>
        <v>0</v>
      </c>
    </row>
    <row r="85" spans="1:40" ht="82.5" hidden="1" customHeight="1">
      <c r="A85" s="60" t="s">
        <v>500</v>
      </c>
      <c r="B85" s="64">
        <v>40619</v>
      </c>
      <c r="C85" s="60"/>
      <c r="D85" s="60" t="s">
        <v>171</v>
      </c>
      <c r="E85" s="323"/>
      <c r="F85" s="56" t="s">
        <v>501</v>
      </c>
      <c r="G85" s="56"/>
      <c r="H85" s="56" t="s">
        <v>150</v>
      </c>
      <c r="I85" s="56"/>
      <c r="J85" s="56" t="s">
        <v>186</v>
      </c>
      <c r="K85" s="323"/>
      <c r="L85" s="323"/>
      <c r="M85" s="323"/>
      <c r="N85" s="323" t="s">
        <v>83</v>
      </c>
      <c r="O85" s="323" t="s">
        <v>91</v>
      </c>
      <c r="P85" s="323"/>
      <c r="Q85" s="323"/>
      <c r="R85" s="323"/>
      <c r="S85" s="323"/>
      <c r="T85" s="56" t="s">
        <v>29</v>
      </c>
      <c r="U85" s="56" t="s">
        <v>503</v>
      </c>
      <c r="V85" s="56" t="s">
        <v>504</v>
      </c>
      <c r="W85" s="56" t="s">
        <v>505</v>
      </c>
      <c r="X85" s="64">
        <v>40772</v>
      </c>
      <c r="Y85" s="64"/>
      <c r="Z85" s="56" t="s">
        <v>506</v>
      </c>
      <c r="AA85" s="63"/>
      <c r="AB85" s="63">
        <v>40674</v>
      </c>
      <c r="AC85" s="6"/>
      <c r="AE85" s="283">
        <f ca="1">$AE$1-Table4[[#This Row],[Date Captured]]</f>
        <v>371</v>
      </c>
      <c r="AF85" s="58" t="b">
        <f>IFERROR(OR(Table4[[#This Row],[Status]]="02. Open &amp; Assigned",Table4[[#This Row],[Status]]="01. Open",Table4[[#This Row],[Status]]="03. Action/Mitigation Plan Defined",Table4[[#This Row],[Status]]="04. Action Plan Completed",Table4[[#This Row],[Status]]="08. Blank"),"")</f>
        <v>0</v>
      </c>
      <c r="AG85" s="58" t="str">
        <f>IF(Table4[[#This Row],[Required Risk Resolution Date]]="","FALSE",IF($AE$1&gt;Table4[[#This Row],[Required Risk Resolution Date]],TRUE,FALSE))</f>
        <v>FALSE</v>
      </c>
      <c r="AH85" s="58" t="b">
        <f t="shared" ca="1" si="4"/>
        <v>0</v>
      </c>
      <c r="AI85" s="58" t="b">
        <f t="shared" ca="1" si="5"/>
        <v>0</v>
      </c>
      <c r="AJ85" s="58" t="b">
        <f t="shared" ca="1" si="6"/>
        <v>1</v>
      </c>
      <c r="AK85" s="58" t="b">
        <f>OR(Table4[[#This Row],[Priority]]="Critical",Table4[[#This Row],[Priority]]="High")</f>
        <v>0</v>
      </c>
      <c r="AL85" s="283">
        <f ca="1">Table4[[#This Row],[Required Risk Resolution Date]]-$AE$1</f>
        <v>-40990</v>
      </c>
      <c r="AM85" s="58" t="b">
        <f t="shared" ca="1" si="7"/>
        <v>0</v>
      </c>
      <c r="AN85" s="59" t="b">
        <f>OR(Table4[[#This Row],[Priority]]="Critical",Table4[[#This Row],[Priority]]="High",Table4[[#This Row],[Priority]]="Moderate")</f>
        <v>0</v>
      </c>
    </row>
    <row r="86" spans="1:40" s="59" customFormat="1" ht="143.25" hidden="1" customHeight="1">
      <c r="A86" s="60" t="s">
        <v>241</v>
      </c>
      <c r="B86" s="64">
        <v>40848</v>
      </c>
      <c r="C86" s="60"/>
      <c r="D86" s="60" t="s">
        <v>171</v>
      </c>
      <c r="E86" s="6"/>
      <c r="F86" s="56" t="s">
        <v>502</v>
      </c>
      <c r="G86" s="56"/>
      <c r="H86" s="56" t="s">
        <v>150</v>
      </c>
      <c r="I86" s="56"/>
      <c r="J86" s="56" t="s">
        <v>261</v>
      </c>
      <c r="K86" s="6"/>
      <c r="L86" s="6"/>
      <c r="M86" s="6"/>
      <c r="N86" s="6"/>
      <c r="O86" s="6" t="s">
        <v>91</v>
      </c>
      <c r="P86" s="6"/>
      <c r="Q86" s="6"/>
      <c r="R86" s="6"/>
      <c r="S86" s="6"/>
      <c r="T86" s="6"/>
      <c r="U86" s="323"/>
      <c r="V86" s="56" t="s">
        <v>507</v>
      </c>
      <c r="W86" s="323"/>
      <c r="X86" s="323"/>
      <c r="Y86" s="323"/>
      <c r="Z86" s="323"/>
      <c r="AA86" s="323"/>
      <c r="AB86" s="323"/>
      <c r="AC86" s="6"/>
      <c r="AE86" s="283">
        <f ca="1">$AE$1-Table4[[#This Row],[Date Captured]]</f>
        <v>142</v>
      </c>
      <c r="AF86" s="59" t="b">
        <f>IFERROR(OR(Table4[[#This Row],[Status]]="02. Open &amp; Assigned",Table4[[#This Row],[Status]]="01. Open",Table4[[#This Row],[Status]]="03. Action/Mitigation Plan Defined",Table4[[#This Row],[Status]]="04. Action Plan Completed",Table4[[#This Row],[Status]]="08. Blank"),"")</f>
        <v>0</v>
      </c>
      <c r="AG86" s="59" t="str">
        <f>IF(Table4[[#This Row],[Required Risk Resolution Date]]="","FALSE",IF($AE$1&gt;Table4[[#This Row],[Required Risk Resolution Date]],TRUE,FALSE))</f>
        <v>FALSE</v>
      </c>
      <c r="AH86" s="58" t="b">
        <f t="shared" ca="1" si="4"/>
        <v>0</v>
      </c>
      <c r="AI86" s="58" t="b">
        <f t="shared" ca="1" si="5"/>
        <v>1</v>
      </c>
      <c r="AJ86" s="58" t="b">
        <f t="shared" ca="1" si="6"/>
        <v>0</v>
      </c>
      <c r="AK86" s="58" t="b">
        <f>OR(Table4[[#This Row],[Priority]]="Critical",Table4[[#This Row],[Priority]]="High")</f>
        <v>0</v>
      </c>
      <c r="AL86" s="283">
        <f ca="1">Table4[[#This Row],[Required Risk Resolution Date]]-$AE$1</f>
        <v>-40990</v>
      </c>
      <c r="AM86" s="58" t="b">
        <f t="shared" ca="1" si="7"/>
        <v>0</v>
      </c>
      <c r="AN86" s="59" t="b">
        <f>OR(Table4[[#This Row],[Priority]]="Critical",Table4[[#This Row],[Priority]]="High",Table4[[#This Row],[Priority]]="Moderate")</f>
        <v>0</v>
      </c>
    </row>
    <row r="87" spans="1:40" s="59" customFormat="1" ht="178.5" hidden="1" customHeight="1">
      <c r="A87" s="60" t="s">
        <v>242</v>
      </c>
      <c r="B87" s="64">
        <v>40848</v>
      </c>
      <c r="C87" s="60"/>
      <c r="D87" s="60" t="s">
        <v>171</v>
      </c>
      <c r="E87" s="6"/>
      <c r="F87" s="56" t="s">
        <v>508</v>
      </c>
      <c r="G87" s="56" t="s">
        <v>509</v>
      </c>
      <c r="H87" s="56" t="s">
        <v>150</v>
      </c>
      <c r="I87" s="56"/>
      <c r="J87" s="71"/>
      <c r="K87" s="6"/>
      <c r="L87" s="6"/>
      <c r="M87" s="6"/>
      <c r="N87" s="6"/>
      <c r="O87" s="6" t="s">
        <v>91</v>
      </c>
      <c r="P87" s="6"/>
      <c r="Q87" s="6"/>
      <c r="R87" s="6"/>
      <c r="S87" s="6"/>
      <c r="T87" s="56" t="s">
        <v>29</v>
      </c>
      <c r="U87" s="56"/>
      <c r="V87" s="56" t="s">
        <v>513</v>
      </c>
      <c r="W87" s="56" t="s">
        <v>514</v>
      </c>
      <c r="X87" s="55">
        <v>40909</v>
      </c>
      <c r="Y87" s="323"/>
      <c r="Z87" s="323"/>
      <c r="AA87" s="55">
        <v>40848</v>
      </c>
      <c r="AB87" s="323"/>
      <c r="AC87" s="6"/>
      <c r="AE87" s="283">
        <f ca="1">$AE$1-Table4[[#This Row],[Date Captured]]</f>
        <v>142</v>
      </c>
      <c r="AF87" s="59" t="b">
        <f>IFERROR(OR(Table4[[#This Row],[Status]]="02. Open &amp; Assigned",Table4[[#This Row],[Status]]="01. Open",Table4[[#This Row],[Status]]="03. Action/Mitigation Plan Defined",Table4[[#This Row],[Status]]="04. Action Plan Completed",Table4[[#This Row],[Status]]="08. Blank"),"")</f>
        <v>0</v>
      </c>
      <c r="AG87" s="59" t="b">
        <f ca="1">IF(Table4[[#This Row],[Required Risk Resolution Date]]="","FALSE",IF($AE$1&gt;Table4[[#This Row],[Required Risk Resolution Date]],TRUE,FALSE))</f>
        <v>1</v>
      </c>
      <c r="AH87" s="58" t="b">
        <f t="shared" ca="1" si="4"/>
        <v>0</v>
      </c>
      <c r="AI87" s="58" t="b">
        <f t="shared" ca="1" si="5"/>
        <v>1</v>
      </c>
      <c r="AJ87" s="58" t="b">
        <f t="shared" ca="1" si="6"/>
        <v>0</v>
      </c>
      <c r="AK87" s="58" t="b">
        <f>OR(Table4[[#This Row],[Priority]]="Critical",Table4[[#This Row],[Priority]]="High")</f>
        <v>0</v>
      </c>
      <c r="AL87" s="283">
        <f ca="1">Table4[[#This Row],[Required Risk Resolution Date]]-$AE$1</f>
        <v>-142</v>
      </c>
      <c r="AM87" s="58" t="b">
        <f t="shared" ca="1" si="7"/>
        <v>0</v>
      </c>
      <c r="AN87" s="59" t="b">
        <f>OR(Table4[[#This Row],[Priority]]="Critical",Table4[[#This Row],[Priority]]="High",Table4[[#This Row],[Priority]]="Moderate")</f>
        <v>0</v>
      </c>
    </row>
    <row r="88" spans="1:40" ht="177.75" hidden="1" customHeight="1">
      <c r="A88" s="60" t="s">
        <v>248</v>
      </c>
      <c r="B88" s="64">
        <v>40869</v>
      </c>
      <c r="C88" s="60"/>
      <c r="D88" s="60" t="s">
        <v>171</v>
      </c>
      <c r="E88" s="6"/>
      <c r="F88" s="56" t="s">
        <v>524</v>
      </c>
      <c r="G88" s="56" t="s">
        <v>525</v>
      </c>
      <c r="H88" s="56" t="s">
        <v>150</v>
      </c>
      <c r="I88" s="56"/>
      <c r="J88" s="71" t="s">
        <v>261</v>
      </c>
      <c r="K88" s="6"/>
      <c r="L88" s="6"/>
      <c r="M88" s="6"/>
      <c r="N88" s="6" t="s">
        <v>83</v>
      </c>
      <c r="O88" s="6" t="s">
        <v>93</v>
      </c>
      <c r="P88" s="6"/>
      <c r="Q88" s="6"/>
      <c r="R88" s="6"/>
      <c r="S88" s="6"/>
      <c r="T88" s="56"/>
      <c r="U88" s="56"/>
      <c r="V88" s="56"/>
      <c r="W88" s="56" t="s">
        <v>531</v>
      </c>
      <c r="X88" s="55">
        <v>40940</v>
      </c>
      <c r="Y88" s="323"/>
      <c r="Z88" s="323"/>
      <c r="AA88" s="323"/>
      <c r="AB88" s="323"/>
      <c r="AC88" s="6"/>
      <c r="AE88" s="283">
        <f ca="1">$AE$1-Table4[[#This Row],[Date Captured]]</f>
        <v>121</v>
      </c>
      <c r="AF88" s="58" t="b">
        <f>IFERROR(OR(Table4[[#This Row],[Status]]="02. Open &amp; Assigned",Table4[[#This Row],[Status]]="01. Open",Table4[[#This Row],[Status]]="03. Action/Mitigation Plan Defined",Table4[[#This Row],[Status]]="04. Action Plan Completed",Table4[[#This Row],[Status]]="08. Blank"),"")</f>
        <v>0</v>
      </c>
      <c r="AG88" s="58" t="str">
        <f>IF(Table4[[#This Row],[Required Risk Resolution Date]]="","FALSE",IF($AE$1&gt;Table4[[#This Row],[Required Risk Resolution Date]],TRUE,FALSE))</f>
        <v>FALSE</v>
      </c>
      <c r="AH88" s="58" t="b">
        <f t="shared" ca="1" si="4"/>
        <v>0</v>
      </c>
      <c r="AI88" s="58" t="b">
        <f t="shared" ca="1" si="5"/>
        <v>1</v>
      </c>
      <c r="AJ88" s="58" t="b">
        <f t="shared" ca="1" si="6"/>
        <v>0</v>
      </c>
      <c r="AK88" s="58" t="b">
        <f>OR(Table4[[#This Row],[Priority]]="Critical",Table4[[#This Row],[Priority]]="High")</f>
        <v>0</v>
      </c>
      <c r="AL88" s="283">
        <f ca="1">Table4[[#This Row],[Required Risk Resolution Date]]-$AE$1</f>
        <v>-40990</v>
      </c>
      <c r="AM88" s="58" t="b">
        <f t="shared" ca="1" si="7"/>
        <v>0</v>
      </c>
      <c r="AN88" s="59" t="b">
        <f>OR(Table4[[#This Row],[Priority]]="Critical",Table4[[#This Row],[Priority]]="High",Table4[[#This Row],[Priority]]="Moderate")</f>
        <v>0</v>
      </c>
    </row>
    <row r="89" spans="1:40" s="59" customFormat="1" ht="96" hidden="1">
      <c r="A89" s="60" t="s">
        <v>249</v>
      </c>
      <c r="B89" s="64">
        <v>40882</v>
      </c>
      <c r="C89" s="60"/>
      <c r="D89" s="60" t="s">
        <v>171</v>
      </c>
      <c r="E89" s="6"/>
      <c r="F89" s="56" t="s">
        <v>542</v>
      </c>
      <c r="G89" s="56" t="s">
        <v>543</v>
      </c>
      <c r="H89" s="56" t="s">
        <v>150</v>
      </c>
      <c r="I89" s="56"/>
      <c r="J89" s="56" t="s">
        <v>544</v>
      </c>
      <c r="K89" s="6"/>
      <c r="L89" s="6"/>
      <c r="M89" s="6"/>
      <c r="N89" s="6" t="s">
        <v>83</v>
      </c>
      <c r="O89" s="6" t="s">
        <v>167</v>
      </c>
      <c r="P89" s="6"/>
      <c r="Q89" s="6"/>
      <c r="R89" s="6"/>
      <c r="S89" s="6"/>
      <c r="T89" s="56" t="s">
        <v>29</v>
      </c>
      <c r="U89" s="56" t="s">
        <v>552</v>
      </c>
      <c r="V89" s="56" t="s">
        <v>553</v>
      </c>
      <c r="W89" s="56" t="s">
        <v>539</v>
      </c>
      <c r="X89" s="72">
        <v>40884</v>
      </c>
      <c r="Y89" s="72"/>
      <c r="Z89" s="56"/>
      <c r="AA89" s="56"/>
      <c r="AB89" s="63"/>
      <c r="AC89" s="6"/>
      <c r="AE89" s="283">
        <f ca="1">$AE$1-Table4[[#This Row],[Date Captured]]</f>
        <v>108</v>
      </c>
      <c r="AF89" s="59" t="b">
        <f>IFERROR(OR(Table4[[#This Row],[Status]]="02. Open &amp; Assigned",Table4[[#This Row],[Status]]="01. Open",Table4[[#This Row],[Status]]="03. Action/Mitigation Plan Defined",Table4[[#This Row],[Status]]="04. Action Plan Completed",Table4[[#This Row],[Status]]="08. Blank"),"")</f>
        <v>0</v>
      </c>
      <c r="AG89" s="59" t="str">
        <f>IF(Table4[[#This Row],[Required Risk Resolution Date]]="","FALSE",IF($AE$1&gt;Table4[[#This Row],[Required Risk Resolution Date]],TRUE,FALSE))</f>
        <v>FALSE</v>
      </c>
      <c r="AH89" s="58" t="b">
        <f t="shared" ca="1" si="4"/>
        <v>0</v>
      </c>
      <c r="AI89" s="58" t="b">
        <f t="shared" ca="1" si="5"/>
        <v>1</v>
      </c>
      <c r="AJ89" s="58" t="b">
        <f t="shared" ca="1" si="6"/>
        <v>0</v>
      </c>
      <c r="AK89" s="58" t="b">
        <f>OR(Table4[[#This Row],[Priority]]="Critical",Table4[[#This Row],[Priority]]="High")</f>
        <v>0</v>
      </c>
      <c r="AL89" s="283">
        <f ca="1">Table4[[#This Row],[Required Risk Resolution Date]]-$AE$1</f>
        <v>-40990</v>
      </c>
      <c r="AM89" s="58" t="b">
        <f t="shared" ca="1" si="7"/>
        <v>0</v>
      </c>
      <c r="AN89" s="59" t="b">
        <f>OR(Table4[[#This Row],[Priority]]="Critical",Table4[[#This Row],[Priority]]="High",Table4[[#This Row],[Priority]]="Moderate")</f>
        <v>0</v>
      </c>
    </row>
    <row r="90" spans="1:40" ht="61.5" hidden="1" customHeight="1">
      <c r="A90" s="60" t="s">
        <v>252</v>
      </c>
      <c r="B90" s="258">
        <v>40882</v>
      </c>
      <c r="C90" s="60" t="s">
        <v>1570</v>
      </c>
      <c r="D90" s="60" t="s">
        <v>171</v>
      </c>
      <c r="E90" s="323" t="s">
        <v>2499</v>
      </c>
      <c r="F90" s="323" t="s">
        <v>557</v>
      </c>
      <c r="G90" s="323" t="s">
        <v>558</v>
      </c>
      <c r="H90" s="323" t="s">
        <v>150</v>
      </c>
      <c r="I90" s="323"/>
      <c r="J90" s="323" t="s">
        <v>261</v>
      </c>
      <c r="K90" s="323" t="s">
        <v>261</v>
      </c>
      <c r="L90" s="323" t="s">
        <v>128</v>
      </c>
      <c r="M90" s="323" t="s">
        <v>1493</v>
      </c>
      <c r="N90" s="323" t="s">
        <v>81</v>
      </c>
      <c r="O90" s="323" t="s">
        <v>93</v>
      </c>
      <c r="P90" s="323" t="s">
        <v>93</v>
      </c>
      <c r="Q90" s="323" t="s">
        <v>93</v>
      </c>
      <c r="R90" s="323" t="s">
        <v>93</v>
      </c>
      <c r="S90" s="323" t="s">
        <v>1497</v>
      </c>
      <c r="T90" s="323" t="s">
        <v>29</v>
      </c>
      <c r="U90" s="323" t="s">
        <v>1498</v>
      </c>
      <c r="V90" s="323" t="s">
        <v>562</v>
      </c>
      <c r="W90" s="323" t="s">
        <v>2218</v>
      </c>
      <c r="X90" s="259">
        <v>40989</v>
      </c>
      <c r="Y90" s="259" t="s">
        <v>1571</v>
      </c>
      <c r="Z90" s="323" t="s">
        <v>2710</v>
      </c>
      <c r="AA90" s="162">
        <v>40923</v>
      </c>
      <c r="AB90" s="261"/>
      <c r="AC90" s="6"/>
      <c r="AE90" s="283">
        <f ca="1">$AE$1-Table4[[#This Row],[Date Captured]]</f>
        <v>108</v>
      </c>
      <c r="AF90" s="58" t="b">
        <f>IFERROR(OR(Table4[[#This Row],[Status]]="02. Open &amp; Assigned",Table4[[#This Row],[Status]]="01. Open",Table4[[#This Row],[Status]]="03. Action/Mitigation Plan Defined",Table4[[#This Row],[Status]]="04. Action Plan Completed",Table4[[#This Row],[Status]]="08. Blank"),"")</f>
        <v>0</v>
      </c>
      <c r="AG90" s="58" t="b">
        <f ca="1">IF(Table4[[#This Row],[Required Risk Resolution Date]]="","FALSE",IF($AE$1&gt;Table4[[#This Row],[Required Risk Resolution Date]],TRUE,FALSE))</f>
        <v>1</v>
      </c>
      <c r="AH90" s="58" t="b">
        <f t="shared" ca="1" si="4"/>
        <v>0</v>
      </c>
      <c r="AI90" s="58" t="b">
        <f t="shared" ca="1" si="5"/>
        <v>1</v>
      </c>
      <c r="AJ90" s="58" t="b">
        <f t="shared" ca="1" si="6"/>
        <v>0</v>
      </c>
      <c r="AK90" s="58" t="b">
        <f>OR(Table4[[#This Row],[Priority]]="Critical",Table4[[#This Row],[Priority]]="High")</f>
        <v>1</v>
      </c>
      <c r="AL90" s="283">
        <f ca="1">Table4[[#This Row],[Required Risk Resolution Date]]-$AE$1</f>
        <v>-67</v>
      </c>
      <c r="AM90" s="58" t="b">
        <f t="shared" ca="1" si="7"/>
        <v>0</v>
      </c>
      <c r="AN90" s="59" t="b">
        <f>OR(Table4[[#This Row],[Priority]]="Critical",Table4[[#This Row],[Priority]]="High",Table4[[#This Row],[Priority]]="Moderate")</f>
        <v>1</v>
      </c>
    </row>
    <row r="91" spans="1:40" ht="117.75" hidden="1" customHeight="1">
      <c r="A91" s="60" t="s">
        <v>253</v>
      </c>
      <c r="B91" s="64">
        <v>40883</v>
      </c>
      <c r="C91" s="60"/>
      <c r="D91" s="60" t="s">
        <v>171</v>
      </c>
      <c r="E91" s="6"/>
      <c r="F91" s="56" t="s">
        <v>559</v>
      </c>
      <c r="G91" s="56" t="s">
        <v>560</v>
      </c>
      <c r="H91" s="56" t="s">
        <v>150</v>
      </c>
      <c r="I91" s="56"/>
      <c r="J91" s="56" t="s">
        <v>561</v>
      </c>
      <c r="K91" s="6"/>
      <c r="L91" s="6"/>
      <c r="M91" s="6"/>
      <c r="N91" s="6" t="s">
        <v>81</v>
      </c>
      <c r="O91" s="6" t="s">
        <v>167</v>
      </c>
      <c r="P91" s="6"/>
      <c r="Q91" s="6"/>
      <c r="R91" s="6"/>
      <c r="S91" s="6"/>
      <c r="T91" s="56"/>
      <c r="U91" s="56"/>
      <c r="V91" s="56"/>
      <c r="W91" s="56" t="s">
        <v>563</v>
      </c>
      <c r="X91" s="72">
        <v>40884</v>
      </c>
      <c r="Y91" s="72"/>
      <c r="Z91" s="56"/>
      <c r="AA91" s="56"/>
      <c r="AB91" s="63"/>
      <c r="AC91" s="6"/>
      <c r="AE91" s="283">
        <f ca="1">$AE$1-Table4[[#This Row],[Date Captured]]</f>
        <v>107</v>
      </c>
      <c r="AF91" s="58" t="b">
        <f>IFERROR(OR(Table4[[#This Row],[Status]]="02. Open &amp; Assigned",Table4[[#This Row],[Status]]="01. Open",Table4[[#This Row],[Status]]="03. Action/Mitigation Plan Defined",Table4[[#This Row],[Status]]="04. Action Plan Completed",Table4[[#This Row],[Status]]="08. Blank"),"")</f>
        <v>0</v>
      </c>
      <c r="AG91" s="58" t="str">
        <f>IF(Table4[[#This Row],[Required Risk Resolution Date]]="","FALSE",IF($AE$1&gt;Table4[[#This Row],[Required Risk Resolution Date]],TRUE,FALSE))</f>
        <v>FALSE</v>
      </c>
      <c r="AH91" s="58" t="b">
        <f t="shared" ca="1" si="4"/>
        <v>0</v>
      </c>
      <c r="AI91" s="58" t="b">
        <f t="shared" ca="1" si="5"/>
        <v>1</v>
      </c>
      <c r="AJ91" s="58" t="b">
        <f t="shared" ca="1" si="6"/>
        <v>0</v>
      </c>
      <c r="AK91" s="58" t="b">
        <f>OR(Table4[[#This Row],[Priority]]="Critical",Table4[[#This Row],[Priority]]="High")</f>
        <v>0</v>
      </c>
      <c r="AL91" s="283">
        <f ca="1">Table4[[#This Row],[Required Risk Resolution Date]]-$AE$1</f>
        <v>-40990</v>
      </c>
      <c r="AM91" s="58" t="b">
        <f t="shared" ca="1" si="7"/>
        <v>0</v>
      </c>
      <c r="AN91" s="59" t="b">
        <f>OR(Table4[[#This Row],[Priority]]="Critical",Table4[[#This Row],[Priority]]="High",Table4[[#This Row],[Priority]]="Moderate")</f>
        <v>0</v>
      </c>
    </row>
    <row r="92" spans="1:40" ht="142.5" hidden="1" customHeight="1">
      <c r="A92" s="60" t="s">
        <v>258</v>
      </c>
      <c r="B92" s="61">
        <v>40914</v>
      </c>
      <c r="C92" s="60" t="s">
        <v>1634</v>
      </c>
      <c r="D92" s="60" t="s">
        <v>171</v>
      </c>
      <c r="E92" s="6" t="s">
        <v>1635</v>
      </c>
      <c r="F92" s="323" t="s">
        <v>1636</v>
      </c>
      <c r="G92" s="323" t="s">
        <v>1638</v>
      </c>
      <c r="H92" s="323" t="s">
        <v>150</v>
      </c>
      <c r="I92" s="323"/>
      <c r="J92" s="323" t="s">
        <v>261</v>
      </c>
      <c r="K92" s="6" t="s">
        <v>724</v>
      </c>
      <c r="L92" s="6" t="s">
        <v>128</v>
      </c>
      <c r="M92" s="6" t="s">
        <v>1489</v>
      </c>
      <c r="N92" s="6" t="s">
        <v>81</v>
      </c>
      <c r="O92" s="6" t="s">
        <v>93</v>
      </c>
      <c r="P92" s="6" t="s">
        <v>93</v>
      </c>
      <c r="Q92" s="6" t="s">
        <v>93</v>
      </c>
      <c r="R92" s="6" t="s">
        <v>93</v>
      </c>
      <c r="S92" s="6" t="s">
        <v>1639</v>
      </c>
      <c r="T92" s="323" t="s">
        <v>291</v>
      </c>
      <c r="U92" s="323" t="s">
        <v>1640</v>
      </c>
      <c r="V92" s="323" t="s">
        <v>1637</v>
      </c>
      <c r="W92" s="323" t="s">
        <v>1766</v>
      </c>
      <c r="X92" s="55">
        <v>40940</v>
      </c>
      <c r="Y92" s="323" t="s">
        <v>1564</v>
      </c>
      <c r="Z92" s="323"/>
      <c r="AA92" s="162"/>
      <c r="AB92" s="323"/>
      <c r="AC92" s="6"/>
      <c r="AE92" s="283">
        <f ca="1">$AE$1-Table4[[#This Row],[Date Captured]]</f>
        <v>76</v>
      </c>
      <c r="AF92" s="58" t="b">
        <f>IFERROR(OR(Table4[[#This Row],[Status]]="02. Open &amp; Assigned",Table4[[#This Row],[Status]]="01. Open",Table4[[#This Row],[Status]]="03. Action/Mitigation Plan Defined",Table4[[#This Row],[Status]]="04. Action Plan Completed",Table4[[#This Row],[Status]]="08. Blank"),"")</f>
        <v>0</v>
      </c>
      <c r="AG92" s="58" t="str">
        <f>IF(Table4[[#This Row],[Required Risk Resolution Date]]="","FALSE",IF($AE$1&gt;Table4[[#This Row],[Required Risk Resolution Date]],TRUE,FALSE))</f>
        <v>FALSE</v>
      </c>
      <c r="AH92" s="58" t="b">
        <f t="shared" ca="1" si="4"/>
        <v>1</v>
      </c>
      <c r="AI92" s="58" t="b">
        <f t="shared" ca="1" si="5"/>
        <v>0</v>
      </c>
      <c r="AJ92" s="58" t="b">
        <f t="shared" ca="1" si="6"/>
        <v>0</v>
      </c>
      <c r="AK92" s="58" t="b">
        <f>OR(Table4[[#This Row],[Priority]]="Critical",Table4[[#This Row],[Priority]]="High")</f>
        <v>1</v>
      </c>
      <c r="AL92" s="283">
        <f ca="1">Table4[[#This Row],[Required Risk Resolution Date]]-$AE$1</f>
        <v>-40990</v>
      </c>
      <c r="AM92" s="58" t="b">
        <f t="shared" ca="1" si="7"/>
        <v>0</v>
      </c>
      <c r="AN92" s="59" t="b">
        <f>OR(Table4[[#This Row],[Priority]]="Critical",Table4[[#This Row],[Priority]]="High",Table4[[#This Row],[Priority]]="Moderate")</f>
        <v>1</v>
      </c>
    </row>
    <row r="93" spans="1:40" s="59" customFormat="1" ht="162" hidden="1">
      <c r="A93" s="60" t="s">
        <v>575</v>
      </c>
      <c r="B93" s="61">
        <v>40939</v>
      </c>
      <c r="C93" s="60" t="s">
        <v>561</v>
      </c>
      <c r="D93" s="60" t="s">
        <v>171</v>
      </c>
      <c r="E93" s="6" t="s">
        <v>1855</v>
      </c>
      <c r="F93" s="323" t="s">
        <v>1989</v>
      </c>
      <c r="G93" s="323" t="s">
        <v>1856</v>
      </c>
      <c r="H93" s="323" t="s">
        <v>150</v>
      </c>
      <c r="I93" s="323"/>
      <c r="J93" s="323" t="s">
        <v>261</v>
      </c>
      <c r="K93" s="6" t="s">
        <v>1857</v>
      </c>
      <c r="L93" s="6" t="s">
        <v>128</v>
      </c>
      <c r="M93" s="6" t="s">
        <v>1489</v>
      </c>
      <c r="N93" s="6" t="s">
        <v>81</v>
      </c>
      <c r="O93" s="6" t="s">
        <v>91</v>
      </c>
      <c r="P93" s="6" t="s">
        <v>167</v>
      </c>
      <c r="Q93" s="6" t="s">
        <v>94</v>
      </c>
      <c r="R93" s="6" t="s">
        <v>93</v>
      </c>
      <c r="S93" s="6" t="s">
        <v>1858</v>
      </c>
      <c r="T93" s="323" t="s">
        <v>29</v>
      </c>
      <c r="U93" s="323" t="s">
        <v>2507</v>
      </c>
      <c r="V93" s="323" t="s">
        <v>1859</v>
      </c>
      <c r="W93" s="323" t="s">
        <v>2459</v>
      </c>
      <c r="X93" s="55">
        <v>40982</v>
      </c>
      <c r="Y93" s="323" t="s">
        <v>1582</v>
      </c>
      <c r="Z93" s="323" t="s">
        <v>2710</v>
      </c>
      <c r="AA93" s="162">
        <v>40984</v>
      </c>
      <c r="AB93" s="323"/>
      <c r="AC93" s="6"/>
      <c r="AE93" s="283">
        <f ca="1">$AE$1-Table4[[#This Row],[Date Captured]]</f>
        <v>51</v>
      </c>
      <c r="AF93" s="59" t="b">
        <f>IFERROR(OR(Table4[[#This Row],[Status]]="02. Open &amp; Assigned",Table4[[#This Row],[Status]]="01. Open",Table4[[#This Row],[Status]]="03. Action/Mitigation Plan Defined",Table4[[#This Row],[Status]]="04. Action Plan Completed",Table4[[#This Row],[Status]]="08. Blank"),"")</f>
        <v>0</v>
      </c>
      <c r="AG93" s="59" t="b">
        <f ca="1">IF(Table4[[#This Row],[Required Risk Resolution Date]]="","FALSE",IF($AE$1&gt;Table4[[#This Row],[Required Risk Resolution Date]],TRUE,FALSE))</f>
        <v>1</v>
      </c>
      <c r="AH93" s="58" t="b">
        <f t="shared" ca="1" si="4"/>
        <v>1</v>
      </c>
      <c r="AI93" s="58" t="b">
        <f t="shared" ca="1" si="5"/>
        <v>0</v>
      </c>
      <c r="AJ93" s="58" t="b">
        <f t="shared" ca="1" si="6"/>
        <v>0</v>
      </c>
      <c r="AK93" s="58" t="b">
        <f>OR(Table4[[#This Row],[Priority]]="Critical",Table4[[#This Row],[Priority]]="High")</f>
        <v>1</v>
      </c>
      <c r="AL93" s="283">
        <f ca="1">Table4[[#This Row],[Required Risk Resolution Date]]-$AE$1</f>
        <v>-6</v>
      </c>
      <c r="AM93" s="58" t="b">
        <f t="shared" ca="1" si="7"/>
        <v>0</v>
      </c>
      <c r="AN93" s="59" t="b">
        <f>OR(Table4[[#This Row],[Priority]]="Critical",Table4[[#This Row],[Priority]]="High",Table4[[#This Row],[Priority]]="Moderate")</f>
        <v>1</v>
      </c>
    </row>
    <row r="94" spans="1:40" s="59" customFormat="1" ht="128.25" hidden="1" customHeight="1">
      <c r="A94" s="60" t="s">
        <v>188</v>
      </c>
      <c r="B94" s="61">
        <v>40655</v>
      </c>
      <c r="C94" s="60"/>
      <c r="D94" s="60" t="s">
        <v>171</v>
      </c>
      <c r="E94" s="7"/>
      <c r="F94" s="56" t="s">
        <v>189</v>
      </c>
      <c r="G94" s="7"/>
      <c r="H94" s="7" t="s">
        <v>153</v>
      </c>
      <c r="I94" s="7"/>
      <c r="J94" s="7" t="s">
        <v>186</v>
      </c>
      <c r="K94" s="7"/>
      <c r="L94" s="323"/>
      <c r="M94" s="323"/>
      <c r="N94" s="7" t="s">
        <v>81</v>
      </c>
      <c r="O94" s="7" t="s">
        <v>93</v>
      </c>
      <c r="P94" s="7"/>
      <c r="Q94" s="7"/>
      <c r="R94" s="7"/>
      <c r="S94" s="7"/>
      <c r="T94" s="7" t="s">
        <v>29</v>
      </c>
      <c r="U94" s="7" t="s">
        <v>180</v>
      </c>
      <c r="V94" s="56" t="s">
        <v>190</v>
      </c>
      <c r="W94" s="56" t="s">
        <v>191</v>
      </c>
      <c r="X94" s="7"/>
      <c r="Y94" s="7"/>
      <c r="Z94" s="56" t="s">
        <v>182</v>
      </c>
      <c r="AA94" s="323"/>
      <c r="AB94" s="55">
        <v>40660</v>
      </c>
      <c r="AC94" s="323"/>
      <c r="AE94" s="283">
        <f ca="1">$AE$1-Table4[[#This Row],[Date Captured]]</f>
        <v>335</v>
      </c>
      <c r="AF94" s="59" t="b">
        <f>IFERROR(OR(Table4[[#This Row],[Status]]="02. Open &amp; Assigned",Table4[[#This Row],[Status]]="01. Open",Table4[[#This Row],[Status]]="03. Action/Mitigation Plan Defined",Table4[[#This Row],[Status]]="04. Action Plan Completed",Table4[[#This Row],[Status]]="08. Blank"),"")</f>
        <v>0</v>
      </c>
      <c r="AG94" s="59" t="str">
        <f>IF(Table4[[#This Row],[Required Risk Resolution Date]]="","FALSE",IF($AE$1&gt;Table4[[#This Row],[Required Risk Resolution Date]],TRUE,FALSE))</f>
        <v>FALSE</v>
      </c>
      <c r="AH94" s="58" t="b">
        <f t="shared" ca="1" si="4"/>
        <v>0</v>
      </c>
      <c r="AI94" s="58" t="b">
        <f t="shared" ca="1" si="5"/>
        <v>0</v>
      </c>
      <c r="AJ94" s="58" t="b">
        <f t="shared" ca="1" si="6"/>
        <v>1</v>
      </c>
      <c r="AK94" s="58" t="b">
        <f>OR(Table4[[#This Row],[Priority]]="Critical",Table4[[#This Row],[Priority]]="High")</f>
        <v>0</v>
      </c>
      <c r="AL94" s="283">
        <f ca="1">Table4[[#This Row],[Required Risk Resolution Date]]-$AE$1</f>
        <v>-40990</v>
      </c>
      <c r="AM94" s="58" t="b">
        <f t="shared" ca="1" si="7"/>
        <v>0</v>
      </c>
      <c r="AN94" s="59" t="b">
        <f>OR(Table4[[#This Row],[Priority]]="Critical",Table4[[#This Row],[Priority]]="High",Table4[[#This Row],[Priority]]="Moderate")</f>
        <v>0</v>
      </c>
    </row>
    <row r="95" spans="1:40" s="59" customFormat="1" ht="174" hidden="1" customHeight="1">
      <c r="A95" s="60" t="s">
        <v>278</v>
      </c>
      <c r="B95" s="61">
        <v>40589</v>
      </c>
      <c r="C95" s="60"/>
      <c r="D95" s="60" t="s">
        <v>171</v>
      </c>
      <c r="E95" s="6"/>
      <c r="F95" s="62" t="s">
        <v>279</v>
      </c>
      <c r="G95" s="323"/>
      <c r="H95" s="323" t="s">
        <v>153</v>
      </c>
      <c r="I95" s="323"/>
      <c r="J95" s="323" t="s">
        <v>281</v>
      </c>
      <c r="K95" s="6"/>
      <c r="L95" s="6"/>
      <c r="M95" s="6"/>
      <c r="N95" s="6" t="s">
        <v>83</v>
      </c>
      <c r="O95" s="6" t="s">
        <v>93</v>
      </c>
      <c r="P95" s="6"/>
      <c r="Q95" s="6"/>
      <c r="R95" s="6"/>
      <c r="S95" s="6"/>
      <c r="T95" s="323" t="s">
        <v>29</v>
      </c>
      <c r="U95" s="56" t="s">
        <v>282</v>
      </c>
      <c r="V95" s="56" t="s">
        <v>283</v>
      </c>
      <c r="W95" s="56" t="s">
        <v>285</v>
      </c>
      <c r="X95" s="55"/>
      <c r="Y95" s="323"/>
      <c r="Z95" s="56" t="s">
        <v>287</v>
      </c>
      <c r="AA95" s="323"/>
      <c r="AB95" s="63" t="s">
        <v>288</v>
      </c>
      <c r="AC95" s="6"/>
      <c r="AE95" s="283">
        <f ca="1">$AE$1-Table4[[#This Row],[Date Captured]]</f>
        <v>401</v>
      </c>
      <c r="AF95" s="59" t="b">
        <f>IFERROR(OR(Table4[[#This Row],[Status]]="02. Open &amp; Assigned",Table4[[#This Row],[Status]]="01. Open",Table4[[#This Row],[Status]]="03. Action/Mitigation Plan Defined",Table4[[#This Row],[Status]]="04. Action Plan Completed",Table4[[#This Row],[Status]]="08. Blank"),"")</f>
        <v>0</v>
      </c>
      <c r="AG95" s="59" t="str">
        <f>IF(Table4[[#This Row],[Required Risk Resolution Date]]="","FALSE",IF($AE$1&gt;Table4[[#This Row],[Required Risk Resolution Date]],TRUE,FALSE))</f>
        <v>FALSE</v>
      </c>
      <c r="AH95" s="58" t="b">
        <f t="shared" ca="1" si="4"/>
        <v>0</v>
      </c>
      <c r="AI95" s="58" t="b">
        <f t="shared" ca="1" si="5"/>
        <v>0</v>
      </c>
      <c r="AJ95" s="58" t="b">
        <f t="shared" ca="1" si="6"/>
        <v>1</v>
      </c>
      <c r="AK95" s="58" t="b">
        <f>OR(Table4[[#This Row],[Priority]]="Critical",Table4[[#This Row],[Priority]]="High")</f>
        <v>0</v>
      </c>
      <c r="AL95" s="283">
        <f ca="1">Table4[[#This Row],[Required Risk Resolution Date]]-$AE$1</f>
        <v>-40990</v>
      </c>
      <c r="AM95" s="58" t="b">
        <f t="shared" ca="1" si="7"/>
        <v>0</v>
      </c>
      <c r="AN95" s="59" t="b">
        <f>OR(Table4[[#This Row],[Priority]]="Critical",Table4[[#This Row],[Priority]]="High",Table4[[#This Row],[Priority]]="Moderate")</f>
        <v>0</v>
      </c>
    </row>
    <row r="96" spans="1:40" ht="147" customHeight="1">
      <c r="A96" s="60" t="s">
        <v>2364</v>
      </c>
      <c r="B96" s="61">
        <v>40973</v>
      </c>
      <c r="C96" s="60" t="s">
        <v>261</v>
      </c>
      <c r="D96" s="60" t="s">
        <v>1566</v>
      </c>
      <c r="E96" s="323" t="s">
        <v>2500</v>
      </c>
      <c r="F96" s="323" t="s">
        <v>2399</v>
      </c>
      <c r="G96" s="323" t="s">
        <v>2480</v>
      </c>
      <c r="H96" s="323" t="s">
        <v>150</v>
      </c>
      <c r="I96" s="323"/>
      <c r="J96" s="323" t="s">
        <v>261</v>
      </c>
      <c r="K96" s="323" t="s">
        <v>461</v>
      </c>
      <c r="L96" s="323" t="s">
        <v>129</v>
      </c>
      <c r="M96" s="323" t="s">
        <v>1579</v>
      </c>
      <c r="N96" s="323" t="s">
        <v>83</v>
      </c>
      <c r="O96" s="323" t="s">
        <v>93</v>
      </c>
      <c r="P96" s="323" t="s">
        <v>167</v>
      </c>
      <c r="Q96" s="323" t="s">
        <v>93</v>
      </c>
      <c r="R96" s="323" t="s">
        <v>93</v>
      </c>
      <c r="S96" s="323" t="s">
        <v>2479</v>
      </c>
      <c r="T96" s="323" t="s">
        <v>1569</v>
      </c>
      <c r="U96" s="323"/>
      <c r="V96" s="323" t="s">
        <v>2478</v>
      </c>
      <c r="W96" s="323" t="s">
        <v>3110</v>
      </c>
      <c r="X96" s="218">
        <v>41029</v>
      </c>
      <c r="Y96" s="323" t="s">
        <v>1564</v>
      </c>
      <c r="Z96" s="323" t="s">
        <v>2769</v>
      </c>
      <c r="AA96" s="162">
        <v>41029</v>
      </c>
      <c r="AB96" s="55"/>
      <c r="AC96" s="323"/>
      <c r="AE96" s="283">
        <f ca="1">$AE$1-Table4[[#This Row],[Date Captured]]</f>
        <v>17</v>
      </c>
      <c r="AF96" s="58" t="b">
        <f>IFERROR(OR(Table4[[#This Row],[Status]]="02. Open &amp; Assigned",Table4[[#This Row],[Status]]="01. Open",Table4[[#This Row],[Status]]="03. Action/Mitigation Plan Defined",Table4[[#This Row],[Status]]="04. Action Plan Completed",Table4[[#This Row],[Status]]="08. Blank"),"")</f>
        <v>1</v>
      </c>
      <c r="AG96" s="58" t="b">
        <f ca="1">IF(Table4[[#This Row],[Required Risk Resolution Date]]="","FALSE",IF($AE$1&gt;Table4[[#This Row],[Required Risk Resolution Date]],TRUE,FALSE))</f>
        <v>0</v>
      </c>
      <c r="AH96" s="58" t="b">
        <f t="shared" ca="1" si="4"/>
        <v>0</v>
      </c>
      <c r="AI96" s="58" t="b">
        <f t="shared" ca="1" si="5"/>
        <v>0</v>
      </c>
      <c r="AJ96" s="58" t="b">
        <f t="shared" ca="1" si="6"/>
        <v>0</v>
      </c>
      <c r="AK96" s="58" t="b">
        <f>OR(Table4[[#This Row],[Priority]]="Critical",Table4[[#This Row],[Priority]]="High")</f>
        <v>0</v>
      </c>
      <c r="AL96" s="283">
        <f ca="1">Table4[[#This Row],[Required Risk Resolution Date]]-$AE$1</f>
        <v>39</v>
      </c>
      <c r="AM96" s="58" t="b">
        <f t="shared" ca="1" si="7"/>
        <v>0</v>
      </c>
      <c r="AN96" s="59" t="b">
        <f>OR(Table4[[#This Row],[Priority]]="Critical",Table4[[#This Row],[Priority]]="High",Table4[[#This Row],[Priority]]="Moderate")</f>
        <v>1</v>
      </c>
    </row>
    <row r="97" spans="1:40" ht="82.5" customHeight="1">
      <c r="A97" s="60" t="s">
        <v>2195</v>
      </c>
      <c r="B97" s="61">
        <v>40973</v>
      </c>
      <c r="C97" s="60" t="s">
        <v>2391</v>
      </c>
      <c r="D97" s="60" t="s">
        <v>1566</v>
      </c>
      <c r="E97" s="323" t="s">
        <v>2394</v>
      </c>
      <c r="F97" s="323" t="s">
        <v>2392</v>
      </c>
      <c r="G97" s="323" t="s">
        <v>2461</v>
      </c>
      <c r="H97" s="323" t="s">
        <v>150</v>
      </c>
      <c r="I97" s="323"/>
      <c r="J97" s="323" t="s">
        <v>261</v>
      </c>
      <c r="K97" s="323" t="s">
        <v>2464</v>
      </c>
      <c r="L97" s="323" t="s">
        <v>129</v>
      </c>
      <c r="M97" s="323" t="s">
        <v>1493</v>
      </c>
      <c r="N97" s="323" t="s">
        <v>83</v>
      </c>
      <c r="O97" s="323" t="s">
        <v>91</v>
      </c>
      <c r="P97" s="323" t="s">
        <v>93</v>
      </c>
      <c r="Q97" s="323" t="s">
        <v>91</v>
      </c>
      <c r="R97" s="323" t="s">
        <v>93</v>
      </c>
      <c r="S97" s="323" t="s">
        <v>2463</v>
      </c>
      <c r="T97" s="323" t="s">
        <v>29</v>
      </c>
      <c r="U97" s="323" t="s">
        <v>2462</v>
      </c>
      <c r="V97" s="323" t="s">
        <v>2393</v>
      </c>
      <c r="W97" s="323" t="s">
        <v>2956</v>
      </c>
      <c r="X97" s="55">
        <v>41061</v>
      </c>
      <c r="Y97" s="323" t="s">
        <v>1571</v>
      </c>
      <c r="Z97" s="323"/>
      <c r="AA97" s="162">
        <v>41091</v>
      </c>
      <c r="AB97" s="323"/>
      <c r="AC97" s="6"/>
      <c r="AE97" s="283">
        <f ca="1">$AE$1-Table4[[#This Row],[Date Captured]]</f>
        <v>17</v>
      </c>
      <c r="AF97" s="58" t="b">
        <f>IFERROR(OR(Table4[[#This Row],[Status]]="02. Open &amp; Assigned",Table4[[#This Row],[Status]]="01. Open",Table4[[#This Row],[Status]]="03. Action/Mitigation Plan Defined",Table4[[#This Row],[Status]]="04. Action Plan Completed",Table4[[#This Row],[Status]]="08. Blank"),"")</f>
        <v>1</v>
      </c>
      <c r="AG97" s="58" t="b">
        <f ca="1">IF(Table4[[#This Row],[Required Risk Resolution Date]]="","FALSE",IF($AE$1&gt;Table4[[#This Row],[Required Risk Resolution Date]],TRUE,FALSE))</f>
        <v>0</v>
      </c>
      <c r="AH97" s="58" t="b">
        <f t="shared" ca="1" si="4"/>
        <v>0</v>
      </c>
      <c r="AI97" s="58" t="b">
        <f t="shared" ca="1" si="5"/>
        <v>0</v>
      </c>
      <c r="AJ97" s="58" t="b">
        <f t="shared" ca="1" si="6"/>
        <v>0</v>
      </c>
      <c r="AK97" s="58" t="b">
        <f>OR(Table4[[#This Row],[Priority]]="Critical",Table4[[#This Row],[Priority]]="High")</f>
        <v>0</v>
      </c>
      <c r="AL97" s="283">
        <f ca="1">Table4[[#This Row],[Required Risk Resolution Date]]-$AE$1</f>
        <v>101</v>
      </c>
      <c r="AM97" s="58" t="b">
        <f t="shared" ca="1" si="7"/>
        <v>0</v>
      </c>
      <c r="AN97" s="59" t="b">
        <f>OR(Table4[[#This Row],[Priority]]="Critical",Table4[[#This Row],[Priority]]="High",Table4[[#This Row],[Priority]]="Moderate")</f>
        <v>1</v>
      </c>
    </row>
    <row r="98" spans="1:40" ht="87.75" customHeight="1">
      <c r="A98" s="60" t="s">
        <v>2361</v>
      </c>
      <c r="B98" s="61">
        <v>40973</v>
      </c>
      <c r="C98" s="60" t="s">
        <v>261</v>
      </c>
      <c r="D98" s="60" t="s">
        <v>1566</v>
      </c>
      <c r="E98" s="323" t="s">
        <v>2503</v>
      </c>
      <c r="F98" s="323" t="s">
        <v>2397</v>
      </c>
      <c r="G98" s="323" t="s">
        <v>2471</v>
      </c>
      <c r="H98" s="323" t="s">
        <v>150</v>
      </c>
      <c r="I98" s="323"/>
      <c r="J98" s="323" t="s">
        <v>2391</v>
      </c>
      <c r="K98" s="323" t="s">
        <v>2473</v>
      </c>
      <c r="L98" s="323" t="s">
        <v>130</v>
      </c>
      <c r="M98" s="323" t="s">
        <v>1489</v>
      </c>
      <c r="N98" s="323" t="s">
        <v>87</v>
      </c>
      <c r="O98" s="323" t="s">
        <v>91</v>
      </c>
      <c r="P98" s="323" t="s">
        <v>91</v>
      </c>
      <c r="Q98" s="323" t="s">
        <v>91</v>
      </c>
      <c r="R98" s="323" t="s">
        <v>91</v>
      </c>
      <c r="S98" s="323" t="s">
        <v>2475</v>
      </c>
      <c r="T98" s="323" t="s">
        <v>29</v>
      </c>
      <c r="U98" s="323"/>
      <c r="V98" s="323" t="s">
        <v>2472</v>
      </c>
      <c r="W98" s="323" t="s">
        <v>2957</v>
      </c>
      <c r="X98" s="218">
        <v>41061</v>
      </c>
      <c r="Y98" s="323" t="s">
        <v>1564</v>
      </c>
      <c r="Z98" s="323"/>
      <c r="AA98" s="162">
        <v>41061</v>
      </c>
      <c r="AB98" s="323"/>
      <c r="AC98" s="6"/>
      <c r="AE98" s="283">
        <f ca="1">$AE$1-Table4[[#This Row],[Date Captured]]</f>
        <v>17</v>
      </c>
      <c r="AF98" s="58" t="b">
        <f>IFERROR(OR(Table4[[#This Row],[Status]]="02. Open &amp; Assigned",Table4[[#This Row],[Status]]="01. Open",Table4[[#This Row],[Status]]="03. Action/Mitigation Plan Defined",Table4[[#This Row],[Status]]="04. Action Plan Completed",Table4[[#This Row],[Status]]="08. Blank"),"")</f>
        <v>1</v>
      </c>
      <c r="AG98" s="58" t="b">
        <f ca="1">IF(Table4[[#This Row],[Required Risk Resolution Date]]="","FALSE",IF($AE$1&gt;Table4[[#This Row],[Required Risk Resolution Date]],TRUE,FALSE))</f>
        <v>0</v>
      </c>
      <c r="AH98" s="58" t="b">
        <f t="shared" ca="1" si="4"/>
        <v>0</v>
      </c>
      <c r="AI98" s="58" t="b">
        <f t="shared" ca="1" si="5"/>
        <v>0</v>
      </c>
      <c r="AJ98" s="58" t="b">
        <f t="shared" ca="1" si="6"/>
        <v>0</v>
      </c>
      <c r="AK98" s="58" t="b">
        <f>OR(Table4[[#This Row],[Priority]]="Critical",Table4[[#This Row],[Priority]]="High")</f>
        <v>0</v>
      </c>
      <c r="AL98" s="283">
        <f ca="1">Table4[[#This Row],[Required Risk Resolution Date]]-$AE$1</f>
        <v>71</v>
      </c>
      <c r="AM98" s="58" t="b">
        <f t="shared" ca="1" si="7"/>
        <v>0</v>
      </c>
      <c r="AN98" s="59" t="b">
        <f>OR(Table4[[#This Row],[Priority]]="Critical",Table4[[#This Row],[Priority]]="High",Table4[[#This Row],[Priority]]="Moderate")</f>
        <v>0</v>
      </c>
    </row>
    <row r="99" spans="1:40" s="59" customFormat="1" ht="135.75" hidden="1" customHeight="1">
      <c r="A99" s="60" t="s">
        <v>207</v>
      </c>
      <c r="B99" s="61">
        <v>40695</v>
      </c>
      <c r="C99" s="60" t="s">
        <v>1570</v>
      </c>
      <c r="D99" s="60" t="s">
        <v>171</v>
      </c>
      <c r="E99" s="6"/>
      <c r="F99" s="56" t="s">
        <v>307</v>
      </c>
      <c r="G99" s="323"/>
      <c r="H99" s="323" t="s">
        <v>311</v>
      </c>
      <c r="I99" s="323"/>
      <c r="J99" s="323" t="s">
        <v>186</v>
      </c>
      <c r="K99" s="6"/>
      <c r="L99" s="6" t="s">
        <v>129</v>
      </c>
      <c r="M99" s="6"/>
      <c r="N99" s="6" t="s">
        <v>81</v>
      </c>
      <c r="O99" s="6" t="s">
        <v>167</v>
      </c>
      <c r="P99" s="6"/>
      <c r="Q99" s="6"/>
      <c r="R99" s="6"/>
      <c r="S99" s="6"/>
      <c r="T99" s="323" t="s">
        <v>29</v>
      </c>
      <c r="U99" s="56" t="s">
        <v>308</v>
      </c>
      <c r="V99" s="56" t="s">
        <v>309</v>
      </c>
      <c r="W99" s="56" t="s">
        <v>1709</v>
      </c>
      <c r="X99" s="55">
        <v>40821</v>
      </c>
      <c r="Y99" s="323"/>
      <c r="Z99" s="56" t="s">
        <v>310</v>
      </c>
      <c r="AA99" s="162">
        <v>40821</v>
      </c>
      <c r="AB99" s="55">
        <v>40926</v>
      </c>
      <c r="AC99" s="6"/>
      <c r="AE99" s="283">
        <f ca="1">$AE$1-Table4[[#This Row],[Date Captured]]</f>
        <v>295</v>
      </c>
      <c r="AF99" s="59" t="b">
        <f>IFERROR(OR(Table4[[#This Row],[Status]]="02. Open &amp; Assigned",Table4[[#This Row],[Status]]="01. Open",Table4[[#This Row],[Status]]="03. Action/Mitigation Plan Defined",Table4[[#This Row],[Status]]="04. Action Plan Completed",Table4[[#This Row],[Status]]="08. Blank"),"")</f>
        <v>0</v>
      </c>
      <c r="AG99" s="59" t="b">
        <f ca="1">IF(Table4[[#This Row],[Required Risk Resolution Date]]="","FALSE",IF($AE$1&gt;Table4[[#This Row],[Required Risk Resolution Date]],TRUE,FALSE))</f>
        <v>1</v>
      </c>
      <c r="AH99" s="58" t="b">
        <f t="shared" ca="1" si="4"/>
        <v>0</v>
      </c>
      <c r="AI99" s="58" t="b">
        <f t="shared" ca="1" si="5"/>
        <v>0</v>
      </c>
      <c r="AJ99" s="58" t="b">
        <f t="shared" ca="1" si="6"/>
        <v>1</v>
      </c>
      <c r="AK99" s="58" t="b">
        <f>OR(Table4[[#This Row],[Priority]]="Critical",Table4[[#This Row],[Priority]]="High")</f>
        <v>0</v>
      </c>
      <c r="AL99" s="283">
        <f ca="1">Table4[[#This Row],[Required Risk Resolution Date]]-$AE$1</f>
        <v>-169</v>
      </c>
      <c r="AM99" s="58" t="b">
        <f t="shared" ca="1" si="7"/>
        <v>0</v>
      </c>
      <c r="AN99" s="59" t="b">
        <f>OR(Table4[[#This Row],[Priority]]="Critical",Table4[[#This Row],[Priority]]="High",Table4[[#This Row],[Priority]]="Moderate")</f>
        <v>1</v>
      </c>
    </row>
    <row r="100" spans="1:40" ht="162.75" hidden="1" customHeight="1">
      <c r="A100" s="60" t="s">
        <v>35</v>
      </c>
      <c r="B100" s="61">
        <v>40627</v>
      </c>
      <c r="C100" s="60" t="s">
        <v>1570</v>
      </c>
      <c r="D100" s="60" t="s">
        <v>2437</v>
      </c>
      <c r="E100" s="323" t="s">
        <v>1972</v>
      </c>
      <c r="F100" s="323" t="s">
        <v>1973</v>
      </c>
      <c r="G100" s="323" t="s">
        <v>1971</v>
      </c>
      <c r="H100" s="323" t="s">
        <v>311</v>
      </c>
      <c r="I100" s="323"/>
      <c r="J100" s="323" t="s">
        <v>186</v>
      </c>
      <c r="K100" s="323" t="s">
        <v>186</v>
      </c>
      <c r="L100" s="323" t="s">
        <v>129</v>
      </c>
      <c r="M100" s="323" t="s">
        <v>1489</v>
      </c>
      <c r="N100" s="323" t="s">
        <v>81</v>
      </c>
      <c r="O100" s="323" t="s">
        <v>167</v>
      </c>
      <c r="P100" s="323" t="s">
        <v>91</v>
      </c>
      <c r="Q100" s="323" t="s">
        <v>167</v>
      </c>
      <c r="R100" s="323" t="s">
        <v>167</v>
      </c>
      <c r="S100" s="323" t="s">
        <v>1974</v>
      </c>
      <c r="T100" s="323" t="s">
        <v>29</v>
      </c>
      <c r="U100" s="323"/>
      <c r="V100" s="323" t="s">
        <v>2435</v>
      </c>
      <c r="W100" s="323" t="s">
        <v>2436</v>
      </c>
      <c r="X100" s="55">
        <v>40954</v>
      </c>
      <c r="Y100" s="323" t="s">
        <v>1565</v>
      </c>
      <c r="Z100" s="323" t="s">
        <v>2438</v>
      </c>
      <c r="AA100" s="162">
        <v>41060</v>
      </c>
      <c r="AB100" s="55">
        <v>40973</v>
      </c>
      <c r="AC100" s="6" t="s">
        <v>1370</v>
      </c>
      <c r="AE100" s="283">
        <f ca="1">$AE$1-Table4[[#This Row],[Date Captured]]</f>
        <v>363</v>
      </c>
      <c r="AF100" s="58" t="b">
        <f>IFERROR(OR(Table4[[#This Row],[Status]]="02. Open &amp; Assigned",Table4[[#This Row],[Status]]="01. Open",Table4[[#This Row],[Status]]="03. Action/Mitigation Plan Defined",Table4[[#This Row],[Status]]="04. Action Plan Completed",Table4[[#This Row],[Status]]="08. Blank"),"")</f>
        <v>0</v>
      </c>
      <c r="AG100" s="58" t="b">
        <f ca="1">IF(Table4[[#This Row],[Required Risk Resolution Date]]="","FALSE",IF($AE$1&gt;Table4[[#This Row],[Required Risk Resolution Date]],TRUE,FALSE))</f>
        <v>0</v>
      </c>
      <c r="AH100" s="58" t="b">
        <f t="shared" ca="1" si="4"/>
        <v>0</v>
      </c>
      <c r="AI100" s="58" t="b">
        <f t="shared" ca="1" si="5"/>
        <v>0</v>
      </c>
      <c r="AJ100" s="58" t="b">
        <f t="shared" ca="1" si="6"/>
        <v>1</v>
      </c>
      <c r="AK100" s="58" t="b">
        <f>OR(Table4[[#This Row],[Priority]]="Critical",Table4[[#This Row],[Priority]]="High")</f>
        <v>0</v>
      </c>
      <c r="AL100" s="283">
        <f ca="1">Table4[[#This Row],[Required Risk Resolution Date]]-$AE$1</f>
        <v>70</v>
      </c>
      <c r="AM100" s="58" t="b">
        <f t="shared" ca="1" si="7"/>
        <v>0</v>
      </c>
      <c r="AN100" s="59" t="b">
        <f>OR(Table4[[#This Row],[Priority]]="Critical",Table4[[#This Row],[Priority]]="High",Table4[[#This Row],[Priority]]="Moderate")</f>
        <v>1</v>
      </c>
    </row>
    <row r="101" spans="1:40" ht="48" hidden="1">
      <c r="A101" s="60" t="s">
        <v>210</v>
      </c>
      <c r="B101" s="61">
        <v>40708</v>
      </c>
      <c r="C101" s="60"/>
      <c r="D101" s="60" t="s">
        <v>171</v>
      </c>
      <c r="E101" s="6"/>
      <c r="F101" s="56" t="s">
        <v>316</v>
      </c>
      <c r="G101" s="323"/>
      <c r="H101" s="56" t="s">
        <v>311</v>
      </c>
      <c r="I101" s="56"/>
      <c r="J101" s="56" t="s">
        <v>317</v>
      </c>
      <c r="K101" s="6"/>
      <c r="L101" s="6"/>
      <c r="M101" s="6"/>
      <c r="N101" s="6" t="s">
        <v>81</v>
      </c>
      <c r="O101" s="6" t="s">
        <v>167</v>
      </c>
      <c r="P101" s="6"/>
      <c r="Q101" s="6"/>
      <c r="R101" s="6"/>
      <c r="S101" s="6"/>
      <c r="T101" s="56" t="s">
        <v>291</v>
      </c>
      <c r="U101" s="56"/>
      <c r="V101" s="56"/>
      <c r="W101" s="56" t="s">
        <v>320</v>
      </c>
      <c r="X101" s="64">
        <v>40751</v>
      </c>
      <c r="Y101" s="64"/>
      <c r="Z101" s="56" t="s">
        <v>321</v>
      </c>
      <c r="AA101" s="63"/>
      <c r="AB101" s="63"/>
      <c r="AC101" s="6"/>
      <c r="AE101" s="283">
        <f ca="1">$AE$1-Table4[[#This Row],[Date Captured]]</f>
        <v>282</v>
      </c>
      <c r="AF101" s="58" t="b">
        <f>IFERROR(OR(Table4[[#This Row],[Status]]="02. Open &amp; Assigned",Table4[[#This Row],[Status]]="01. Open",Table4[[#This Row],[Status]]="03. Action/Mitigation Plan Defined",Table4[[#This Row],[Status]]="04. Action Plan Completed",Table4[[#This Row],[Status]]="08. Blank"),"")</f>
        <v>0</v>
      </c>
      <c r="AG101" s="58" t="str">
        <f>IF(Table4[[#This Row],[Required Risk Resolution Date]]="","FALSE",IF($AE$1&gt;Table4[[#This Row],[Required Risk Resolution Date]],TRUE,FALSE))</f>
        <v>FALSE</v>
      </c>
      <c r="AH101" s="58" t="b">
        <f t="shared" ca="1" si="4"/>
        <v>0</v>
      </c>
      <c r="AI101" s="58" t="b">
        <f t="shared" ca="1" si="5"/>
        <v>0</v>
      </c>
      <c r="AJ101" s="58" t="b">
        <f t="shared" ca="1" si="6"/>
        <v>1</v>
      </c>
      <c r="AK101" s="58" t="b">
        <f>OR(Table4[[#This Row],[Priority]]="Critical",Table4[[#This Row],[Priority]]="High")</f>
        <v>0</v>
      </c>
      <c r="AL101" s="283">
        <f ca="1">Table4[[#This Row],[Required Risk Resolution Date]]-$AE$1</f>
        <v>-40990</v>
      </c>
      <c r="AM101" s="58" t="b">
        <f t="shared" ca="1" si="7"/>
        <v>0</v>
      </c>
      <c r="AN101" s="59" t="b">
        <f>OR(Table4[[#This Row],[Priority]]="Critical",Table4[[#This Row],[Priority]]="High",Table4[[#This Row],[Priority]]="Moderate")</f>
        <v>0</v>
      </c>
    </row>
    <row r="102" spans="1:40" s="59" customFormat="1" ht="312" hidden="1">
      <c r="A102" s="60" t="s">
        <v>211</v>
      </c>
      <c r="B102" s="61">
        <v>40708</v>
      </c>
      <c r="C102" s="60"/>
      <c r="D102" s="60" t="s">
        <v>171</v>
      </c>
      <c r="E102" s="6"/>
      <c r="F102" s="65" t="s">
        <v>322</v>
      </c>
      <c r="G102" s="65"/>
      <c r="H102" s="65" t="s">
        <v>311</v>
      </c>
      <c r="I102" s="65"/>
      <c r="J102" s="65" t="s">
        <v>323</v>
      </c>
      <c r="K102" s="6"/>
      <c r="L102" s="6"/>
      <c r="M102" s="6"/>
      <c r="N102" s="6" t="s">
        <v>81</v>
      </c>
      <c r="O102" s="6" t="s">
        <v>93</v>
      </c>
      <c r="P102" s="6"/>
      <c r="Q102" s="6"/>
      <c r="R102" s="6"/>
      <c r="S102" s="6"/>
      <c r="T102" s="65" t="s">
        <v>29</v>
      </c>
      <c r="U102" s="65"/>
      <c r="V102" s="65" t="s">
        <v>324</v>
      </c>
      <c r="W102" s="65" t="s">
        <v>325</v>
      </c>
      <c r="X102" s="100">
        <v>40807</v>
      </c>
      <c r="Y102" s="323"/>
      <c r="Z102" s="323"/>
      <c r="AA102" s="323"/>
      <c r="AB102" s="55">
        <v>40800</v>
      </c>
      <c r="AC102" s="6"/>
      <c r="AE102" s="283">
        <f ca="1">$AE$1-Table4[[#This Row],[Date Captured]]</f>
        <v>282</v>
      </c>
      <c r="AF102" s="59" t="b">
        <f>IFERROR(OR(Table4[[#This Row],[Status]]="02. Open &amp; Assigned",Table4[[#This Row],[Status]]="01. Open",Table4[[#This Row],[Status]]="03. Action/Mitigation Plan Defined",Table4[[#This Row],[Status]]="04. Action Plan Completed",Table4[[#This Row],[Status]]="08. Blank"),"")</f>
        <v>0</v>
      </c>
      <c r="AG102" s="59" t="str">
        <f>IF(Table4[[#This Row],[Required Risk Resolution Date]]="","FALSE",IF($AE$1&gt;Table4[[#This Row],[Required Risk Resolution Date]],TRUE,FALSE))</f>
        <v>FALSE</v>
      </c>
      <c r="AH102" s="58" t="b">
        <f t="shared" ca="1" si="4"/>
        <v>0</v>
      </c>
      <c r="AI102" s="58" t="b">
        <f t="shared" ca="1" si="5"/>
        <v>0</v>
      </c>
      <c r="AJ102" s="58" t="b">
        <f t="shared" ca="1" si="6"/>
        <v>1</v>
      </c>
      <c r="AK102" s="58" t="b">
        <f>OR(Table4[[#This Row],[Priority]]="Critical",Table4[[#This Row],[Priority]]="High")</f>
        <v>0</v>
      </c>
      <c r="AL102" s="283">
        <f ca="1">Table4[[#This Row],[Required Risk Resolution Date]]-$AE$1</f>
        <v>-40990</v>
      </c>
      <c r="AM102" s="58" t="b">
        <f t="shared" ca="1" si="7"/>
        <v>0</v>
      </c>
      <c r="AN102" s="59" t="b">
        <f>OR(Table4[[#This Row],[Priority]]="Critical",Table4[[#This Row],[Priority]]="High",Table4[[#This Row],[Priority]]="Moderate")</f>
        <v>0</v>
      </c>
    </row>
    <row r="103" spans="1:40" ht="200.25" hidden="1" customHeight="1">
      <c r="A103" s="60" t="s">
        <v>212</v>
      </c>
      <c r="B103" s="61">
        <v>40708</v>
      </c>
      <c r="C103" s="60" t="s">
        <v>1570</v>
      </c>
      <c r="D103" s="60" t="s">
        <v>171</v>
      </c>
      <c r="E103" s="6" t="s">
        <v>1572</v>
      </c>
      <c r="F103" s="323" t="s">
        <v>326</v>
      </c>
      <c r="G103" s="323" t="s">
        <v>1575</v>
      </c>
      <c r="H103" s="323" t="s">
        <v>311</v>
      </c>
      <c r="I103" s="323"/>
      <c r="J103" s="323" t="s">
        <v>1779</v>
      </c>
      <c r="K103" s="6" t="s">
        <v>328</v>
      </c>
      <c r="L103" s="6" t="s">
        <v>129</v>
      </c>
      <c r="M103" s="323" t="s">
        <v>1484</v>
      </c>
      <c r="N103" s="6" t="s">
        <v>83</v>
      </c>
      <c r="O103" s="6" t="s">
        <v>167</v>
      </c>
      <c r="P103" s="6" t="s">
        <v>91</v>
      </c>
      <c r="Q103" s="6" t="s">
        <v>167</v>
      </c>
      <c r="R103" s="6" t="s">
        <v>109</v>
      </c>
      <c r="S103" s="6" t="s">
        <v>1576</v>
      </c>
      <c r="T103" s="323" t="s">
        <v>1573</v>
      </c>
      <c r="U103" s="323"/>
      <c r="V103" s="323" t="s">
        <v>329</v>
      </c>
      <c r="W103" s="323" t="s">
        <v>1982</v>
      </c>
      <c r="X103" s="55">
        <v>40947</v>
      </c>
      <c r="Y103" s="6" t="s">
        <v>1574</v>
      </c>
      <c r="Z103" s="6" t="s">
        <v>1983</v>
      </c>
      <c r="AA103" s="162">
        <v>41030</v>
      </c>
      <c r="AB103" s="55">
        <v>40947</v>
      </c>
      <c r="AC103" s="6"/>
      <c r="AE103" s="283">
        <f ca="1">$AE$1-Table4[[#This Row],[Date Captured]]</f>
        <v>282</v>
      </c>
      <c r="AF103" s="58" t="b">
        <f>IFERROR(OR(Table4[[#This Row],[Status]]="02. Open &amp; Assigned",Table4[[#This Row],[Status]]="01. Open",Table4[[#This Row],[Status]]="03. Action/Mitigation Plan Defined",Table4[[#This Row],[Status]]="04. Action Plan Completed",Table4[[#This Row],[Status]]="08. Blank"),"")</f>
        <v>0</v>
      </c>
      <c r="AG103" s="58" t="b">
        <f ca="1">IF(Table4[[#This Row],[Required Risk Resolution Date]]="","FALSE",IF($AE$1&gt;Table4[[#This Row],[Required Risk Resolution Date]],TRUE,FALSE))</f>
        <v>0</v>
      </c>
      <c r="AH103" s="58" t="b">
        <f t="shared" ca="1" si="4"/>
        <v>0</v>
      </c>
      <c r="AI103" s="58" t="b">
        <f t="shared" ca="1" si="5"/>
        <v>0</v>
      </c>
      <c r="AJ103" s="58" t="b">
        <f t="shared" ca="1" si="6"/>
        <v>1</v>
      </c>
      <c r="AK103" s="58" t="b">
        <f>OR(Table4[[#This Row],[Priority]]="Critical",Table4[[#This Row],[Priority]]="High")</f>
        <v>0</v>
      </c>
      <c r="AL103" s="283">
        <f ca="1">Table4[[#This Row],[Required Risk Resolution Date]]-$AE$1</f>
        <v>40</v>
      </c>
      <c r="AM103" s="58" t="b">
        <f t="shared" ca="1" si="7"/>
        <v>0</v>
      </c>
      <c r="AN103" s="59" t="b">
        <f>OR(Table4[[#This Row],[Priority]]="Critical",Table4[[#This Row],[Priority]]="High",Table4[[#This Row],[Priority]]="Moderate")</f>
        <v>1</v>
      </c>
    </row>
    <row r="104" spans="1:40" s="59" customFormat="1" ht="261.75" hidden="1" customHeight="1">
      <c r="A104" s="60" t="s">
        <v>347</v>
      </c>
      <c r="B104" s="64">
        <v>40589</v>
      </c>
      <c r="C104" s="60"/>
      <c r="D104" s="60" t="s">
        <v>171</v>
      </c>
      <c r="E104" s="6"/>
      <c r="F104" s="62" t="s">
        <v>348</v>
      </c>
      <c r="G104" s="56"/>
      <c r="H104" s="62" t="s">
        <v>311</v>
      </c>
      <c r="I104" s="62"/>
      <c r="J104" s="56" t="s">
        <v>349</v>
      </c>
      <c r="K104" s="6"/>
      <c r="L104" s="6"/>
      <c r="M104" s="6"/>
      <c r="N104" s="323" t="s">
        <v>83</v>
      </c>
      <c r="O104" s="6" t="s">
        <v>93</v>
      </c>
      <c r="P104" s="6"/>
      <c r="Q104" s="6"/>
      <c r="R104" s="6"/>
      <c r="S104" s="6"/>
      <c r="T104" s="56" t="s">
        <v>29</v>
      </c>
      <c r="U104" s="56" t="s">
        <v>352</v>
      </c>
      <c r="V104" s="56" t="s">
        <v>353</v>
      </c>
      <c r="W104" s="56" t="s">
        <v>354</v>
      </c>
      <c r="X104" s="64"/>
      <c r="Y104" s="64"/>
      <c r="Z104" s="56" t="s">
        <v>355</v>
      </c>
      <c r="AA104" s="56"/>
      <c r="AB104" s="63" t="s">
        <v>356</v>
      </c>
      <c r="AC104" s="6"/>
      <c r="AE104" s="283">
        <f ca="1">$AE$1-Table4[[#This Row],[Date Captured]]</f>
        <v>401</v>
      </c>
      <c r="AF104" s="59" t="b">
        <f>IFERROR(OR(Table4[[#This Row],[Status]]="02. Open &amp; Assigned",Table4[[#This Row],[Status]]="01. Open",Table4[[#This Row],[Status]]="03. Action/Mitigation Plan Defined",Table4[[#This Row],[Status]]="04. Action Plan Completed",Table4[[#This Row],[Status]]="08. Blank"),"")</f>
        <v>0</v>
      </c>
      <c r="AG104" s="59" t="str">
        <f>IF(Table4[[#This Row],[Required Risk Resolution Date]]="","FALSE",IF($AE$1&gt;Table4[[#This Row],[Required Risk Resolution Date]],TRUE,FALSE))</f>
        <v>FALSE</v>
      </c>
      <c r="AH104" s="58" t="b">
        <f t="shared" ca="1" si="4"/>
        <v>0</v>
      </c>
      <c r="AI104" s="58" t="b">
        <f t="shared" ca="1" si="5"/>
        <v>0</v>
      </c>
      <c r="AJ104" s="58" t="b">
        <f t="shared" ca="1" si="6"/>
        <v>1</v>
      </c>
      <c r="AK104" s="58" t="b">
        <f>OR(Table4[[#This Row],[Priority]]="Critical",Table4[[#This Row],[Priority]]="High")</f>
        <v>0</v>
      </c>
      <c r="AL104" s="283">
        <f ca="1">Table4[[#This Row],[Required Risk Resolution Date]]-$AE$1</f>
        <v>-40990</v>
      </c>
      <c r="AM104" s="58" t="b">
        <f t="shared" ca="1" si="7"/>
        <v>0</v>
      </c>
      <c r="AN104" s="59" t="b">
        <f>OR(Table4[[#This Row],[Priority]]="Critical",Table4[[#This Row],[Priority]]="High",Table4[[#This Row],[Priority]]="Moderate")</f>
        <v>0</v>
      </c>
    </row>
    <row r="105" spans="1:40" ht="183.75" hidden="1" customHeight="1">
      <c r="A105" s="60" t="s">
        <v>220</v>
      </c>
      <c r="B105" s="64">
        <v>40753</v>
      </c>
      <c r="C105" s="60"/>
      <c r="D105" s="60" t="s">
        <v>171</v>
      </c>
      <c r="E105" s="6"/>
      <c r="F105" s="56" t="s">
        <v>360</v>
      </c>
      <c r="G105" s="56"/>
      <c r="H105" s="56" t="s">
        <v>311</v>
      </c>
      <c r="I105" s="56"/>
      <c r="J105" s="56" t="s">
        <v>361</v>
      </c>
      <c r="K105" s="6"/>
      <c r="L105" s="6" t="s">
        <v>130</v>
      </c>
      <c r="M105" s="6"/>
      <c r="N105" s="6" t="s">
        <v>83</v>
      </c>
      <c r="O105" s="6" t="s">
        <v>91</v>
      </c>
      <c r="P105" s="6"/>
      <c r="Q105" s="6"/>
      <c r="R105" s="6"/>
      <c r="S105" s="6"/>
      <c r="T105" s="56" t="s">
        <v>29</v>
      </c>
      <c r="U105" s="56"/>
      <c r="V105" s="56" t="s">
        <v>363</v>
      </c>
      <c r="W105" s="56" t="s">
        <v>1710</v>
      </c>
      <c r="X105" s="55">
        <v>40878</v>
      </c>
      <c r="Y105" s="323"/>
      <c r="Z105" s="323" t="s">
        <v>1711</v>
      </c>
      <c r="AA105" s="162"/>
      <c r="AB105" s="55">
        <v>40926</v>
      </c>
      <c r="AC105" s="6"/>
      <c r="AE105" s="283">
        <f ca="1">$AE$1-Table4[[#This Row],[Date Captured]]</f>
        <v>237</v>
      </c>
      <c r="AF105" s="58" t="b">
        <f>IFERROR(OR(Table4[[#This Row],[Status]]="02. Open &amp; Assigned",Table4[[#This Row],[Status]]="01. Open",Table4[[#This Row],[Status]]="03. Action/Mitigation Plan Defined",Table4[[#This Row],[Status]]="04. Action Plan Completed",Table4[[#This Row],[Status]]="08. Blank"),"")</f>
        <v>0</v>
      </c>
      <c r="AG105" s="58" t="str">
        <f>IF(Table4[[#This Row],[Required Risk Resolution Date]]="","FALSE",IF($AE$1&gt;Table4[[#This Row],[Required Risk Resolution Date]],TRUE,FALSE))</f>
        <v>FALSE</v>
      </c>
      <c r="AH105" s="58" t="b">
        <f t="shared" ca="1" si="4"/>
        <v>0</v>
      </c>
      <c r="AI105" s="58" t="b">
        <f t="shared" ca="1" si="5"/>
        <v>0</v>
      </c>
      <c r="AJ105" s="58" t="b">
        <f t="shared" ca="1" si="6"/>
        <v>1</v>
      </c>
      <c r="AK105" s="58" t="b">
        <f>OR(Table4[[#This Row],[Priority]]="Critical",Table4[[#This Row],[Priority]]="High")</f>
        <v>0</v>
      </c>
      <c r="AL105" s="283">
        <f ca="1">Table4[[#This Row],[Required Risk Resolution Date]]-$AE$1</f>
        <v>-40990</v>
      </c>
      <c r="AM105" s="58" t="b">
        <f t="shared" ca="1" si="7"/>
        <v>0</v>
      </c>
      <c r="AN105" s="59" t="b">
        <f>OR(Table4[[#This Row],[Priority]]="Critical",Table4[[#This Row],[Priority]]="High",Table4[[#This Row],[Priority]]="Moderate")</f>
        <v>0</v>
      </c>
    </row>
    <row r="106" spans="1:40" ht="240.75" hidden="1" customHeight="1">
      <c r="A106" s="60" t="s">
        <v>225</v>
      </c>
      <c r="B106" s="61">
        <v>40634</v>
      </c>
      <c r="C106" s="60"/>
      <c r="D106" s="60" t="s">
        <v>171</v>
      </c>
      <c r="E106" s="6"/>
      <c r="F106" s="387" t="s">
        <v>378</v>
      </c>
      <c r="G106" s="323"/>
      <c r="H106" s="56" t="s">
        <v>311</v>
      </c>
      <c r="I106" s="56"/>
      <c r="J106" s="56" t="s">
        <v>379</v>
      </c>
      <c r="K106" s="6"/>
      <c r="L106" s="6"/>
      <c r="M106" s="6"/>
      <c r="N106" s="6"/>
      <c r="O106" s="6" t="s">
        <v>93</v>
      </c>
      <c r="P106" s="6"/>
      <c r="Q106" s="6"/>
      <c r="R106" s="6"/>
      <c r="S106" s="6"/>
      <c r="T106" s="323"/>
      <c r="U106" s="323"/>
      <c r="V106" s="323"/>
      <c r="W106" s="68" t="s">
        <v>380</v>
      </c>
      <c r="X106" s="69">
        <v>40786</v>
      </c>
      <c r="Y106" s="69"/>
      <c r="Z106" s="56"/>
      <c r="AA106" s="70"/>
      <c r="AB106" s="63" t="s">
        <v>381</v>
      </c>
      <c r="AC106" s="6"/>
      <c r="AE106" s="283">
        <f ca="1">$AE$1-Table4[[#This Row],[Date Captured]]</f>
        <v>356</v>
      </c>
      <c r="AF106" s="58" t="b">
        <f>IFERROR(OR(Table4[[#This Row],[Status]]="02. Open &amp; Assigned",Table4[[#This Row],[Status]]="01. Open",Table4[[#This Row],[Status]]="03. Action/Mitigation Plan Defined",Table4[[#This Row],[Status]]="04. Action Plan Completed",Table4[[#This Row],[Status]]="08. Blank"),"")</f>
        <v>0</v>
      </c>
      <c r="AG106" s="58" t="str">
        <f>IF(Table4[[#This Row],[Required Risk Resolution Date]]="","FALSE",IF($AE$1&gt;Table4[[#This Row],[Required Risk Resolution Date]],TRUE,FALSE))</f>
        <v>FALSE</v>
      </c>
      <c r="AH106" s="58" t="b">
        <f t="shared" ca="1" si="4"/>
        <v>0</v>
      </c>
      <c r="AI106" s="58" t="b">
        <f t="shared" ca="1" si="5"/>
        <v>0</v>
      </c>
      <c r="AJ106" s="58" t="b">
        <f t="shared" ca="1" si="6"/>
        <v>1</v>
      </c>
      <c r="AK106" s="58" t="b">
        <f>OR(Table4[[#This Row],[Priority]]="Critical",Table4[[#This Row],[Priority]]="High")</f>
        <v>0</v>
      </c>
      <c r="AL106" s="283">
        <f ca="1">Table4[[#This Row],[Required Risk Resolution Date]]-$AE$1</f>
        <v>-40990</v>
      </c>
      <c r="AM106" s="58" t="b">
        <f t="shared" ca="1" si="7"/>
        <v>0</v>
      </c>
      <c r="AN106" s="59" t="b">
        <f>OR(Table4[[#This Row],[Priority]]="Critical",Table4[[#This Row],[Priority]]="High",Table4[[#This Row],[Priority]]="Moderate")</f>
        <v>0</v>
      </c>
    </row>
    <row r="107" spans="1:40" ht="196.5" hidden="1" customHeight="1">
      <c r="A107" s="60" t="s">
        <v>226</v>
      </c>
      <c r="B107" s="64">
        <v>40779</v>
      </c>
      <c r="C107" s="60"/>
      <c r="D107" s="60" t="s">
        <v>492</v>
      </c>
      <c r="E107" s="323"/>
      <c r="F107" s="386" t="s">
        <v>384</v>
      </c>
      <c r="G107" s="56"/>
      <c r="H107" s="56" t="s">
        <v>311</v>
      </c>
      <c r="I107" s="56"/>
      <c r="J107" s="56" t="s">
        <v>186</v>
      </c>
      <c r="K107" s="323"/>
      <c r="L107" s="323" t="s">
        <v>128</v>
      </c>
      <c r="M107" s="323"/>
      <c r="N107" s="323" t="s">
        <v>83</v>
      </c>
      <c r="O107" s="323" t="s">
        <v>93</v>
      </c>
      <c r="P107" s="323"/>
      <c r="Q107" s="323"/>
      <c r="R107" s="323"/>
      <c r="S107" s="323"/>
      <c r="T107" s="56" t="s">
        <v>29</v>
      </c>
      <c r="U107" s="56" t="s">
        <v>387</v>
      </c>
      <c r="V107" s="56" t="s">
        <v>388</v>
      </c>
      <c r="W107" s="56" t="s">
        <v>1646</v>
      </c>
      <c r="X107" s="72">
        <v>40919</v>
      </c>
      <c r="Y107" s="72"/>
      <c r="Z107" s="56" t="s">
        <v>1645</v>
      </c>
      <c r="AA107" s="73"/>
      <c r="AB107" s="63" t="s">
        <v>1619</v>
      </c>
      <c r="AC107" s="323" t="s">
        <v>672</v>
      </c>
      <c r="AE107" s="283">
        <f ca="1">$AE$1-Table4[[#This Row],[Date Captured]]</f>
        <v>211</v>
      </c>
      <c r="AF107" s="58" t="b">
        <f>IFERROR(OR(Table4[[#This Row],[Status]]="02. Open &amp; Assigned",Table4[[#This Row],[Status]]="01. Open",Table4[[#This Row],[Status]]="03. Action/Mitigation Plan Defined",Table4[[#This Row],[Status]]="04. Action Plan Completed",Table4[[#This Row],[Status]]="08. Blank"),"")</f>
        <v>0</v>
      </c>
      <c r="AG107" s="58" t="str">
        <f>IF(Table4[[#This Row],[Required Risk Resolution Date]]="","FALSE",IF($AE$1&gt;Table4[[#This Row],[Required Risk Resolution Date]],TRUE,FALSE))</f>
        <v>FALSE</v>
      </c>
      <c r="AH107" s="58" t="b">
        <f t="shared" ca="1" si="4"/>
        <v>0</v>
      </c>
      <c r="AI107" s="58" t="b">
        <f t="shared" ca="1" si="5"/>
        <v>0</v>
      </c>
      <c r="AJ107" s="58" t="b">
        <f t="shared" ca="1" si="6"/>
        <v>1</v>
      </c>
      <c r="AK107" s="58" t="b">
        <f>OR(Table4[[#This Row],[Priority]]="Critical",Table4[[#This Row],[Priority]]="High")</f>
        <v>1</v>
      </c>
      <c r="AL107" s="283">
        <f ca="1">Table4[[#This Row],[Required Risk Resolution Date]]-$AE$1</f>
        <v>-40990</v>
      </c>
      <c r="AM107" s="58" t="b">
        <f t="shared" ca="1" si="7"/>
        <v>0</v>
      </c>
      <c r="AN107" s="59" t="b">
        <f>OR(Table4[[#This Row],[Priority]]="Critical",Table4[[#This Row],[Priority]]="High",Table4[[#This Row],[Priority]]="Moderate")</f>
        <v>1</v>
      </c>
    </row>
    <row r="108" spans="1:40" ht="196.5" hidden="1" customHeight="1">
      <c r="A108" s="216" t="s">
        <v>382</v>
      </c>
      <c r="B108" s="64">
        <v>40779</v>
      </c>
      <c r="C108" s="60"/>
      <c r="D108" s="60" t="s">
        <v>171</v>
      </c>
      <c r="E108" s="6"/>
      <c r="F108" s="56" t="s">
        <v>385</v>
      </c>
      <c r="G108" s="56"/>
      <c r="H108" s="56" t="s">
        <v>311</v>
      </c>
      <c r="I108" s="56"/>
      <c r="J108" s="56" t="s">
        <v>386</v>
      </c>
      <c r="K108" s="6"/>
      <c r="L108" s="6"/>
      <c r="M108" s="6"/>
      <c r="N108" s="6"/>
      <c r="O108" s="6" t="s">
        <v>93</v>
      </c>
      <c r="P108" s="6"/>
      <c r="Q108" s="6"/>
      <c r="R108" s="6"/>
      <c r="S108" s="6"/>
      <c r="T108" s="56"/>
      <c r="U108" s="56"/>
      <c r="V108" s="56"/>
      <c r="W108" s="56" t="s">
        <v>389</v>
      </c>
      <c r="X108" s="64">
        <v>40793</v>
      </c>
      <c r="Y108" s="64"/>
      <c r="Z108" s="56"/>
      <c r="AA108" s="73"/>
      <c r="AB108" s="63">
        <v>40793</v>
      </c>
      <c r="AC108" s="217"/>
      <c r="AE108" s="283">
        <f ca="1">$AE$1-Table4[[#This Row],[Date Captured]]</f>
        <v>211</v>
      </c>
      <c r="AF108" s="58" t="b">
        <f>IFERROR(OR(Table4[[#This Row],[Status]]="02. Open &amp; Assigned",Table4[[#This Row],[Status]]="01. Open",Table4[[#This Row],[Status]]="03. Action/Mitigation Plan Defined",Table4[[#This Row],[Status]]="04. Action Plan Completed",Table4[[#This Row],[Status]]="08. Blank"),"")</f>
        <v>0</v>
      </c>
      <c r="AG108" s="58" t="str">
        <f>IF(Table4[[#This Row],[Required Risk Resolution Date]]="","FALSE",IF($AE$1&gt;Table4[[#This Row],[Required Risk Resolution Date]],TRUE,FALSE))</f>
        <v>FALSE</v>
      </c>
      <c r="AH108" s="58" t="b">
        <f t="shared" ca="1" si="4"/>
        <v>0</v>
      </c>
      <c r="AI108" s="58" t="b">
        <f t="shared" ca="1" si="5"/>
        <v>0</v>
      </c>
      <c r="AJ108" s="58" t="b">
        <f t="shared" ca="1" si="6"/>
        <v>1</v>
      </c>
      <c r="AK108" s="58" t="b">
        <f>OR(Table4[[#This Row],[Priority]]="Critical",Table4[[#This Row],[Priority]]="High")</f>
        <v>0</v>
      </c>
      <c r="AL108" s="283">
        <f ca="1">Table4[[#This Row],[Required Risk Resolution Date]]-$AE$1</f>
        <v>-40990</v>
      </c>
      <c r="AM108" s="58" t="b">
        <f t="shared" ca="1" si="7"/>
        <v>0</v>
      </c>
      <c r="AN108" s="59" t="b">
        <f>OR(Table4[[#This Row],[Priority]]="Critical",Table4[[#This Row],[Priority]]="High",Table4[[#This Row],[Priority]]="Moderate")</f>
        <v>0</v>
      </c>
    </row>
    <row r="109" spans="1:40" ht="409.5" hidden="1">
      <c r="A109" s="60" t="s">
        <v>390</v>
      </c>
      <c r="B109" s="258">
        <v>40630</v>
      </c>
      <c r="C109" s="60" t="s">
        <v>1570</v>
      </c>
      <c r="D109" s="60" t="s">
        <v>171</v>
      </c>
      <c r="E109" s="323"/>
      <c r="F109" s="7" t="s">
        <v>396</v>
      </c>
      <c r="G109" s="323"/>
      <c r="H109" s="323" t="s">
        <v>311</v>
      </c>
      <c r="I109" s="323"/>
      <c r="J109" s="324" t="s">
        <v>186</v>
      </c>
      <c r="K109" s="323" t="s">
        <v>186</v>
      </c>
      <c r="L109" s="323" t="s">
        <v>127</v>
      </c>
      <c r="M109" s="323"/>
      <c r="N109" s="323" t="s">
        <v>83</v>
      </c>
      <c r="O109" s="323" t="s">
        <v>91</v>
      </c>
      <c r="P109" s="323"/>
      <c r="Q109" s="323"/>
      <c r="R109" s="323"/>
      <c r="S109" s="323"/>
      <c r="T109" s="323" t="s">
        <v>29</v>
      </c>
      <c r="U109" s="323" t="s">
        <v>397</v>
      </c>
      <c r="V109" s="323" t="s">
        <v>398</v>
      </c>
      <c r="W109" s="323" t="s">
        <v>2110</v>
      </c>
      <c r="X109" s="55">
        <v>40954</v>
      </c>
      <c r="Y109" s="323"/>
      <c r="Z109" s="323" t="s">
        <v>2111</v>
      </c>
      <c r="AA109" s="162">
        <v>40694</v>
      </c>
      <c r="AB109" s="261">
        <v>40954</v>
      </c>
      <c r="AC109" s="323"/>
      <c r="AE109" s="283">
        <f ca="1">$AE$1-Table4[[#This Row],[Date Captured]]</f>
        <v>360</v>
      </c>
      <c r="AF109" s="58" t="b">
        <f>IFERROR(OR(Table4[[#This Row],[Status]]="02. Open &amp; Assigned",Table4[[#This Row],[Status]]="01. Open",Table4[[#This Row],[Status]]="03. Action/Mitigation Plan Defined",Table4[[#This Row],[Status]]="04. Action Plan Completed",Table4[[#This Row],[Status]]="08. Blank"),"")</f>
        <v>0</v>
      </c>
      <c r="AG109" s="58" t="b">
        <f ca="1">IF(Table4[[#This Row],[Required Risk Resolution Date]]="","FALSE",IF($AE$1&gt;Table4[[#This Row],[Required Risk Resolution Date]],TRUE,FALSE))</f>
        <v>1</v>
      </c>
      <c r="AH109" s="58" t="b">
        <f t="shared" ca="1" si="4"/>
        <v>0</v>
      </c>
      <c r="AI109" s="58" t="b">
        <f t="shared" ca="1" si="5"/>
        <v>0</v>
      </c>
      <c r="AJ109" s="58" t="b">
        <f t="shared" ca="1" si="6"/>
        <v>1</v>
      </c>
      <c r="AK109" s="58" t="b">
        <f>OR(Table4[[#This Row],[Priority]]="Critical",Table4[[#This Row],[Priority]]="High")</f>
        <v>1</v>
      </c>
      <c r="AL109" s="283">
        <f ca="1">Table4[[#This Row],[Required Risk Resolution Date]]-$AE$1</f>
        <v>-296</v>
      </c>
      <c r="AM109" s="58" t="b">
        <f t="shared" ca="1" si="7"/>
        <v>0</v>
      </c>
      <c r="AN109" s="59" t="b">
        <f>OR(Table4[[#This Row],[Priority]]="Critical",Table4[[#This Row],[Priority]]="High",Table4[[#This Row],[Priority]]="Moderate")</f>
        <v>1</v>
      </c>
    </row>
    <row r="110" spans="1:40" ht="108" hidden="1" customHeight="1">
      <c r="A110" s="60" t="s">
        <v>243</v>
      </c>
      <c r="B110" s="64">
        <v>40848</v>
      </c>
      <c r="C110" s="60"/>
      <c r="D110" s="60" t="s">
        <v>171</v>
      </c>
      <c r="E110" s="323"/>
      <c r="F110" s="56" t="s">
        <v>510</v>
      </c>
      <c r="G110" s="56"/>
      <c r="H110" s="56" t="s">
        <v>311</v>
      </c>
      <c r="I110" s="56"/>
      <c r="J110" s="56" t="s">
        <v>186</v>
      </c>
      <c r="K110" s="6"/>
      <c r="L110" s="323"/>
      <c r="M110" s="323"/>
      <c r="N110" s="6"/>
      <c r="O110" s="6" t="s">
        <v>93</v>
      </c>
      <c r="P110" s="6"/>
      <c r="Q110" s="6"/>
      <c r="R110" s="6"/>
      <c r="S110" s="6"/>
      <c r="T110" s="56"/>
      <c r="U110" s="56"/>
      <c r="V110" s="56" t="s">
        <v>515</v>
      </c>
      <c r="W110" s="56" t="s">
        <v>516</v>
      </c>
      <c r="X110" s="55">
        <v>40877</v>
      </c>
      <c r="Y110" s="323"/>
      <c r="Z110" s="6"/>
      <c r="AA110" s="323"/>
      <c r="AB110" s="55">
        <v>40877</v>
      </c>
      <c r="AC110" s="6"/>
      <c r="AE110" s="283">
        <f ca="1">$AE$1-Table4[[#This Row],[Date Captured]]</f>
        <v>142</v>
      </c>
      <c r="AF110" s="58" t="b">
        <f>IFERROR(OR(Table4[[#This Row],[Status]]="02. Open &amp; Assigned",Table4[[#This Row],[Status]]="01. Open",Table4[[#This Row],[Status]]="03. Action/Mitigation Plan Defined",Table4[[#This Row],[Status]]="04. Action Plan Completed",Table4[[#This Row],[Status]]="08. Blank"),"")</f>
        <v>0</v>
      </c>
      <c r="AG110" s="58" t="str">
        <f>IF(Table4[[#This Row],[Required Risk Resolution Date]]="","FALSE",IF($AE$1&gt;Table4[[#This Row],[Required Risk Resolution Date]],TRUE,FALSE))</f>
        <v>FALSE</v>
      </c>
      <c r="AH110" s="58" t="b">
        <f t="shared" ca="1" si="4"/>
        <v>0</v>
      </c>
      <c r="AI110" s="58" t="b">
        <f t="shared" ca="1" si="5"/>
        <v>1</v>
      </c>
      <c r="AJ110" s="58" t="b">
        <f t="shared" ca="1" si="6"/>
        <v>0</v>
      </c>
      <c r="AK110" s="58" t="b">
        <f>OR(Table4[[#This Row],[Priority]]="Critical",Table4[[#This Row],[Priority]]="High")</f>
        <v>0</v>
      </c>
      <c r="AL110" s="283">
        <f ca="1">Table4[[#This Row],[Required Risk Resolution Date]]-$AE$1</f>
        <v>-40990</v>
      </c>
      <c r="AM110" s="58" t="b">
        <f t="shared" ca="1" si="7"/>
        <v>0</v>
      </c>
      <c r="AN110" s="59" t="b">
        <f>OR(Table4[[#This Row],[Priority]]="Critical",Table4[[#This Row],[Priority]]="High",Table4[[#This Row],[Priority]]="Moderate")</f>
        <v>0</v>
      </c>
    </row>
    <row r="111" spans="1:40" ht="120" hidden="1" customHeight="1">
      <c r="A111" s="60" t="s">
        <v>532</v>
      </c>
      <c r="B111" s="258">
        <v>40882</v>
      </c>
      <c r="C111" s="60" t="s">
        <v>1570</v>
      </c>
      <c r="D111" s="60" t="s">
        <v>171</v>
      </c>
      <c r="E111" s="323" t="s">
        <v>1694</v>
      </c>
      <c r="F111" s="323" t="s">
        <v>1945</v>
      </c>
      <c r="G111" s="323" t="s">
        <v>1946</v>
      </c>
      <c r="H111" s="323" t="s">
        <v>311</v>
      </c>
      <c r="I111" s="323"/>
      <c r="J111" s="323" t="s">
        <v>186</v>
      </c>
      <c r="K111" s="6" t="s">
        <v>186</v>
      </c>
      <c r="L111" s="6" t="s">
        <v>127</v>
      </c>
      <c r="M111" s="6" t="s">
        <v>1579</v>
      </c>
      <c r="N111" s="6" t="s">
        <v>83</v>
      </c>
      <c r="O111" s="6" t="s">
        <v>91</v>
      </c>
      <c r="P111" s="6" t="s">
        <v>93</v>
      </c>
      <c r="Q111" s="6" t="s">
        <v>94</v>
      </c>
      <c r="R111" s="6" t="s">
        <v>93</v>
      </c>
      <c r="S111" s="6" t="s">
        <v>1947</v>
      </c>
      <c r="T111" s="323" t="s">
        <v>29</v>
      </c>
      <c r="U111" s="323" t="s">
        <v>1948</v>
      </c>
      <c r="V111" s="323" t="s">
        <v>1949</v>
      </c>
      <c r="W111" s="323" t="s">
        <v>2333</v>
      </c>
      <c r="X111" s="259">
        <v>40982</v>
      </c>
      <c r="Y111" s="259" t="s">
        <v>1574</v>
      </c>
      <c r="Z111" s="323"/>
      <c r="AA111" s="162">
        <v>40956</v>
      </c>
      <c r="AB111" s="261"/>
      <c r="AC111" s="6"/>
      <c r="AE111" s="283">
        <f ca="1">$AE$1-Table4[[#This Row],[Date Captured]]</f>
        <v>108</v>
      </c>
      <c r="AF111" s="58" t="b">
        <f>IFERROR(OR(Table4[[#This Row],[Status]]="02. Open &amp; Assigned",Table4[[#This Row],[Status]]="01. Open",Table4[[#This Row],[Status]]="03. Action/Mitigation Plan Defined",Table4[[#This Row],[Status]]="04. Action Plan Completed",Table4[[#This Row],[Status]]="08. Blank"),"")</f>
        <v>0</v>
      </c>
      <c r="AG111" s="58" t="b">
        <f ca="1">IF(Table4[[#This Row],[Required Risk Resolution Date]]="","FALSE",IF($AE$1&gt;Table4[[#This Row],[Required Risk Resolution Date]],TRUE,FALSE))</f>
        <v>1</v>
      </c>
      <c r="AH111" s="58" t="b">
        <f t="shared" ca="1" si="4"/>
        <v>0</v>
      </c>
      <c r="AI111" s="58" t="b">
        <f t="shared" ca="1" si="5"/>
        <v>1</v>
      </c>
      <c r="AJ111" s="58" t="b">
        <f t="shared" ca="1" si="6"/>
        <v>0</v>
      </c>
      <c r="AK111" s="58" t="b">
        <f>OR(Table4[[#This Row],[Priority]]="Critical",Table4[[#This Row],[Priority]]="High")</f>
        <v>1</v>
      </c>
      <c r="AL111" s="283">
        <f ca="1">Table4[[#This Row],[Required Risk Resolution Date]]-$AE$1</f>
        <v>-34</v>
      </c>
      <c r="AM111" s="58" t="b">
        <f t="shared" ca="1" si="7"/>
        <v>0</v>
      </c>
      <c r="AN111" s="59" t="b">
        <f>OR(Table4[[#This Row],[Priority]]="Critical",Table4[[#This Row],[Priority]]="High",Table4[[#This Row],[Priority]]="Moderate")</f>
        <v>1</v>
      </c>
    </row>
    <row r="112" spans="1:40" ht="318" hidden="1" customHeight="1">
      <c r="A112" s="216" t="s">
        <v>533</v>
      </c>
      <c r="B112" s="64">
        <v>40813</v>
      </c>
      <c r="C112" s="60"/>
      <c r="D112" s="60" t="s">
        <v>492</v>
      </c>
      <c r="E112" s="323"/>
      <c r="F112" s="56" t="s">
        <v>536</v>
      </c>
      <c r="G112" s="89" t="s">
        <v>537</v>
      </c>
      <c r="H112" s="56" t="s">
        <v>311</v>
      </c>
      <c r="I112" s="56"/>
      <c r="J112" s="56" t="s">
        <v>186</v>
      </c>
      <c r="K112" s="6" t="s">
        <v>186</v>
      </c>
      <c r="L112" s="323"/>
      <c r="M112" s="6"/>
      <c r="N112" s="6" t="s">
        <v>81</v>
      </c>
      <c r="O112" s="6" t="s">
        <v>93</v>
      </c>
      <c r="P112" s="6"/>
      <c r="Q112" s="6"/>
      <c r="R112" s="6"/>
      <c r="S112" s="6"/>
      <c r="T112" s="56"/>
      <c r="U112" s="56"/>
      <c r="V112" s="56"/>
      <c r="W112" s="56" t="s">
        <v>1513</v>
      </c>
      <c r="X112" s="66">
        <v>40912</v>
      </c>
      <c r="Y112" s="66"/>
      <c r="Z112" s="56" t="s">
        <v>1514</v>
      </c>
      <c r="AA112" s="70"/>
      <c r="AB112" s="63">
        <v>40912</v>
      </c>
      <c r="AC112" s="217" t="s">
        <v>663</v>
      </c>
      <c r="AE112" s="283">
        <f ca="1">$AE$1-Table4[[#This Row],[Date Captured]]</f>
        <v>177</v>
      </c>
      <c r="AF112" s="58" t="b">
        <f>IFERROR(OR(Table4[[#This Row],[Status]]="02. Open &amp; Assigned",Table4[[#This Row],[Status]]="01. Open",Table4[[#This Row],[Status]]="03. Action/Mitigation Plan Defined",Table4[[#This Row],[Status]]="04. Action Plan Completed",Table4[[#This Row],[Status]]="08. Blank"),"")</f>
        <v>0</v>
      </c>
      <c r="AG112" s="58" t="str">
        <f>IF(Table4[[#This Row],[Required Risk Resolution Date]]="","FALSE",IF($AE$1&gt;Table4[[#This Row],[Required Risk Resolution Date]],TRUE,FALSE))</f>
        <v>FALSE</v>
      </c>
      <c r="AH112" s="58" t="b">
        <f t="shared" ca="1" si="4"/>
        <v>0</v>
      </c>
      <c r="AI112" s="58" t="b">
        <f t="shared" ca="1" si="5"/>
        <v>1</v>
      </c>
      <c r="AJ112" s="58" t="b">
        <f t="shared" ca="1" si="6"/>
        <v>0</v>
      </c>
      <c r="AK112" s="58" t="b">
        <f>OR(Table4[[#This Row],[Priority]]="Critical",Table4[[#This Row],[Priority]]="High")</f>
        <v>0</v>
      </c>
      <c r="AL112" s="283">
        <f ca="1">Table4[[#This Row],[Required Risk Resolution Date]]-$AE$1</f>
        <v>-40990</v>
      </c>
      <c r="AM112" s="58" t="b">
        <f t="shared" ca="1" si="7"/>
        <v>0</v>
      </c>
      <c r="AN112" s="59" t="b">
        <f>OR(Table4[[#This Row],[Priority]]="Critical",Table4[[#This Row],[Priority]]="High",Table4[[#This Row],[Priority]]="Moderate")</f>
        <v>0</v>
      </c>
    </row>
    <row r="113" spans="1:40" ht="183.75" hidden="1" customHeight="1">
      <c r="A113" s="60" t="s">
        <v>251</v>
      </c>
      <c r="B113" s="258">
        <v>40878</v>
      </c>
      <c r="C113" s="60" t="s">
        <v>1570</v>
      </c>
      <c r="D113" s="60" t="s">
        <v>171</v>
      </c>
      <c r="E113" s="323" t="s">
        <v>1695</v>
      </c>
      <c r="F113" s="323" t="s">
        <v>556</v>
      </c>
      <c r="G113" s="323" t="s">
        <v>1950</v>
      </c>
      <c r="H113" s="323" t="s">
        <v>311</v>
      </c>
      <c r="I113" s="323"/>
      <c r="J113" s="323" t="s">
        <v>186</v>
      </c>
      <c r="K113" s="323" t="s">
        <v>1780</v>
      </c>
      <c r="L113" s="323" t="s">
        <v>128</v>
      </c>
      <c r="M113" s="6" t="s">
        <v>1579</v>
      </c>
      <c r="N113" s="323" t="s">
        <v>83</v>
      </c>
      <c r="O113" s="323" t="s">
        <v>93</v>
      </c>
      <c r="P113" s="323" t="s">
        <v>93</v>
      </c>
      <c r="Q113" s="323" t="s">
        <v>167</v>
      </c>
      <c r="R113" s="323" t="s">
        <v>167</v>
      </c>
      <c r="S113" s="323" t="s">
        <v>1951</v>
      </c>
      <c r="T113" s="323" t="s">
        <v>29</v>
      </c>
      <c r="U113" s="323" t="s">
        <v>1952</v>
      </c>
      <c r="V113" s="323" t="s">
        <v>1953</v>
      </c>
      <c r="W113" s="323" t="s">
        <v>2334</v>
      </c>
      <c r="X113" s="147">
        <v>40961</v>
      </c>
      <c r="Y113" s="147" t="s">
        <v>1565</v>
      </c>
      <c r="Z113" s="323"/>
      <c r="AA113" s="260">
        <v>40938</v>
      </c>
      <c r="AB113" s="261"/>
      <c r="AC113" s="323"/>
      <c r="AE113" s="283">
        <f ca="1">$AE$1-Table4[[#This Row],[Date Captured]]</f>
        <v>112</v>
      </c>
      <c r="AF113" s="58" t="b">
        <f>IFERROR(OR(Table4[[#This Row],[Status]]="02. Open &amp; Assigned",Table4[[#This Row],[Status]]="01. Open",Table4[[#This Row],[Status]]="03. Action/Mitigation Plan Defined",Table4[[#This Row],[Status]]="04. Action Plan Completed",Table4[[#This Row],[Status]]="08. Blank"),"")</f>
        <v>0</v>
      </c>
      <c r="AG113" s="58" t="b">
        <f ca="1">IF(Table4[[#This Row],[Required Risk Resolution Date]]="","FALSE",IF($AE$1&gt;Table4[[#This Row],[Required Risk Resolution Date]],TRUE,FALSE))</f>
        <v>1</v>
      </c>
      <c r="AH113" s="58" t="b">
        <f t="shared" ca="1" si="4"/>
        <v>0</v>
      </c>
      <c r="AI113" s="58" t="b">
        <f t="shared" ca="1" si="5"/>
        <v>1</v>
      </c>
      <c r="AJ113" s="58" t="b">
        <f t="shared" ca="1" si="6"/>
        <v>0</v>
      </c>
      <c r="AK113" s="58" t="b">
        <f>OR(Table4[[#This Row],[Priority]]="Critical",Table4[[#This Row],[Priority]]="High")</f>
        <v>1</v>
      </c>
      <c r="AL113" s="283">
        <f ca="1">Table4[[#This Row],[Required Risk Resolution Date]]-$AE$1</f>
        <v>-52</v>
      </c>
      <c r="AM113" s="58" t="b">
        <f t="shared" ca="1" si="7"/>
        <v>0</v>
      </c>
      <c r="AN113" s="59" t="b">
        <f>OR(Table4[[#This Row],[Priority]]="Critical",Table4[[#This Row],[Priority]]="High",Table4[[#This Row],[Priority]]="Moderate")</f>
        <v>1</v>
      </c>
    </row>
    <row r="114" spans="1:40" ht="217.5" hidden="1" customHeight="1">
      <c r="A114" s="60" t="s">
        <v>564</v>
      </c>
      <c r="B114" s="258">
        <v>40619</v>
      </c>
      <c r="C114" s="60" t="s">
        <v>523</v>
      </c>
      <c r="D114" s="60" t="s">
        <v>492</v>
      </c>
      <c r="E114" s="323" t="s">
        <v>1696</v>
      </c>
      <c r="F114" s="323" t="s">
        <v>1975</v>
      </c>
      <c r="G114" s="323" t="s">
        <v>1697</v>
      </c>
      <c r="H114" s="323" t="s">
        <v>311</v>
      </c>
      <c r="I114" s="323"/>
      <c r="J114" s="323" t="s">
        <v>568</v>
      </c>
      <c r="K114" s="323"/>
      <c r="L114" s="323" t="s">
        <v>128</v>
      </c>
      <c r="M114" s="323"/>
      <c r="N114" s="323" t="s">
        <v>87</v>
      </c>
      <c r="O114" s="323" t="s">
        <v>93</v>
      </c>
      <c r="P114" s="323"/>
      <c r="Q114" s="323"/>
      <c r="R114" s="323"/>
      <c r="S114" s="323"/>
      <c r="T114" s="323" t="s">
        <v>29</v>
      </c>
      <c r="U114" s="323" t="s">
        <v>570</v>
      </c>
      <c r="V114" s="323" t="s">
        <v>571</v>
      </c>
      <c r="W114" s="323" t="s">
        <v>1977</v>
      </c>
      <c r="X114" s="259">
        <v>40947</v>
      </c>
      <c r="Y114" s="259"/>
      <c r="Z114" s="323" t="s">
        <v>572</v>
      </c>
      <c r="AA114" s="260"/>
      <c r="AB114" s="261">
        <v>40947</v>
      </c>
      <c r="AC114" s="323" t="s">
        <v>1761</v>
      </c>
      <c r="AE114" s="283">
        <f ca="1">$AE$1-Table4[[#This Row],[Date Captured]]</f>
        <v>371</v>
      </c>
      <c r="AF114" s="58" t="b">
        <f>IFERROR(OR(Table4[[#This Row],[Status]]="02. Open &amp; Assigned",Table4[[#This Row],[Status]]="01. Open",Table4[[#This Row],[Status]]="03. Action/Mitigation Plan Defined",Table4[[#This Row],[Status]]="04. Action Plan Completed",Table4[[#This Row],[Status]]="08. Blank"),"")</f>
        <v>0</v>
      </c>
      <c r="AG114" s="58" t="str">
        <f>IF(Table4[[#This Row],[Required Risk Resolution Date]]="","FALSE",IF($AE$1&gt;Table4[[#This Row],[Required Risk Resolution Date]],TRUE,FALSE))</f>
        <v>FALSE</v>
      </c>
      <c r="AH114" s="58" t="b">
        <f t="shared" ca="1" si="4"/>
        <v>0</v>
      </c>
      <c r="AI114" s="58" t="b">
        <f t="shared" ca="1" si="5"/>
        <v>0</v>
      </c>
      <c r="AJ114" s="58" t="b">
        <f t="shared" ca="1" si="6"/>
        <v>1</v>
      </c>
      <c r="AK114" s="58" t="b">
        <f>OR(Table4[[#This Row],[Priority]]="Critical",Table4[[#This Row],[Priority]]="High")</f>
        <v>1</v>
      </c>
      <c r="AL114" s="283">
        <f ca="1">Table4[[#This Row],[Required Risk Resolution Date]]-$AE$1</f>
        <v>-40990</v>
      </c>
      <c r="AM114" s="58" t="b">
        <f t="shared" ca="1" si="7"/>
        <v>0</v>
      </c>
      <c r="AN114" s="59" t="b">
        <f>OR(Table4[[#This Row],[Priority]]="Critical",Table4[[#This Row],[Priority]]="High",Table4[[#This Row],[Priority]]="Moderate")</f>
        <v>1</v>
      </c>
    </row>
    <row r="115" spans="1:40" ht="84" customHeight="1">
      <c r="A115" s="60" t="s">
        <v>2362</v>
      </c>
      <c r="B115" s="61">
        <v>40973</v>
      </c>
      <c r="C115" s="60" t="s">
        <v>261</v>
      </c>
      <c r="D115" s="60" t="s">
        <v>1566</v>
      </c>
      <c r="E115" s="323" t="s">
        <v>2502</v>
      </c>
      <c r="F115" s="323" t="s">
        <v>2398</v>
      </c>
      <c r="G115" s="323" t="s">
        <v>2476</v>
      </c>
      <c r="H115" s="323" t="s">
        <v>150</v>
      </c>
      <c r="I115" s="323"/>
      <c r="J115" s="323" t="s">
        <v>261</v>
      </c>
      <c r="K115" s="323" t="s">
        <v>2477</v>
      </c>
      <c r="L115" s="323" t="s">
        <v>129</v>
      </c>
      <c r="M115" s="323" t="s">
        <v>1489</v>
      </c>
      <c r="N115" s="323" t="s">
        <v>83</v>
      </c>
      <c r="O115" s="323" t="s">
        <v>167</v>
      </c>
      <c r="P115" s="323" t="s">
        <v>167</v>
      </c>
      <c r="Q115" s="323" t="s">
        <v>167</v>
      </c>
      <c r="R115" s="323" t="s">
        <v>167</v>
      </c>
      <c r="S115" s="323"/>
      <c r="T115" s="323" t="s">
        <v>1569</v>
      </c>
      <c r="U115" s="323"/>
      <c r="V115" s="323"/>
      <c r="W115" s="323" t="s">
        <v>2959</v>
      </c>
      <c r="X115" s="218">
        <v>41014</v>
      </c>
      <c r="Y115" s="323"/>
      <c r="Z115" s="6"/>
      <c r="AA115" s="162"/>
      <c r="AB115" s="323"/>
      <c r="AC115" s="6"/>
      <c r="AE115" s="283">
        <f ca="1">$AE$1-Table4[[#This Row],[Date Captured]]</f>
        <v>17</v>
      </c>
      <c r="AF115" s="58" t="b">
        <f>IFERROR(OR(Table4[[#This Row],[Status]]="02. Open &amp; Assigned",Table4[[#This Row],[Status]]="01. Open",Table4[[#This Row],[Status]]="03. Action/Mitigation Plan Defined",Table4[[#This Row],[Status]]="04. Action Plan Completed",Table4[[#This Row],[Status]]="08. Blank"),"")</f>
        <v>1</v>
      </c>
      <c r="AG115" s="58" t="str">
        <f>IF(Table4[[#This Row],[Required Risk Resolution Date]]="","FALSE",IF($AE$1&gt;Table4[[#This Row],[Required Risk Resolution Date]],TRUE,FALSE))</f>
        <v>FALSE</v>
      </c>
      <c r="AH115" s="58" t="b">
        <f t="shared" ca="1" si="4"/>
        <v>0</v>
      </c>
      <c r="AI115" s="58" t="b">
        <f t="shared" ca="1" si="5"/>
        <v>0</v>
      </c>
      <c r="AJ115" s="58" t="b">
        <f t="shared" ca="1" si="6"/>
        <v>0</v>
      </c>
      <c r="AK115" s="58" t="b">
        <f>OR(Table4[[#This Row],[Priority]]="Critical",Table4[[#This Row],[Priority]]="High")</f>
        <v>0</v>
      </c>
      <c r="AL115" s="283">
        <f ca="1">Table4[[#This Row],[Required Risk Resolution Date]]-$AE$1</f>
        <v>-40990</v>
      </c>
      <c r="AM115" s="58" t="b">
        <f t="shared" ca="1" si="7"/>
        <v>0</v>
      </c>
      <c r="AN115" s="59" t="b">
        <f>OR(Table4[[#This Row],[Priority]]="Critical",Table4[[#This Row],[Priority]]="High",Table4[[#This Row],[Priority]]="Moderate")</f>
        <v>1</v>
      </c>
    </row>
    <row r="116" spans="1:40" ht="121.5" hidden="1">
      <c r="A116" s="60" t="s">
        <v>565</v>
      </c>
      <c r="B116" s="61">
        <v>40933</v>
      </c>
      <c r="C116" s="60" t="s">
        <v>1770</v>
      </c>
      <c r="D116" s="60" t="s">
        <v>492</v>
      </c>
      <c r="E116" s="323"/>
      <c r="F116" s="129" t="s">
        <v>1754</v>
      </c>
      <c r="G116" s="323"/>
      <c r="H116" s="323" t="s">
        <v>311</v>
      </c>
      <c r="I116" s="323"/>
      <c r="J116" s="323" t="s">
        <v>1679</v>
      </c>
      <c r="K116" s="323" t="s">
        <v>1768</v>
      </c>
      <c r="L116" s="323" t="s">
        <v>127</v>
      </c>
      <c r="M116" s="323"/>
      <c r="N116" s="323" t="s">
        <v>83</v>
      </c>
      <c r="O116" s="323" t="s">
        <v>91</v>
      </c>
      <c r="P116" s="323" t="s">
        <v>93</v>
      </c>
      <c r="Q116" s="323" t="s">
        <v>93</v>
      </c>
      <c r="R116" s="323" t="s">
        <v>93</v>
      </c>
      <c r="S116" s="323"/>
      <c r="T116" s="323"/>
      <c r="U116" s="323"/>
      <c r="V116" s="323" t="s">
        <v>1769</v>
      </c>
      <c r="W116" s="323" t="s">
        <v>1980</v>
      </c>
      <c r="X116" s="55">
        <v>40940</v>
      </c>
      <c r="Y116" s="323" t="s">
        <v>1574</v>
      </c>
      <c r="Z116" s="323" t="s">
        <v>1979</v>
      </c>
      <c r="AA116" s="162"/>
      <c r="AB116" s="55">
        <v>40947</v>
      </c>
      <c r="AC116" s="6" t="s">
        <v>1762</v>
      </c>
      <c r="AE116" s="283">
        <f ca="1">$AE$1-Table4[[#This Row],[Date Captured]]</f>
        <v>57</v>
      </c>
      <c r="AF116" s="58" t="b">
        <f>IFERROR(OR(Table4[[#This Row],[Status]]="02. Open &amp; Assigned",Table4[[#This Row],[Status]]="01. Open",Table4[[#This Row],[Status]]="03. Action/Mitigation Plan Defined",Table4[[#This Row],[Status]]="04. Action Plan Completed",Table4[[#This Row],[Status]]="08. Blank"),"")</f>
        <v>0</v>
      </c>
      <c r="AG116" s="58" t="str">
        <f>IF(Table4[[#This Row],[Required Risk Resolution Date]]="","FALSE",IF($AE$1&gt;Table4[[#This Row],[Required Risk Resolution Date]],TRUE,FALSE))</f>
        <v>FALSE</v>
      </c>
      <c r="AH116" s="58" t="b">
        <f t="shared" ca="1" si="4"/>
        <v>1</v>
      </c>
      <c r="AI116" s="58" t="b">
        <f t="shared" ca="1" si="5"/>
        <v>0</v>
      </c>
      <c r="AJ116" s="58" t="b">
        <f t="shared" ca="1" si="6"/>
        <v>0</v>
      </c>
      <c r="AK116" s="58" t="b">
        <f>OR(Table4[[#This Row],[Priority]]="Critical",Table4[[#This Row],[Priority]]="High")</f>
        <v>1</v>
      </c>
      <c r="AL116" s="283">
        <f ca="1">Table4[[#This Row],[Required Risk Resolution Date]]-$AE$1</f>
        <v>-40990</v>
      </c>
      <c r="AM116" s="58" t="b">
        <f t="shared" ca="1" si="7"/>
        <v>0</v>
      </c>
      <c r="AN116" s="59" t="b">
        <f>OR(Table4[[#This Row],[Priority]]="Critical",Table4[[#This Row],[Priority]]="High",Table4[[#This Row],[Priority]]="Moderate")</f>
        <v>1</v>
      </c>
    </row>
    <row r="117" spans="1:40" ht="229.5" hidden="1">
      <c r="A117" s="60" t="s">
        <v>573</v>
      </c>
      <c r="B117" s="61">
        <v>40933</v>
      </c>
      <c r="C117" s="60" t="s">
        <v>818</v>
      </c>
      <c r="D117" s="60" t="s">
        <v>171</v>
      </c>
      <c r="E117" s="323" t="s">
        <v>1954</v>
      </c>
      <c r="F117" s="323" t="s">
        <v>1771</v>
      </c>
      <c r="G117" s="323" t="s">
        <v>1955</v>
      </c>
      <c r="H117" s="323" t="s">
        <v>311</v>
      </c>
      <c r="I117" s="323"/>
      <c r="J117" s="323" t="s">
        <v>1679</v>
      </c>
      <c r="K117" s="323" t="s">
        <v>186</v>
      </c>
      <c r="L117" s="323" t="s">
        <v>127</v>
      </c>
      <c r="M117" s="323" t="s">
        <v>1579</v>
      </c>
      <c r="N117" s="323" t="s">
        <v>83</v>
      </c>
      <c r="O117" s="323" t="s">
        <v>94</v>
      </c>
      <c r="P117" s="323" t="s">
        <v>94</v>
      </c>
      <c r="Q117" s="323" t="s">
        <v>94</v>
      </c>
      <c r="R117" s="323" t="s">
        <v>94</v>
      </c>
      <c r="S117" s="323" t="s">
        <v>1956</v>
      </c>
      <c r="T117" s="323" t="s">
        <v>29</v>
      </c>
      <c r="U117" s="323" t="s">
        <v>1957</v>
      </c>
      <c r="V117" s="323" t="s">
        <v>1958</v>
      </c>
      <c r="W117" s="323" t="s">
        <v>2430</v>
      </c>
      <c r="X117" s="55">
        <v>40975</v>
      </c>
      <c r="Y117" s="323" t="s">
        <v>1565</v>
      </c>
      <c r="Z117" s="323" t="s">
        <v>2431</v>
      </c>
      <c r="AA117" s="162">
        <v>40989</v>
      </c>
      <c r="AB117" s="55">
        <v>40973</v>
      </c>
      <c r="AC117" s="6"/>
      <c r="AE117" s="283">
        <f ca="1">$AE$1-Table4[[#This Row],[Date Captured]]</f>
        <v>57</v>
      </c>
      <c r="AF117" s="58" t="b">
        <f>IFERROR(OR(Table4[[#This Row],[Status]]="02. Open &amp; Assigned",Table4[[#This Row],[Status]]="01. Open",Table4[[#This Row],[Status]]="03. Action/Mitigation Plan Defined",Table4[[#This Row],[Status]]="04. Action Plan Completed",Table4[[#This Row],[Status]]="08. Blank"),"")</f>
        <v>0</v>
      </c>
      <c r="AG117" s="58" t="b">
        <f ca="1">IF(Table4[[#This Row],[Required Risk Resolution Date]]="","FALSE",IF($AE$1&gt;Table4[[#This Row],[Required Risk Resolution Date]],TRUE,FALSE))</f>
        <v>1</v>
      </c>
      <c r="AH117" s="58" t="b">
        <f t="shared" ca="1" si="4"/>
        <v>1</v>
      </c>
      <c r="AI117" s="58" t="b">
        <f t="shared" ca="1" si="5"/>
        <v>0</v>
      </c>
      <c r="AJ117" s="58" t="b">
        <f t="shared" ca="1" si="6"/>
        <v>0</v>
      </c>
      <c r="AK117" s="58" t="b">
        <f>OR(Table4[[#This Row],[Priority]]="Critical",Table4[[#This Row],[Priority]]="High")</f>
        <v>1</v>
      </c>
      <c r="AL117" s="283">
        <f ca="1">Table4[[#This Row],[Required Risk Resolution Date]]-$AE$1</f>
        <v>-1</v>
      </c>
      <c r="AM117" s="58" t="b">
        <f t="shared" ca="1" si="7"/>
        <v>0</v>
      </c>
      <c r="AN117" s="59" t="b">
        <f>OR(Table4[[#This Row],[Priority]]="Critical",Table4[[#This Row],[Priority]]="High",Table4[[#This Row],[Priority]]="Moderate")</f>
        <v>1</v>
      </c>
    </row>
    <row r="118" spans="1:40" ht="231" hidden="1" customHeight="1">
      <c r="A118" s="60" t="s">
        <v>574</v>
      </c>
      <c r="B118" s="61">
        <v>40933</v>
      </c>
      <c r="C118" s="60" t="s">
        <v>1562</v>
      </c>
      <c r="D118" s="60" t="s">
        <v>171</v>
      </c>
      <c r="E118" s="323" t="s">
        <v>1981</v>
      </c>
      <c r="F118" s="129" t="s">
        <v>1997</v>
      </c>
      <c r="G118" s="323" t="s">
        <v>1860</v>
      </c>
      <c r="H118" s="323" t="s">
        <v>311</v>
      </c>
      <c r="I118" s="323"/>
      <c r="J118" s="323" t="s">
        <v>1562</v>
      </c>
      <c r="K118" s="323" t="s">
        <v>1996</v>
      </c>
      <c r="L118" s="323" t="s">
        <v>128</v>
      </c>
      <c r="M118" s="323" t="s">
        <v>1579</v>
      </c>
      <c r="N118" s="323" t="s">
        <v>85</v>
      </c>
      <c r="O118" s="323" t="s">
        <v>93</v>
      </c>
      <c r="P118" s="323" t="s">
        <v>109</v>
      </c>
      <c r="Q118" s="323" t="s">
        <v>109</v>
      </c>
      <c r="R118" s="323" t="s">
        <v>109</v>
      </c>
      <c r="S118" s="323" t="s">
        <v>321</v>
      </c>
      <c r="T118" s="323" t="s">
        <v>1569</v>
      </c>
      <c r="U118" s="323" t="s">
        <v>321</v>
      </c>
      <c r="V118" s="323" t="s">
        <v>1959</v>
      </c>
      <c r="W118" s="323" t="s">
        <v>2596</v>
      </c>
      <c r="X118" s="55">
        <v>40976</v>
      </c>
      <c r="Y118" s="323" t="s">
        <v>1565</v>
      </c>
      <c r="Z118" s="323" t="s">
        <v>2597</v>
      </c>
      <c r="AA118" s="162"/>
      <c r="AB118" s="55">
        <v>40974</v>
      </c>
      <c r="AC118" s="323"/>
      <c r="AE118" s="283">
        <f ca="1">$AE$1-Table4[[#This Row],[Date Captured]]</f>
        <v>57</v>
      </c>
      <c r="AF118" s="58" t="b">
        <f>IFERROR(OR(Table4[[#This Row],[Status]]="02. Open &amp; Assigned",Table4[[#This Row],[Status]]="01. Open",Table4[[#This Row],[Status]]="03. Action/Mitigation Plan Defined",Table4[[#This Row],[Status]]="04. Action Plan Completed",Table4[[#This Row],[Status]]="08. Blank"),"")</f>
        <v>0</v>
      </c>
      <c r="AG118" s="58" t="str">
        <f>IF(Table4[[#This Row],[Required Risk Resolution Date]]="","FALSE",IF($AE$1&gt;Table4[[#This Row],[Required Risk Resolution Date]],TRUE,FALSE))</f>
        <v>FALSE</v>
      </c>
      <c r="AH118" s="58" t="b">
        <f t="shared" ca="1" si="4"/>
        <v>1</v>
      </c>
      <c r="AI118" s="58" t="b">
        <f t="shared" ca="1" si="5"/>
        <v>0</v>
      </c>
      <c r="AJ118" s="58" t="b">
        <f t="shared" ca="1" si="6"/>
        <v>0</v>
      </c>
      <c r="AK118" s="58" t="b">
        <f>OR(Table4[[#This Row],[Priority]]="Critical",Table4[[#This Row],[Priority]]="High")</f>
        <v>1</v>
      </c>
      <c r="AL118" s="283">
        <f ca="1">Table4[[#This Row],[Required Risk Resolution Date]]-$AE$1</f>
        <v>-40990</v>
      </c>
      <c r="AM118" s="58" t="b">
        <f t="shared" ca="1" si="7"/>
        <v>0</v>
      </c>
      <c r="AN118" s="59" t="b">
        <f>OR(Table4[[#This Row],[Priority]]="Critical",Table4[[#This Row],[Priority]]="High",Table4[[#This Row],[Priority]]="Moderate")</f>
        <v>1</v>
      </c>
    </row>
    <row r="119" spans="1:40" ht="192" hidden="1">
      <c r="A119" s="60" t="s">
        <v>170</v>
      </c>
      <c r="B119" s="61">
        <v>40639</v>
      </c>
      <c r="C119" s="60"/>
      <c r="D119" s="60" t="s">
        <v>171</v>
      </c>
      <c r="E119" s="7"/>
      <c r="F119" s="56" t="s">
        <v>172</v>
      </c>
      <c r="G119" s="7"/>
      <c r="H119" s="7" t="s">
        <v>154</v>
      </c>
      <c r="I119" s="7"/>
      <c r="J119" s="7" t="s">
        <v>173</v>
      </c>
      <c r="K119" s="7" t="s">
        <v>173</v>
      </c>
      <c r="L119" s="323"/>
      <c r="M119" s="323"/>
      <c r="N119" s="7" t="s">
        <v>83</v>
      </c>
      <c r="O119" s="7" t="s">
        <v>93</v>
      </c>
      <c r="P119" s="7"/>
      <c r="Q119" s="7"/>
      <c r="R119" s="7"/>
      <c r="S119" s="7"/>
      <c r="T119" s="7" t="s">
        <v>29</v>
      </c>
      <c r="U119" s="56" t="s">
        <v>174</v>
      </c>
      <c r="V119" s="56" t="s">
        <v>175</v>
      </c>
      <c r="W119" s="56" t="s">
        <v>176</v>
      </c>
      <c r="X119" s="7"/>
      <c r="Y119" s="7"/>
      <c r="Z119" s="56" t="s">
        <v>177</v>
      </c>
      <c r="AA119" s="323"/>
      <c r="AB119" s="55">
        <v>40660</v>
      </c>
      <c r="AC119" s="6" t="s">
        <v>35</v>
      </c>
      <c r="AE119" s="283">
        <f ca="1">$AE$1-Table4[[#This Row],[Date Captured]]</f>
        <v>351</v>
      </c>
      <c r="AF119" s="58" t="b">
        <f>IFERROR(OR(Table4[[#This Row],[Status]]="02. Open &amp; Assigned",Table4[[#This Row],[Status]]="01. Open",Table4[[#This Row],[Status]]="03. Action/Mitigation Plan Defined",Table4[[#This Row],[Status]]="04. Action Plan Completed",Table4[[#This Row],[Status]]="08. Blank"),"")</f>
        <v>0</v>
      </c>
      <c r="AG119" s="58" t="str">
        <f>IF(Table4[[#This Row],[Required Risk Resolution Date]]="","FALSE",IF($AE$1&gt;Table4[[#This Row],[Required Risk Resolution Date]],TRUE,FALSE))</f>
        <v>FALSE</v>
      </c>
      <c r="AH119" s="58" t="b">
        <f t="shared" ca="1" si="4"/>
        <v>0</v>
      </c>
      <c r="AI119" s="58" t="b">
        <f t="shared" ca="1" si="5"/>
        <v>0</v>
      </c>
      <c r="AJ119" s="58" t="b">
        <f t="shared" ca="1" si="6"/>
        <v>1</v>
      </c>
      <c r="AK119" s="58" t="b">
        <f>OR(Table4[[#This Row],[Priority]]="Critical",Table4[[#This Row],[Priority]]="High")</f>
        <v>0</v>
      </c>
      <c r="AL119" s="283">
        <f ca="1">Table4[[#This Row],[Required Risk Resolution Date]]-$AE$1</f>
        <v>-40990</v>
      </c>
      <c r="AM119" s="58" t="b">
        <f t="shared" ca="1" si="7"/>
        <v>0</v>
      </c>
      <c r="AN119" s="59" t="b">
        <f>OR(Table4[[#This Row],[Priority]]="Critical",Table4[[#This Row],[Priority]]="High",Table4[[#This Row],[Priority]]="Moderate")</f>
        <v>0</v>
      </c>
    </row>
    <row r="120" spans="1:40" ht="81">
      <c r="A120" s="60" t="s">
        <v>2365</v>
      </c>
      <c r="B120" s="61">
        <v>40973</v>
      </c>
      <c r="C120" s="60" t="s">
        <v>261</v>
      </c>
      <c r="D120" s="60" t="s">
        <v>1566</v>
      </c>
      <c r="E120" s="323" t="s">
        <v>2497</v>
      </c>
      <c r="F120" s="323" t="s">
        <v>2401</v>
      </c>
      <c r="G120" s="323" t="s">
        <v>2498</v>
      </c>
      <c r="H120" s="323" t="s">
        <v>150</v>
      </c>
      <c r="I120" s="323"/>
      <c r="J120" s="323" t="s">
        <v>764</v>
      </c>
      <c r="K120" s="323" t="s">
        <v>2481</v>
      </c>
      <c r="L120" s="323" t="s">
        <v>129</v>
      </c>
      <c r="M120" s="323" t="s">
        <v>1493</v>
      </c>
      <c r="N120" s="323" t="s">
        <v>83</v>
      </c>
      <c r="O120" s="323" t="s">
        <v>93</v>
      </c>
      <c r="P120" s="323" t="s">
        <v>93</v>
      </c>
      <c r="Q120" s="323" t="s">
        <v>93</v>
      </c>
      <c r="R120" s="323" t="s">
        <v>93</v>
      </c>
      <c r="S120" s="323" t="s">
        <v>2482</v>
      </c>
      <c r="T120" s="323" t="s">
        <v>1569</v>
      </c>
      <c r="U120" s="323"/>
      <c r="V120" s="323"/>
      <c r="W120" s="323" t="s">
        <v>2958</v>
      </c>
      <c r="X120" s="218">
        <v>41000</v>
      </c>
      <c r="Y120" s="323" t="s">
        <v>1564</v>
      </c>
      <c r="Z120" s="323"/>
      <c r="AA120" s="162">
        <v>40998</v>
      </c>
      <c r="AB120" s="323"/>
      <c r="AC120" s="6"/>
      <c r="AE120" s="283">
        <f ca="1">$AE$1-Table4[[#This Row],[Date Captured]]</f>
        <v>17</v>
      </c>
      <c r="AF120" s="58" t="b">
        <f>IFERROR(OR(Table4[[#This Row],[Status]]="02. Open &amp; Assigned",Table4[[#This Row],[Status]]="01. Open",Table4[[#This Row],[Status]]="03. Action/Mitigation Plan Defined",Table4[[#This Row],[Status]]="04. Action Plan Completed",Table4[[#This Row],[Status]]="08. Blank"),"")</f>
        <v>1</v>
      </c>
      <c r="AG120" s="58" t="b">
        <f ca="1">IF(Table4[[#This Row],[Required Risk Resolution Date]]="","FALSE",IF($AE$1&gt;Table4[[#This Row],[Required Risk Resolution Date]],TRUE,FALSE))</f>
        <v>0</v>
      </c>
      <c r="AH120" s="58" t="b">
        <f t="shared" ca="1" si="4"/>
        <v>0</v>
      </c>
      <c r="AI120" s="58" t="b">
        <f t="shared" ca="1" si="5"/>
        <v>0</v>
      </c>
      <c r="AJ120" s="58" t="b">
        <f t="shared" ca="1" si="6"/>
        <v>0</v>
      </c>
      <c r="AK120" s="58" t="b">
        <f>OR(Table4[[#This Row],[Priority]]="Critical",Table4[[#This Row],[Priority]]="High")</f>
        <v>0</v>
      </c>
      <c r="AL120" s="283">
        <f ca="1">Table4[[#This Row],[Required Risk Resolution Date]]-$AE$1</f>
        <v>8</v>
      </c>
      <c r="AM120" s="58" t="b">
        <f t="shared" ca="1" si="7"/>
        <v>0</v>
      </c>
      <c r="AN120" s="59" t="b">
        <f>OR(Table4[[#This Row],[Priority]]="Critical",Table4[[#This Row],[Priority]]="High",Table4[[#This Row],[Priority]]="Moderate")</f>
        <v>1</v>
      </c>
    </row>
    <row r="121" spans="1:40" ht="108">
      <c r="A121" s="60" t="s">
        <v>2968</v>
      </c>
      <c r="B121" s="61">
        <v>40983</v>
      </c>
      <c r="C121" s="60" t="s">
        <v>561</v>
      </c>
      <c r="D121" s="60" t="s">
        <v>1566</v>
      </c>
      <c r="E121" s="323" t="s">
        <v>2995</v>
      </c>
      <c r="F121" s="323" t="s">
        <v>2996</v>
      </c>
      <c r="G121" s="323" t="s">
        <v>2997</v>
      </c>
      <c r="H121" s="323" t="s">
        <v>150</v>
      </c>
      <c r="I121" s="323" t="s">
        <v>2998</v>
      </c>
      <c r="J121" s="323" t="s">
        <v>261</v>
      </c>
      <c r="K121" s="323" t="s">
        <v>1857</v>
      </c>
      <c r="L121" s="6" t="s">
        <v>129</v>
      </c>
      <c r="M121" s="6" t="s">
        <v>1489</v>
      </c>
      <c r="N121" s="6" t="s">
        <v>81</v>
      </c>
      <c r="O121" s="6" t="s">
        <v>91</v>
      </c>
      <c r="P121" s="6" t="s">
        <v>93</v>
      </c>
      <c r="Q121" s="6" t="s">
        <v>167</v>
      </c>
      <c r="R121" s="6" t="s">
        <v>91</v>
      </c>
      <c r="S121" s="6" t="s">
        <v>2999</v>
      </c>
      <c r="T121" s="323" t="s">
        <v>29</v>
      </c>
      <c r="U121" s="323"/>
      <c r="V121" s="323" t="s">
        <v>3000</v>
      </c>
      <c r="W121" s="323" t="s">
        <v>3001</v>
      </c>
      <c r="X121" s="323"/>
      <c r="Y121" s="323" t="s">
        <v>1565</v>
      </c>
      <c r="Z121" s="323"/>
      <c r="AA121" s="162"/>
      <c r="AB121" s="323"/>
      <c r="AC121" s="6"/>
      <c r="AE121" s="283">
        <f ca="1">$AE$1-Table4[[#This Row],[Date Captured]]</f>
        <v>7</v>
      </c>
      <c r="AF121" s="58" t="b">
        <f>IFERROR(OR(Table4[[#This Row],[Status]]="02. Open &amp; Assigned",Table4[[#This Row],[Status]]="01. Open",Table4[[#This Row],[Status]]="03. Action/Mitigation Plan Defined",Table4[[#This Row],[Status]]="04. Action Plan Completed",Table4[[#This Row],[Status]]="08. Blank"),"")</f>
        <v>1</v>
      </c>
      <c r="AG121" s="58" t="str">
        <f>IF(Table4[[#This Row],[Required Risk Resolution Date]]="","FALSE",IF($AE$1&gt;Table4[[#This Row],[Required Risk Resolution Date]],TRUE,FALSE))</f>
        <v>FALSE</v>
      </c>
      <c r="AH121" s="58" t="b">
        <f t="shared" ca="1" si="4"/>
        <v>0</v>
      </c>
      <c r="AI121" s="58" t="b">
        <f t="shared" ca="1" si="5"/>
        <v>0</v>
      </c>
      <c r="AJ121" s="58" t="b">
        <f t="shared" ca="1" si="6"/>
        <v>0</v>
      </c>
      <c r="AK121" s="58" t="b">
        <f>OR(Table4[[#This Row],[Priority]]="Critical",Table4[[#This Row],[Priority]]="High")</f>
        <v>0</v>
      </c>
      <c r="AL121" s="283">
        <f ca="1">Table4[[#This Row],[Required Risk Resolution Date]]-$AE$1</f>
        <v>-40990</v>
      </c>
      <c r="AM121" s="58" t="b">
        <f t="shared" ca="1" si="7"/>
        <v>0</v>
      </c>
      <c r="AN121" s="59" t="b">
        <f>OR(Table4[[#This Row],[Priority]]="Critical",Table4[[#This Row],[Priority]]="High",Table4[[#This Row],[Priority]]="Moderate")</f>
        <v>1</v>
      </c>
    </row>
    <row r="122" spans="1:40" ht="378">
      <c r="A122" s="60" t="s">
        <v>580</v>
      </c>
      <c r="B122" s="273">
        <v>40942</v>
      </c>
      <c r="C122" s="60" t="s">
        <v>1901</v>
      </c>
      <c r="D122" s="60" t="s">
        <v>2433</v>
      </c>
      <c r="E122" s="323" t="s">
        <v>1913</v>
      </c>
      <c r="F122" s="276" t="s">
        <v>1900</v>
      </c>
      <c r="G122" s="323" t="s">
        <v>1916</v>
      </c>
      <c r="H122" s="323" t="s">
        <v>311</v>
      </c>
      <c r="I122" s="323"/>
      <c r="J122" s="323" t="s">
        <v>166</v>
      </c>
      <c r="K122" s="323" t="s">
        <v>2134</v>
      </c>
      <c r="L122" s="323" t="s">
        <v>128</v>
      </c>
      <c r="M122" s="323" t="s">
        <v>1579</v>
      </c>
      <c r="N122" s="323" t="s">
        <v>81</v>
      </c>
      <c r="O122" s="323" t="s">
        <v>93</v>
      </c>
      <c r="P122" s="323" t="s">
        <v>93</v>
      </c>
      <c r="Q122" s="323" t="s">
        <v>93</v>
      </c>
      <c r="R122" s="323" t="s">
        <v>93</v>
      </c>
      <c r="S122" s="323" t="s">
        <v>1917</v>
      </c>
      <c r="T122" s="323" t="s">
        <v>29</v>
      </c>
      <c r="U122" s="323" t="s">
        <v>180</v>
      </c>
      <c r="V122" s="323" t="s">
        <v>2432</v>
      </c>
      <c r="W122" s="323" t="s">
        <v>2439</v>
      </c>
      <c r="X122" s="162">
        <v>41024</v>
      </c>
      <c r="Y122" s="323" t="s">
        <v>1564</v>
      </c>
      <c r="Z122" s="162">
        <v>41034</v>
      </c>
      <c r="AA122" s="162">
        <v>41034</v>
      </c>
      <c r="AB122" s="323"/>
      <c r="AC122" s="6"/>
      <c r="AE122" s="283">
        <f ca="1">$AE$1-Table4[[#This Row],[Date Captured]]</f>
        <v>48</v>
      </c>
      <c r="AF122" s="58" t="b">
        <f>IFERROR(OR(Table4[[#This Row],[Status]]="02. Open &amp; Assigned",Table4[[#This Row],[Status]]="01. Open",Table4[[#This Row],[Status]]="03. Action/Mitigation Plan Defined",Table4[[#This Row],[Status]]="04. Action Plan Completed",Table4[[#This Row],[Status]]="08. Blank"),"")</f>
        <v>1</v>
      </c>
      <c r="AG122" s="58" t="b">
        <f ca="1">IF(Table4[[#This Row],[Required Risk Resolution Date]]="","FALSE",IF($AE$1&gt;Table4[[#This Row],[Required Risk Resolution Date]],TRUE,FALSE))</f>
        <v>0</v>
      </c>
      <c r="AH122" s="58" t="b">
        <f t="shared" ca="1" si="4"/>
        <v>1</v>
      </c>
      <c r="AI122" s="58" t="b">
        <f t="shared" ca="1" si="5"/>
        <v>0</v>
      </c>
      <c r="AJ122" s="58" t="b">
        <f t="shared" ca="1" si="6"/>
        <v>0</v>
      </c>
      <c r="AK122" s="58" t="b">
        <f>OR(Table4[[#This Row],[Priority]]="Critical",Table4[[#This Row],[Priority]]="High")</f>
        <v>1</v>
      </c>
      <c r="AL122" s="283">
        <f ca="1">Table4[[#This Row],[Required Risk Resolution Date]]-$AE$1</f>
        <v>44</v>
      </c>
      <c r="AM122" s="58" t="b">
        <f t="shared" ca="1" si="7"/>
        <v>0</v>
      </c>
      <c r="AN122" s="59" t="b">
        <f>OR(Table4[[#This Row],[Priority]]="Critical",Table4[[#This Row],[Priority]]="High",Table4[[#This Row],[Priority]]="Moderate")</f>
        <v>1</v>
      </c>
    </row>
    <row r="123" spans="1:40" ht="135" hidden="1">
      <c r="A123" s="60" t="s">
        <v>184</v>
      </c>
      <c r="B123" s="61">
        <v>40655</v>
      </c>
      <c r="C123" s="60" t="s">
        <v>1570</v>
      </c>
      <c r="D123" s="60" t="s">
        <v>492</v>
      </c>
      <c r="E123" s="7"/>
      <c r="F123" s="323" t="s">
        <v>185</v>
      </c>
      <c r="G123" s="7"/>
      <c r="H123" s="7" t="s">
        <v>311</v>
      </c>
      <c r="I123" s="7"/>
      <c r="J123" s="7" t="s">
        <v>186</v>
      </c>
      <c r="K123" s="7" t="s">
        <v>2434</v>
      </c>
      <c r="L123" s="323" t="s">
        <v>129</v>
      </c>
      <c r="M123" s="323"/>
      <c r="N123" s="7" t="s">
        <v>81</v>
      </c>
      <c r="O123" s="7" t="s">
        <v>167</v>
      </c>
      <c r="P123" s="7"/>
      <c r="Q123" s="7"/>
      <c r="R123" s="7"/>
      <c r="S123" s="7"/>
      <c r="T123" s="7" t="s">
        <v>29</v>
      </c>
      <c r="U123" s="7" t="s">
        <v>180</v>
      </c>
      <c r="V123" s="323" t="s">
        <v>187</v>
      </c>
      <c r="W123" s="323" t="s">
        <v>2440</v>
      </c>
      <c r="X123" s="57">
        <v>41010</v>
      </c>
      <c r="Y123" s="7"/>
      <c r="Z123" s="7" t="s">
        <v>3002</v>
      </c>
      <c r="AA123" s="162">
        <v>41017</v>
      </c>
      <c r="AB123" s="55">
        <v>40987</v>
      </c>
      <c r="AC123" s="323" t="s">
        <v>1758</v>
      </c>
      <c r="AE123" s="283">
        <f ca="1">$AE$1-Table4[[#This Row],[Date Captured]]</f>
        <v>335</v>
      </c>
      <c r="AF123" s="58" t="b">
        <f>IFERROR(OR(Table4[[#This Row],[Status]]="02. Open &amp; Assigned",Table4[[#This Row],[Status]]="01. Open",Table4[[#This Row],[Status]]="03. Action/Mitigation Plan Defined",Table4[[#This Row],[Status]]="04. Action Plan Completed",Table4[[#This Row],[Status]]="08. Blank"),"")</f>
        <v>0</v>
      </c>
      <c r="AG123" s="58" t="b">
        <f ca="1">IF(Table4[[#This Row],[Required Risk Resolution Date]]="","FALSE",IF($AE$1&gt;Table4[[#This Row],[Required Risk Resolution Date]],TRUE,FALSE))</f>
        <v>0</v>
      </c>
      <c r="AH123" s="58" t="b">
        <f t="shared" ca="1" si="4"/>
        <v>0</v>
      </c>
      <c r="AI123" s="58" t="b">
        <f t="shared" ca="1" si="5"/>
        <v>0</v>
      </c>
      <c r="AJ123" s="58" t="b">
        <f t="shared" ca="1" si="6"/>
        <v>1</v>
      </c>
      <c r="AK123" s="58" t="b">
        <f>OR(Table4[[#This Row],[Priority]]="Critical",Table4[[#This Row],[Priority]]="High")</f>
        <v>0</v>
      </c>
      <c r="AL123" s="283">
        <f ca="1">Table4[[#This Row],[Required Risk Resolution Date]]-$AE$1</f>
        <v>27</v>
      </c>
      <c r="AM123" s="58" t="b">
        <f t="shared" ca="1" si="7"/>
        <v>0</v>
      </c>
      <c r="AN123" s="59" t="b">
        <f>OR(Table4[[#This Row],[Priority]]="Critical",Table4[[#This Row],[Priority]]="High",Table4[[#This Row],[Priority]]="Moderate")</f>
        <v>1</v>
      </c>
    </row>
    <row r="124" spans="1:40" ht="337.5">
      <c r="A124" s="60" t="s">
        <v>581</v>
      </c>
      <c r="B124" s="61">
        <v>40942</v>
      </c>
      <c r="C124" s="60" t="s">
        <v>1901</v>
      </c>
      <c r="D124" s="60" t="s">
        <v>2433</v>
      </c>
      <c r="E124" s="323" t="s">
        <v>1915</v>
      </c>
      <c r="F124" s="340" t="s">
        <v>1902</v>
      </c>
      <c r="G124" s="323" t="s">
        <v>1914</v>
      </c>
      <c r="H124" s="323" t="s">
        <v>311</v>
      </c>
      <c r="I124" s="323"/>
      <c r="J124" s="323" t="s">
        <v>166</v>
      </c>
      <c r="K124" s="323" t="s">
        <v>2135</v>
      </c>
      <c r="L124" s="323" t="s">
        <v>129</v>
      </c>
      <c r="M124" s="323" t="s">
        <v>1493</v>
      </c>
      <c r="N124" s="323" t="s">
        <v>81</v>
      </c>
      <c r="O124" s="323" t="s">
        <v>93</v>
      </c>
      <c r="P124" s="323" t="s">
        <v>93</v>
      </c>
      <c r="Q124" s="323" t="s">
        <v>93</v>
      </c>
      <c r="R124" s="323" t="s">
        <v>93</v>
      </c>
      <c r="S124" s="323" t="s">
        <v>1918</v>
      </c>
      <c r="T124" s="323" t="s">
        <v>29</v>
      </c>
      <c r="U124" s="323" t="s">
        <v>180</v>
      </c>
      <c r="V124" s="323" t="s">
        <v>1903</v>
      </c>
      <c r="W124" s="323" t="s">
        <v>2861</v>
      </c>
      <c r="X124" s="55">
        <v>41091</v>
      </c>
      <c r="Y124" s="323" t="s">
        <v>1565</v>
      </c>
      <c r="Z124" s="323"/>
      <c r="AA124" s="162">
        <v>41024</v>
      </c>
      <c r="AB124" s="323"/>
      <c r="AC124" s="6"/>
      <c r="AE124" s="283">
        <f ca="1">$AE$1-Table4[[#This Row],[Date Captured]]</f>
        <v>48</v>
      </c>
      <c r="AF124" s="58" t="b">
        <f>IFERROR(OR(Table4[[#This Row],[Status]]="02. Open &amp; Assigned",Table4[[#This Row],[Status]]="01. Open",Table4[[#This Row],[Status]]="03. Action/Mitigation Plan Defined",Table4[[#This Row],[Status]]="04. Action Plan Completed",Table4[[#This Row],[Status]]="08. Blank"),"")</f>
        <v>1</v>
      </c>
      <c r="AG124" s="58" t="b">
        <f ca="1">IF(Table4[[#This Row],[Required Risk Resolution Date]]="","FALSE",IF($AE$1&gt;Table4[[#This Row],[Required Risk Resolution Date]],TRUE,FALSE))</f>
        <v>0</v>
      </c>
      <c r="AH124" s="58" t="b">
        <f t="shared" ca="1" si="4"/>
        <v>1</v>
      </c>
      <c r="AI124" s="58" t="b">
        <f t="shared" ca="1" si="5"/>
        <v>0</v>
      </c>
      <c r="AJ124" s="58" t="b">
        <f t="shared" ca="1" si="6"/>
        <v>0</v>
      </c>
      <c r="AK124" s="58" t="b">
        <f>OR(Table4[[#This Row],[Priority]]="Critical",Table4[[#This Row],[Priority]]="High")</f>
        <v>0</v>
      </c>
      <c r="AL124" s="283">
        <f ca="1">Table4[[#This Row],[Required Risk Resolution Date]]-$AE$1</f>
        <v>34</v>
      </c>
      <c r="AM124" s="58" t="b">
        <f t="shared" ca="1" si="7"/>
        <v>0</v>
      </c>
      <c r="AN124" s="59" t="b">
        <f>OR(Table4[[#This Row],[Priority]]="Critical",Table4[[#This Row],[Priority]]="High",Table4[[#This Row],[Priority]]="Moderate")</f>
        <v>1</v>
      </c>
    </row>
    <row r="125" spans="1:40" ht="144" hidden="1">
      <c r="A125" s="60" t="s">
        <v>213</v>
      </c>
      <c r="B125" s="61">
        <v>40708</v>
      </c>
      <c r="C125" s="60"/>
      <c r="D125" s="60" t="s">
        <v>171</v>
      </c>
      <c r="E125" s="323"/>
      <c r="F125" s="56" t="s">
        <v>327</v>
      </c>
      <c r="G125" s="56"/>
      <c r="H125" s="56" t="s">
        <v>154</v>
      </c>
      <c r="I125" s="56"/>
      <c r="J125" s="323" t="s">
        <v>317</v>
      </c>
      <c r="K125" s="6"/>
      <c r="L125" s="323"/>
      <c r="M125" s="6"/>
      <c r="N125" s="6" t="s">
        <v>83</v>
      </c>
      <c r="O125" s="323" t="s">
        <v>167</v>
      </c>
      <c r="P125" s="6"/>
      <c r="Q125" s="323"/>
      <c r="R125" s="323"/>
      <c r="S125" s="6"/>
      <c r="T125" s="56" t="s">
        <v>29</v>
      </c>
      <c r="U125" s="56"/>
      <c r="V125" s="56" t="s">
        <v>330</v>
      </c>
      <c r="W125" s="56" t="s">
        <v>331</v>
      </c>
      <c r="X125" s="55">
        <v>40814</v>
      </c>
      <c r="Y125" s="323"/>
      <c r="Z125" s="323"/>
      <c r="AA125" s="323"/>
      <c r="AB125" s="55">
        <v>40821</v>
      </c>
      <c r="AC125" s="6"/>
      <c r="AE125" s="283">
        <f ca="1">$AE$1-Table4[[#This Row],[Date Captured]]</f>
        <v>282</v>
      </c>
      <c r="AF125" s="58" t="b">
        <f>IFERROR(OR(Table4[[#This Row],[Status]]="02. Open &amp; Assigned",Table4[[#This Row],[Status]]="01. Open",Table4[[#This Row],[Status]]="03. Action/Mitigation Plan Defined",Table4[[#This Row],[Status]]="04. Action Plan Completed",Table4[[#This Row],[Status]]="08. Blank"),"")</f>
        <v>0</v>
      </c>
      <c r="AG125" s="58" t="str">
        <f>IF(Table4[[#This Row],[Required Risk Resolution Date]]="","FALSE",IF($AE$1&gt;Table4[[#This Row],[Required Risk Resolution Date]],TRUE,FALSE))</f>
        <v>FALSE</v>
      </c>
      <c r="AH125" s="58" t="b">
        <f t="shared" ca="1" si="4"/>
        <v>0</v>
      </c>
      <c r="AI125" s="58" t="b">
        <f t="shared" ca="1" si="5"/>
        <v>0</v>
      </c>
      <c r="AJ125" s="58" t="b">
        <f t="shared" ca="1" si="6"/>
        <v>1</v>
      </c>
      <c r="AK125" s="58" t="b">
        <f>OR(Table4[[#This Row],[Priority]]="Critical",Table4[[#This Row],[Priority]]="High")</f>
        <v>0</v>
      </c>
      <c r="AL125" s="283">
        <f ca="1">Table4[[#This Row],[Required Risk Resolution Date]]-$AE$1</f>
        <v>-40990</v>
      </c>
      <c r="AM125" s="58" t="b">
        <f t="shared" ca="1" si="7"/>
        <v>0</v>
      </c>
      <c r="AN125" s="59" t="b">
        <f>OR(Table4[[#This Row],[Priority]]="Critical",Table4[[#This Row],[Priority]]="High",Table4[[#This Row],[Priority]]="Moderate")</f>
        <v>0</v>
      </c>
    </row>
    <row r="126" spans="1:40" ht="36" hidden="1">
      <c r="A126" s="60" t="s">
        <v>218</v>
      </c>
      <c r="B126" s="64">
        <v>40751</v>
      </c>
      <c r="C126" s="60"/>
      <c r="D126" s="60" t="s">
        <v>171</v>
      </c>
      <c r="E126" s="6"/>
      <c r="F126" s="56" t="s">
        <v>350</v>
      </c>
      <c r="G126" s="56"/>
      <c r="H126" s="56" t="s">
        <v>154</v>
      </c>
      <c r="I126" s="56"/>
      <c r="J126" s="56" t="s">
        <v>351</v>
      </c>
      <c r="K126" s="6"/>
      <c r="L126" s="6"/>
      <c r="M126" s="6"/>
      <c r="N126" s="6" t="s">
        <v>83</v>
      </c>
      <c r="O126" s="6" t="s">
        <v>93</v>
      </c>
      <c r="P126" s="6"/>
      <c r="Q126" s="6"/>
      <c r="R126" s="6"/>
      <c r="S126" s="6"/>
      <c r="T126" s="56" t="s">
        <v>29</v>
      </c>
      <c r="U126" s="56"/>
      <c r="V126" s="56" t="s">
        <v>357</v>
      </c>
      <c r="W126" s="56" t="s">
        <v>358</v>
      </c>
      <c r="X126" s="64">
        <v>40765</v>
      </c>
      <c r="Y126" s="64"/>
      <c r="Z126" s="56"/>
      <c r="AA126" s="63"/>
      <c r="AB126" s="63">
        <v>40765</v>
      </c>
      <c r="AC126" s="6"/>
      <c r="AE126" s="283">
        <f ca="1">$AE$1-Table4[[#This Row],[Date Captured]]</f>
        <v>239</v>
      </c>
      <c r="AF126" s="58" t="b">
        <f>IFERROR(OR(Table4[[#This Row],[Status]]="02. Open &amp; Assigned",Table4[[#This Row],[Status]]="01. Open",Table4[[#This Row],[Status]]="03. Action/Mitigation Plan Defined",Table4[[#This Row],[Status]]="04. Action Plan Completed",Table4[[#This Row],[Status]]="08. Blank"),"")</f>
        <v>0</v>
      </c>
      <c r="AG126" s="58" t="str">
        <f>IF(Table4[[#This Row],[Required Risk Resolution Date]]="","FALSE",IF($AE$1&gt;Table4[[#This Row],[Required Risk Resolution Date]],TRUE,FALSE))</f>
        <v>FALSE</v>
      </c>
      <c r="AH126" s="58" t="b">
        <f t="shared" ca="1" si="4"/>
        <v>0</v>
      </c>
      <c r="AI126" s="58" t="b">
        <f t="shared" ca="1" si="5"/>
        <v>0</v>
      </c>
      <c r="AJ126" s="58" t="b">
        <f t="shared" ca="1" si="6"/>
        <v>1</v>
      </c>
      <c r="AK126" s="58" t="b">
        <f>OR(Table4[[#This Row],[Priority]]="Critical",Table4[[#This Row],[Priority]]="High")</f>
        <v>0</v>
      </c>
      <c r="AL126" s="283">
        <f ca="1">Table4[[#This Row],[Required Risk Resolution Date]]-$AE$1</f>
        <v>-40990</v>
      </c>
      <c r="AM126" s="58" t="b">
        <f t="shared" ca="1" si="7"/>
        <v>0</v>
      </c>
      <c r="AN126" s="59" t="b">
        <f>OR(Table4[[#This Row],[Priority]]="Critical",Table4[[#This Row],[Priority]]="High",Table4[[#This Row],[Priority]]="Moderate")</f>
        <v>0</v>
      </c>
    </row>
    <row r="127" spans="1:40" ht="36" hidden="1">
      <c r="A127" s="60" t="s">
        <v>219</v>
      </c>
      <c r="B127" s="64">
        <v>40751</v>
      </c>
      <c r="C127" s="60"/>
      <c r="D127" s="60" t="s">
        <v>171</v>
      </c>
      <c r="E127" s="323"/>
      <c r="F127" s="56" t="s">
        <v>359</v>
      </c>
      <c r="G127" s="56"/>
      <c r="H127" s="56" t="s">
        <v>154</v>
      </c>
      <c r="I127" s="56"/>
      <c r="J127" s="56" t="s">
        <v>351</v>
      </c>
      <c r="K127" s="323"/>
      <c r="L127" s="323"/>
      <c r="M127" s="323"/>
      <c r="N127" s="323" t="s">
        <v>83</v>
      </c>
      <c r="O127" s="323" t="s">
        <v>167</v>
      </c>
      <c r="P127" s="323"/>
      <c r="Q127" s="323"/>
      <c r="R127" s="323"/>
      <c r="S127" s="323"/>
      <c r="T127" s="56" t="s">
        <v>29</v>
      </c>
      <c r="U127" s="56"/>
      <c r="V127" s="56"/>
      <c r="W127" s="56" t="s">
        <v>362</v>
      </c>
      <c r="X127" s="55">
        <v>40821</v>
      </c>
      <c r="Y127" s="323"/>
      <c r="Z127" s="323"/>
      <c r="AA127" s="323"/>
      <c r="AB127" s="55">
        <v>40765</v>
      </c>
      <c r="AC127" s="6"/>
      <c r="AE127" s="283">
        <f ca="1">$AE$1-Table4[[#This Row],[Date Captured]]</f>
        <v>239</v>
      </c>
      <c r="AF127" s="58" t="b">
        <f>IFERROR(OR(Table4[[#This Row],[Status]]="02. Open &amp; Assigned",Table4[[#This Row],[Status]]="01. Open",Table4[[#This Row],[Status]]="03. Action/Mitigation Plan Defined",Table4[[#This Row],[Status]]="04. Action Plan Completed",Table4[[#This Row],[Status]]="08. Blank"),"")</f>
        <v>0</v>
      </c>
      <c r="AG127" s="58" t="str">
        <f>IF(Table4[[#This Row],[Required Risk Resolution Date]]="","FALSE",IF($AE$1&gt;Table4[[#This Row],[Required Risk Resolution Date]],TRUE,FALSE))</f>
        <v>FALSE</v>
      </c>
      <c r="AH127" s="58" t="b">
        <f t="shared" ca="1" si="4"/>
        <v>0</v>
      </c>
      <c r="AI127" s="58" t="b">
        <f t="shared" ca="1" si="5"/>
        <v>0</v>
      </c>
      <c r="AJ127" s="58" t="b">
        <f t="shared" ca="1" si="6"/>
        <v>1</v>
      </c>
      <c r="AK127" s="58" t="b">
        <f>OR(Table4[[#This Row],[Priority]]="Critical",Table4[[#This Row],[Priority]]="High")</f>
        <v>0</v>
      </c>
      <c r="AL127" s="283">
        <f ca="1">Table4[[#This Row],[Required Risk Resolution Date]]-$AE$1</f>
        <v>-40990</v>
      </c>
      <c r="AM127" s="58" t="b">
        <f t="shared" ca="1" si="7"/>
        <v>0</v>
      </c>
      <c r="AN127" s="59" t="b">
        <f>OR(Table4[[#This Row],[Priority]]="Critical",Table4[[#This Row],[Priority]]="High",Table4[[#This Row],[Priority]]="Moderate")</f>
        <v>0</v>
      </c>
    </row>
    <row r="128" spans="1:40" ht="144" hidden="1">
      <c r="A128" s="60" t="s">
        <v>224</v>
      </c>
      <c r="B128" s="64">
        <v>40765</v>
      </c>
      <c r="C128" s="60"/>
      <c r="D128" s="60" t="s">
        <v>171</v>
      </c>
      <c r="E128" s="6"/>
      <c r="F128" s="56" t="s">
        <v>374</v>
      </c>
      <c r="G128" s="56"/>
      <c r="H128" s="56" t="s">
        <v>154</v>
      </c>
      <c r="I128" s="56"/>
      <c r="J128" s="56" t="s">
        <v>323</v>
      </c>
      <c r="K128" s="323"/>
      <c r="L128" s="6"/>
      <c r="M128" s="6"/>
      <c r="N128" s="6" t="s">
        <v>81</v>
      </c>
      <c r="O128" s="6" t="s">
        <v>93</v>
      </c>
      <c r="P128" s="6"/>
      <c r="Q128" s="6"/>
      <c r="R128" s="6"/>
      <c r="S128" s="6"/>
      <c r="T128" s="56" t="s">
        <v>29</v>
      </c>
      <c r="U128" s="56"/>
      <c r="V128" s="56" t="s">
        <v>376</v>
      </c>
      <c r="W128" s="56" t="s">
        <v>377</v>
      </c>
      <c r="X128" s="64">
        <v>40786</v>
      </c>
      <c r="Y128" s="64"/>
      <c r="Z128" s="56"/>
      <c r="AA128" s="67"/>
      <c r="AB128" s="63">
        <v>40786</v>
      </c>
      <c r="AC128" s="6"/>
      <c r="AE128" s="283">
        <f ca="1">$AE$1-Table4[[#This Row],[Date Captured]]</f>
        <v>225</v>
      </c>
      <c r="AF128" s="58" t="b">
        <f>IFERROR(OR(Table4[[#This Row],[Status]]="02. Open &amp; Assigned",Table4[[#This Row],[Status]]="01. Open",Table4[[#This Row],[Status]]="03. Action/Mitigation Plan Defined",Table4[[#This Row],[Status]]="04. Action Plan Completed",Table4[[#This Row],[Status]]="08. Blank"),"")</f>
        <v>0</v>
      </c>
      <c r="AG128" s="58" t="str">
        <f>IF(Table4[[#This Row],[Required Risk Resolution Date]]="","FALSE",IF($AE$1&gt;Table4[[#This Row],[Required Risk Resolution Date]],TRUE,FALSE))</f>
        <v>FALSE</v>
      </c>
      <c r="AH128" s="58" t="b">
        <f t="shared" ca="1" si="4"/>
        <v>0</v>
      </c>
      <c r="AI128" s="58" t="b">
        <f t="shared" ca="1" si="5"/>
        <v>0</v>
      </c>
      <c r="AJ128" s="58" t="b">
        <f t="shared" ca="1" si="6"/>
        <v>1</v>
      </c>
      <c r="AK128" s="58" t="b">
        <f>OR(Table4[[#This Row],[Priority]]="Critical",Table4[[#This Row],[Priority]]="High")</f>
        <v>0</v>
      </c>
      <c r="AL128" s="283">
        <f ca="1">Table4[[#This Row],[Required Risk Resolution Date]]-$AE$1</f>
        <v>-40990</v>
      </c>
      <c r="AM128" s="58" t="b">
        <f t="shared" ca="1" si="7"/>
        <v>0</v>
      </c>
      <c r="AN128" s="59" t="b">
        <f>OR(Table4[[#This Row],[Priority]]="Critical",Table4[[#This Row],[Priority]]="High",Table4[[#This Row],[Priority]]="Moderate")</f>
        <v>0</v>
      </c>
    </row>
    <row r="129" spans="1:40" ht="288" hidden="1">
      <c r="A129" s="60" t="s">
        <v>442</v>
      </c>
      <c r="B129" s="64">
        <v>40619</v>
      </c>
      <c r="C129" s="60"/>
      <c r="D129" s="60" t="s">
        <v>171</v>
      </c>
      <c r="E129" s="6"/>
      <c r="F129" s="56" t="s">
        <v>444</v>
      </c>
      <c r="G129" s="56"/>
      <c r="H129" s="56" t="s">
        <v>154</v>
      </c>
      <c r="I129" s="56"/>
      <c r="J129" s="323" t="s">
        <v>446</v>
      </c>
      <c r="K129" s="6"/>
      <c r="L129" s="6"/>
      <c r="M129" s="6"/>
      <c r="N129" s="6" t="s">
        <v>81</v>
      </c>
      <c r="O129" s="6" t="s">
        <v>93</v>
      </c>
      <c r="P129" s="6"/>
      <c r="Q129" s="6"/>
      <c r="R129" s="6"/>
      <c r="S129" s="6"/>
      <c r="T129" s="56" t="s">
        <v>29</v>
      </c>
      <c r="U129" s="56" t="s">
        <v>448</v>
      </c>
      <c r="V129" s="56" t="s">
        <v>449</v>
      </c>
      <c r="W129" s="56" t="s">
        <v>450</v>
      </c>
      <c r="X129" s="64">
        <v>40751</v>
      </c>
      <c r="Y129" s="64"/>
      <c r="Z129" s="56" t="s">
        <v>451</v>
      </c>
      <c r="AA129" s="63"/>
      <c r="AB129" s="63">
        <v>40751</v>
      </c>
      <c r="AC129" s="6"/>
      <c r="AE129" s="283">
        <f ca="1">$AE$1-Table4[[#This Row],[Date Captured]]</f>
        <v>371</v>
      </c>
      <c r="AF129" s="58" t="b">
        <f>IFERROR(OR(Table4[[#This Row],[Status]]="02. Open &amp; Assigned",Table4[[#This Row],[Status]]="01. Open",Table4[[#This Row],[Status]]="03. Action/Mitigation Plan Defined",Table4[[#This Row],[Status]]="04. Action Plan Completed",Table4[[#This Row],[Status]]="08. Blank"),"")</f>
        <v>0</v>
      </c>
      <c r="AG129" s="58" t="str">
        <f>IF(Table4[[#This Row],[Required Risk Resolution Date]]="","FALSE",IF($AE$1&gt;Table4[[#This Row],[Required Risk Resolution Date]],TRUE,FALSE))</f>
        <v>FALSE</v>
      </c>
      <c r="AH129" s="58" t="b">
        <f t="shared" ca="1" si="4"/>
        <v>0</v>
      </c>
      <c r="AI129" s="58" t="b">
        <f t="shared" ca="1" si="5"/>
        <v>0</v>
      </c>
      <c r="AJ129" s="58" t="b">
        <f t="shared" ca="1" si="6"/>
        <v>1</v>
      </c>
      <c r="AK129" s="58" t="b">
        <f>OR(Table4[[#This Row],[Priority]]="Critical",Table4[[#This Row],[Priority]]="High")</f>
        <v>0</v>
      </c>
      <c r="AL129" s="283">
        <f ca="1">Table4[[#This Row],[Required Risk Resolution Date]]-$AE$1</f>
        <v>-40990</v>
      </c>
      <c r="AM129" s="58" t="b">
        <f t="shared" ca="1" si="7"/>
        <v>0</v>
      </c>
      <c r="AN129" s="59" t="b">
        <f>OR(Table4[[#This Row],[Priority]]="Critical",Table4[[#This Row],[Priority]]="High",Table4[[#This Row],[Priority]]="Moderate")</f>
        <v>0</v>
      </c>
    </row>
    <row r="130" spans="1:40" ht="409.5" hidden="1">
      <c r="A130" s="60" t="s">
        <v>247</v>
      </c>
      <c r="B130" s="258">
        <v>40854</v>
      </c>
      <c r="C130" s="60" t="s">
        <v>523</v>
      </c>
      <c r="D130" s="60" t="s">
        <v>171</v>
      </c>
      <c r="E130" s="323" t="s">
        <v>1908</v>
      </c>
      <c r="F130" s="323" t="s">
        <v>522</v>
      </c>
      <c r="G130" s="6" t="s">
        <v>1906</v>
      </c>
      <c r="H130" s="323" t="s">
        <v>154</v>
      </c>
      <c r="I130" s="323"/>
      <c r="J130" s="324" t="s">
        <v>523</v>
      </c>
      <c r="K130" s="6" t="s">
        <v>1767</v>
      </c>
      <c r="L130" s="323" t="s">
        <v>128</v>
      </c>
      <c r="M130" s="6" t="s">
        <v>1484</v>
      </c>
      <c r="N130" s="6" t="s">
        <v>83</v>
      </c>
      <c r="O130" s="6" t="s">
        <v>93</v>
      </c>
      <c r="P130" s="6" t="s">
        <v>167</v>
      </c>
      <c r="Q130" s="6" t="s">
        <v>167</v>
      </c>
      <c r="R130" s="6" t="s">
        <v>167</v>
      </c>
      <c r="S130" s="6" t="s">
        <v>1907</v>
      </c>
      <c r="T130" s="6" t="s">
        <v>29</v>
      </c>
      <c r="U130" s="6" t="s">
        <v>1911</v>
      </c>
      <c r="V130" s="6" t="s">
        <v>530</v>
      </c>
      <c r="W130" s="323" t="s">
        <v>2426</v>
      </c>
      <c r="X130" s="55">
        <v>40968</v>
      </c>
      <c r="Y130" s="6" t="s">
        <v>1571</v>
      </c>
      <c r="Z130" s="6"/>
      <c r="AA130" s="162">
        <v>40938</v>
      </c>
      <c r="AB130" s="323"/>
      <c r="AC130" s="6"/>
      <c r="AE130" s="283">
        <f ca="1">$AE$1-Table4[[#This Row],[Date Captured]]</f>
        <v>136</v>
      </c>
      <c r="AF130" s="58" t="b">
        <f>IFERROR(OR(Table4[[#This Row],[Status]]="02. Open &amp; Assigned",Table4[[#This Row],[Status]]="01. Open",Table4[[#This Row],[Status]]="03. Action/Mitigation Plan Defined",Table4[[#This Row],[Status]]="04. Action Plan Completed",Table4[[#This Row],[Status]]="08. Blank"),"")</f>
        <v>0</v>
      </c>
      <c r="AG130" s="58" t="b">
        <f ca="1">IF(Table4[[#This Row],[Required Risk Resolution Date]]="","FALSE",IF($AE$1&gt;Table4[[#This Row],[Required Risk Resolution Date]],TRUE,FALSE))</f>
        <v>1</v>
      </c>
      <c r="AH130" s="58" t="b">
        <f t="shared" ca="1" si="4"/>
        <v>0</v>
      </c>
      <c r="AI130" s="58" t="b">
        <f t="shared" ca="1" si="5"/>
        <v>1</v>
      </c>
      <c r="AJ130" s="58" t="b">
        <f t="shared" ca="1" si="6"/>
        <v>0</v>
      </c>
      <c r="AK130" s="58" t="b">
        <f>OR(Table4[[#This Row],[Priority]]="Critical",Table4[[#This Row],[Priority]]="High")</f>
        <v>1</v>
      </c>
      <c r="AL130" s="283">
        <f ca="1">Table4[[#This Row],[Required Risk Resolution Date]]-$AE$1</f>
        <v>-52</v>
      </c>
      <c r="AM130" s="58" t="b">
        <f t="shared" ca="1" si="7"/>
        <v>0</v>
      </c>
      <c r="AN130" s="59" t="b">
        <f>OR(Table4[[#This Row],[Priority]]="Critical",Table4[[#This Row],[Priority]]="High",Table4[[#This Row],[Priority]]="Moderate")</f>
        <v>1</v>
      </c>
    </row>
    <row r="131" spans="1:40" ht="135" hidden="1">
      <c r="A131" s="60" t="s">
        <v>2367</v>
      </c>
      <c r="B131" s="273">
        <v>40981</v>
      </c>
      <c r="C131" s="60" t="s">
        <v>1562</v>
      </c>
      <c r="D131" s="60" t="s">
        <v>171</v>
      </c>
      <c r="E131" s="6" t="s">
        <v>2771</v>
      </c>
      <c r="F131" s="323" t="s">
        <v>2773</v>
      </c>
      <c r="G131" s="323" t="s">
        <v>2772</v>
      </c>
      <c r="H131" s="323" t="s">
        <v>311</v>
      </c>
      <c r="I131" s="323" t="s">
        <v>2775</v>
      </c>
      <c r="J131" s="323" t="s">
        <v>1562</v>
      </c>
      <c r="K131" s="323" t="s">
        <v>1562</v>
      </c>
      <c r="L131" s="323" t="s">
        <v>128</v>
      </c>
      <c r="M131" s="323" t="s">
        <v>1489</v>
      </c>
      <c r="N131" s="6" t="s">
        <v>81</v>
      </c>
      <c r="O131" s="6" t="s">
        <v>109</v>
      </c>
      <c r="P131" s="6" t="s">
        <v>109</v>
      </c>
      <c r="Q131" s="6" t="s">
        <v>109</v>
      </c>
      <c r="R131" s="6" t="s">
        <v>109</v>
      </c>
      <c r="S131" s="6"/>
      <c r="T131" s="6" t="s">
        <v>1569</v>
      </c>
      <c r="U131" s="323"/>
      <c r="V131" s="323" t="s">
        <v>2774</v>
      </c>
      <c r="W131" s="323" t="s">
        <v>2955</v>
      </c>
      <c r="X131" s="197">
        <v>41017</v>
      </c>
      <c r="Y131" s="323" t="s">
        <v>1571</v>
      </c>
      <c r="Z131" s="323" t="s">
        <v>2992</v>
      </c>
      <c r="AA131" s="162">
        <v>41047</v>
      </c>
      <c r="AB131" s="55">
        <v>40985</v>
      </c>
      <c r="AC131" s="6"/>
      <c r="AE131" s="283">
        <f ca="1">$AE$1-Table4[[#This Row],[Date Captured]]</f>
        <v>9</v>
      </c>
      <c r="AF131" s="58" t="b">
        <f>IFERROR(OR(Table4[[#This Row],[Status]]="02. Open &amp; Assigned",Table4[[#This Row],[Status]]="01. Open",Table4[[#This Row],[Status]]="03. Action/Mitigation Plan Defined",Table4[[#This Row],[Status]]="04. Action Plan Completed",Table4[[#This Row],[Status]]="08. Blank"),"")</f>
        <v>0</v>
      </c>
      <c r="AG131" s="58" t="b">
        <f ca="1">IF(Table4[[#This Row],[Required Risk Resolution Date]]="","FALSE",IF($AE$1&gt;Table4[[#This Row],[Required Risk Resolution Date]],TRUE,FALSE))</f>
        <v>0</v>
      </c>
      <c r="AH131" s="58" t="b">
        <f t="shared" ca="1" si="4"/>
        <v>0</v>
      </c>
      <c r="AI131" s="58" t="b">
        <f t="shared" ca="1" si="5"/>
        <v>0</v>
      </c>
      <c r="AJ131" s="58" t="b">
        <f t="shared" ca="1" si="6"/>
        <v>0</v>
      </c>
      <c r="AK131" s="58" t="b">
        <f>OR(Table4[[#This Row],[Priority]]="Critical",Table4[[#This Row],[Priority]]="High")</f>
        <v>1</v>
      </c>
      <c r="AL131" s="283">
        <f ca="1">Table4[[#This Row],[Required Risk Resolution Date]]-$AE$1</f>
        <v>57</v>
      </c>
      <c r="AM131" s="58" t="b">
        <f t="shared" ca="1" si="7"/>
        <v>0</v>
      </c>
      <c r="AN131" s="59" t="b">
        <f>OR(Table4[[#This Row],[Priority]]="Critical",Table4[[#This Row],[Priority]]="High",Table4[[#This Row],[Priority]]="Moderate")</f>
        <v>1</v>
      </c>
    </row>
    <row r="132" spans="1:40" ht="351">
      <c r="A132" s="60" t="s">
        <v>259</v>
      </c>
      <c r="B132" s="61">
        <v>40919</v>
      </c>
      <c r="C132" s="60" t="s">
        <v>166</v>
      </c>
      <c r="D132" s="60" t="s">
        <v>1566</v>
      </c>
      <c r="E132" s="6" t="s">
        <v>1661</v>
      </c>
      <c r="F132" s="323" t="s">
        <v>1662</v>
      </c>
      <c r="G132" s="323" t="s">
        <v>1698</v>
      </c>
      <c r="H132" s="323" t="s">
        <v>311</v>
      </c>
      <c r="I132" s="323" t="s">
        <v>2775</v>
      </c>
      <c r="J132" s="323" t="s">
        <v>166</v>
      </c>
      <c r="K132" s="6" t="s">
        <v>1663</v>
      </c>
      <c r="L132" s="323" t="s">
        <v>130</v>
      </c>
      <c r="M132" s="6" t="s">
        <v>1489</v>
      </c>
      <c r="N132" s="6" t="s">
        <v>87</v>
      </c>
      <c r="O132" s="6" t="s">
        <v>109</v>
      </c>
      <c r="P132" s="6" t="s">
        <v>109</v>
      </c>
      <c r="Q132" s="6" t="s">
        <v>109</v>
      </c>
      <c r="R132" s="6" t="s">
        <v>109</v>
      </c>
      <c r="S132" s="6"/>
      <c r="T132" s="6"/>
      <c r="U132" s="6"/>
      <c r="V132" s="6"/>
      <c r="W132" s="323" t="s">
        <v>2785</v>
      </c>
      <c r="X132" s="55">
        <v>41024</v>
      </c>
      <c r="Y132" s="323" t="s">
        <v>1574</v>
      </c>
      <c r="Z132" s="6"/>
      <c r="AA132" s="162">
        <v>41033</v>
      </c>
      <c r="AB132" s="323"/>
      <c r="AC132" s="6"/>
      <c r="AE132" s="283">
        <f ca="1">$AE$1-Table4[[#This Row],[Date Captured]]</f>
        <v>71</v>
      </c>
      <c r="AF132" s="58" t="b">
        <f>IFERROR(OR(Table4[[#This Row],[Status]]="02. Open &amp; Assigned",Table4[[#This Row],[Status]]="01. Open",Table4[[#This Row],[Status]]="03. Action/Mitigation Plan Defined",Table4[[#This Row],[Status]]="04. Action Plan Completed",Table4[[#This Row],[Status]]="08. Blank"),"")</f>
        <v>1</v>
      </c>
      <c r="AG132" s="58" t="b">
        <f ca="1">IF(Table4[[#This Row],[Required Risk Resolution Date]]="","FALSE",IF($AE$1&gt;Table4[[#This Row],[Required Risk Resolution Date]],TRUE,FALSE))</f>
        <v>0</v>
      </c>
      <c r="AH132" s="58" t="b">
        <f t="shared" ca="1" si="4"/>
        <v>1</v>
      </c>
      <c r="AI132" s="58" t="b">
        <f t="shared" ca="1" si="5"/>
        <v>0</v>
      </c>
      <c r="AJ132" s="58" t="b">
        <f t="shared" ca="1" si="6"/>
        <v>0</v>
      </c>
      <c r="AK132" s="58" t="b">
        <f>OR(Table4[[#This Row],[Priority]]="Critical",Table4[[#This Row],[Priority]]="High")</f>
        <v>0</v>
      </c>
      <c r="AL132" s="283">
        <f ca="1">Table4[[#This Row],[Required Risk Resolution Date]]-$AE$1</f>
        <v>43</v>
      </c>
      <c r="AM132" s="58" t="b">
        <f t="shared" ca="1" si="7"/>
        <v>0</v>
      </c>
      <c r="AN132" s="59" t="b">
        <f>OR(Table4[[#This Row],[Priority]]="Critical",Table4[[#This Row],[Priority]]="High",Table4[[#This Row],[Priority]]="Moderate")</f>
        <v>0</v>
      </c>
    </row>
    <row r="133" spans="1:40" ht="175.5">
      <c r="A133" s="60" t="s">
        <v>2517</v>
      </c>
      <c r="B133" s="273">
        <v>40987</v>
      </c>
      <c r="C133" s="60" t="s">
        <v>2982</v>
      </c>
      <c r="D133" s="60" t="s">
        <v>147</v>
      </c>
      <c r="E133" s="6" t="s">
        <v>2975</v>
      </c>
      <c r="F133" s="323" t="s">
        <v>2979</v>
      </c>
      <c r="G133" s="6"/>
      <c r="H133" s="323" t="s">
        <v>311</v>
      </c>
      <c r="I133" s="323"/>
      <c r="J133" s="6" t="s">
        <v>166</v>
      </c>
      <c r="K133" s="323"/>
      <c r="L133" s="6"/>
      <c r="M133" s="6"/>
      <c r="N133" s="6"/>
      <c r="O133" s="6"/>
      <c r="P133" s="6"/>
      <c r="Q133" s="6"/>
      <c r="R133" s="6"/>
      <c r="S133" s="6"/>
      <c r="T133" s="6" t="s">
        <v>1569</v>
      </c>
      <c r="U133" s="323"/>
      <c r="V133" s="6" t="s">
        <v>2983</v>
      </c>
      <c r="W133" s="323" t="s">
        <v>2989</v>
      </c>
      <c r="X133" s="323"/>
      <c r="Y133" s="6"/>
      <c r="Z133" s="323"/>
      <c r="AA133" s="162"/>
      <c r="AB133" s="6"/>
      <c r="AC133" s="6"/>
      <c r="AE133" s="283">
        <f ca="1">$AE$1-Table4[[#This Row],[Date Captured]]</f>
        <v>3</v>
      </c>
      <c r="AF133" s="58" t="b">
        <f>IFERROR(OR(Table4[[#This Row],[Status]]="02. Open &amp; Assigned",Table4[[#This Row],[Status]]="01. Open",Table4[[#This Row],[Status]]="03. Action/Mitigation Plan Defined",Table4[[#This Row],[Status]]="04. Action Plan Completed",Table4[[#This Row],[Status]]="08. Blank"),"")</f>
        <v>1</v>
      </c>
      <c r="AG133" s="58" t="str">
        <f>IF(Table4[[#This Row],[Required Risk Resolution Date]]="","FALSE",IF($AE$1&gt;Table4[[#This Row],[Required Risk Resolution Date]],TRUE,FALSE))</f>
        <v>FALSE</v>
      </c>
      <c r="AH133" s="58" t="b">
        <f t="shared" ref="AH133:AH196" ca="1" si="8">IF(AE133&lt;30,FALSE,IF(AE133&gt;90,FALSE,TRUE))</f>
        <v>0</v>
      </c>
      <c r="AI133" s="58" t="b">
        <f t="shared" ref="AI133:AI196" ca="1" si="9">IF(AE133&lt;91,FALSE,IF(AE133&gt;180,FALSE,TRUE))</f>
        <v>0</v>
      </c>
      <c r="AJ133" s="58" t="b">
        <f t="shared" ref="AJ133:AJ196" ca="1" si="10">IF(AE133&gt;180,TRUE,FALSE)</f>
        <v>0</v>
      </c>
      <c r="AK133" s="58" t="b">
        <f>OR(Table4[[#This Row],[Priority]]="Critical",Table4[[#This Row],[Priority]]="High")</f>
        <v>0</v>
      </c>
      <c r="AL133" s="283">
        <f ca="1">Table4[[#This Row],[Required Risk Resolution Date]]-$AE$1</f>
        <v>-40990</v>
      </c>
      <c r="AM133" s="58" t="b">
        <f t="shared" ref="AM133:AM196" ca="1" si="11">IF(AL133&lt;1,FALSE,IF(AL133&gt;7,FALSE,TRUE))</f>
        <v>0</v>
      </c>
      <c r="AN133" s="59" t="b">
        <f>OR(Table4[[#This Row],[Priority]]="Critical",Table4[[#This Row],[Priority]]="High",Table4[[#This Row],[Priority]]="Moderate")</f>
        <v>0</v>
      </c>
    </row>
    <row r="134" spans="1:40" ht="162">
      <c r="A134" s="60" t="s">
        <v>2518</v>
      </c>
      <c r="B134" s="273">
        <v>40987</v>
      </c>
      <c r="C134" s="60" t="s">
        <v>2982</v>
      </c>
      <c r="D134" s="60" t="s">
        <v>147</v>
      </c>
      <c r="E134" s="323" t="s">
        <v>2976</v>
      </c>
      <c r="F134" s="323" t="s">
        <v>2979</v>
      </c>
      <c r="G134" s="323"/>
      <c r="H134" s="323" t="s">
        <v>311</v>
      </c>
      <c r="I134" s="323"/>
      <c r="J134" s="323" t="s">
        <v>166</v>
      </c>
      <c r="K134" s="323"/>
      <c r="L134" s="323"/>
      <c r="M134" s="323"/>
      <c r="N134" s="323"/>
      <c r="O134" s="323"/>
      <c r="P134" s="323"/>
      <c r="Q134" s="323"/>
      <c r="R134" s="323"/>
      <c r="S134" s="6"/>
      <c r="T134" s="323" t="s">
        <v>1569</v>
      </c>
      <c r="U134" s="6"/>
      <c r="V134" s="323" t="s">
        <v>2984</v>
      </c>
      <c r="W134" s="323" t="s">
        <v>2990</v>
      </c>
      <c r="X134" s="323"/>
      <c r="Y134" s="323"/>
      <c r="Z134" s="6"/>
      <c r="AA134" s="162"/>
      <c r="AB134" s="6"/>
      <c r="AC134" s="6"/>
      <c r="AE134" s="283">
        <f ca="1">$AE$1-Table4[[#This Row],[Date Captured]]</f>
        <v>3</v>
      </c>
      <c r="AF134" s="58" t="b">
        <f>IFERROR(OR(Table4[[#This Row],[Status]]="02. Open &amp; Assigned",Table4[[#This Row],[Status]]="01. Open",Table4[[#This Row],[Status]]="03. Action/Mitigation Plan Defined",Table4[[#This Row],[Status]]="04. Action Plan Completed",Table4[[#This Row],[Status]]="08. Blank"),"")</f>
        <v>1</v>
      </c>
      <c r="AG134" s="58" t="str">
        <f>IF(Table4[[#This Row],[Required Risk Resolution Date]]="","FALSE",IF($AE$1&gt;Table4[[#This Row],[Required Risk Resolution Date]],TRUE,FALSE))</f>
        <v>FALSE</v>
      </c>
      <c r="AH134" s="58" t="b">
        <f t="shared" ca="1" si="8"/>
        <v>0</v>
      </c>
      <c r="AI134" s="58" t="b">
        <f t="shared" ca="1" si="9"/>
        <v>0</v>
      </c>
      <c r="AJ134" s="58" t="b">
        <f t="shared" ca="1" si="10"/>
        <v>0</v>
      </c>
      <c r="AK134" s="58" t="b">
        <f>OR(Table4[[#This Row],[Priority]]="Critical",Table4[[#This Row],[Priority]]="High")</f>
        <v>0</v>
      </c>
      <c r="AL134" s="283">
        <f ca="1">Table4[[#This Row],[Required Risk Resolution Date]]-$AE$1</f>
        <v>-40990</v>
      </c>
      <c r="AM134" s="58" t="b">
        <f t="shared" ca="1" si="11"/>
        <v>0</v>
      </c>
      <c r="AN134" s="59" t="b">
        <f>OR(Table4[[#This Row],[Priority]]="Critical",Table4[[#This Row],[Priority]]="High",Table4[[#This Row],[Priority]]="Moderate")</f>
        <v>0</v>
      </c>
    </row>
    <row r="135" spans="1:40" ht="129.75" customHeight="1">
      <c r="A135" s="60" t="s">
        <v>2519</v>
      </c>
      <c r="B135" s="273">
        <v>40987</v>
      </c>
      <c r="C135" s="60" t="s">
        <v>2982</v>
      </c>
      <c r="D135" s="60" t="s">
        <v>147</v>
      </c>
      <c r="E135" s="323" t="s">
        <v>2977</v>
      </c>
      <c r="F135" s="323" t="s">
        <v>2980</v>
      </c>
      <c r="G135" s="323" t="s">
        <v>2985</v>
      </c>
      <c r="H135" s="323" t="s">
        <v>311</v>
      </c>
      <c r="I135" s="323"/>
      <c r="J135" s="323" t="s">
        <v>166</v>
      </c>
      <c r="K135" s="323"/>
      <c r="L135" s="323"/>
      <c r="M135" s="323"/>
      <c r="N135" s="323"/>
      <c r="O135" s="323"/>
      <c r="P135" s="323"/>
      <c r="Q135" s="323"/>
      <c r="R135" s="323"/>
      <c r="S135" s="323"/>
      <c r="T135" s="323" t="s">
        <v>1569</v>
      </c>
      <c r="U135" s="323"/>
      <c r="V135" s="323" t="s">
        <v>2986</v>
      </c>
      <c r="W135" s="323" t="s">
        <v>2991</v>
      </c>
      <c r="X135" s="323"/>
      <c r="Y135" s="323"/>
      <c r="Z135" s="323"/>
      <c r="AA135" s="162"/>
      <c r="AB135" s="323"/>
      <c r="AC135" s="6"/>
      <c r="AE135" s="283">
        <f ca="1">$AE$1-Table4[[#This Row],[Date Captured]]</f>
        <v>3</v>
      </c>
      <c r="AF135" s="58" t="b">
        <f>IFERROR(OR(Table4[[#This Row],[Status]]="02. Open &amp; Assigned",Table4[[#This Row],[Status]]="01. Open",Table4[[#This Row],[Status]]="03. Action/Mitigation Plan Defined",Table4[[#This Row],[Status]]="04. Action Plan Completed",Table4[[#This Row],[Status]]="08. Blank"),"")</f>
        <v>1</v>
      </c>
      <c r="AG135" s="58" t="str">
        <f>IF(Table4[[#This Row],[Required Risk Resolution Date]]="","FALSE",IF($AE$1&gt;Table4[[#This Row],[Required Risk Resolution Date]],TRUE,FALSE))</f>
        <v>FALSE</v>
      </c>
      <c r="AH135" s="58" t="b">
        <f t="shared" ca="1" si="8"/>
        <v>0</v>
      </c>
      <c r="AI135" s="58" t="b">
        <f t="shared" ca="1" si="9"/>
        <v>0</v>
      </c>
      <c r="AJ135" s="58" t="b">
        <f t="shared" ca="1" si="10"/>
        <v>0</v>
      </c>
      <c r="AK135" s="58" t="b">
        <f>OR(Table4[[#This Row],[Priority]]="Critical",Table4[[#This Row],[Priority]]="High")</f>
        <v>0</v>
      </c>
      <c r="AL135" s="283">
        <f ca="1">Table4[[#This Row],[Required Risk Resolution Date]]-$AE$1</f>
        <v>-40990</v>
      </c>
      <c r="AM135" s="58" t="b">
        <f t="shared" ca="1" si="11"/>
        <v>0</v>
      </c>
      <c r="AN135" s="59" t="b">
        <f>OR(Table4[[#This Row],[Priority]]="Critical",Table4[[#This Row],[Priority]]="High",Table4[[#This Row],[Priority]]="Moderate")</f>
        <v>0</v>
      </c>
    </row>
    <row r="136" spans="1:40" ht="109.5" customHeight="1">
      <c r="A136" s="60" t="s">
        <v>2967</v>
      </c>
      <c r="B136" s="273">
        <v>40987</v>
      </c>
      <c r="C136" s="60" t="s">
        <v>2982</v>
      </c>
      <c r="D136" s="60" t="s">
        <v>147</v>
      </c>
      <c r="E136" s="323" t="s">
        <v>2978</v>
      </c>
      <c r="F136" s="323" t="s">
        <v>2981</v>
      </c>
      <c r="G136" s="323" t="s">
        <v>2987</v>
      </c>
      <c r="H136" s="323" t="s">
        <v>311</v>
      </c>
      <c r="I136" s="323"/>
      <c r="J136" s="323" t="s">
        <v>166</v>
      </c>
      <c r="K136" s="323"/>
      <c r="L136" s="323"/>
      <c r="M136" s="323"/>
      <c r="N136" s="323"/>
      <c r="O136" s="323"/>
      <c r="P136" s="323"/>
      <c r="Q136" s="323"/>
      <c r="R136" s="323"/>
      <c r="S136" s="323"/>
      <c r="T136" s="323" t="s">
        <v>1569</v>
      </c>
      <c r="U136" s="323"/>
      <c r="V136" s="323" t="s">
        <v>2988</v>
      </c>
      <c r="W136" s="323" t="s">
        <v>2989</v>
      </c>
      <c r="X136" s="323"/>
      <c r="Y136" s="323"/>
      <c r="Z136" s="323"/>
      <c r="AA136" s="162"/>
      <c r="AB136" s="323"/>
      <c r="AC136" s="6"/>
      <c r="AE136" s="283">
        <f ca="1">$AE$1-Table4[[#This Row],[Date Captured]]</f>
        <v>3</v>
      </c>
      <c r="AF136" s="58" t="b">
        <f>IFERROR(OR(Table4[[#This Row],[Status]]="02. Open &amp; Assigned",Table4[[#This Row],[Status]]="01. Open",Table4[[#This Row],[Status]]="03. Action/Mitigation Plan Defined",Table4[[#This Row],[Status]]="04. Action Plan Completed",Table4[[#This Row],[Status]]="08. Blank"),"")</f>
        <v>1</v>
      </c>
      <c r="AG136" s="58" t="str">
        <f>IF(Table4[[#This Row],[Required Risk Resolution Date]]="","FALSE",IF($AE$1&gt;Table4[[#This Row],[Required Risk Resolution Date]],TRUE,FALSE))</f>
        <v>FALSE</v>
      </c>
      <c r="AH136" s="58" t="b">
        <f t="shared" ca="1" si="8"/>
        <v>0</v>
      </c>
      <c r="AI136" s="58" t="b">
        <f t="shared" ca="1" si="9"/>
        <v>0</v>
      </c>
      <c r="AJ136" s="58" t="b">
        <f t="shared" ca="1" si="10"/>
        <v>0</v>
      </c>
      <c r="AK136" s="58" t="b">
        <f>OR(Table4[[#This Row],[Priority]]="Critical",Table4[[#This Row],[Priority]]="High")</f>
        <v>0</v>
      </c>
      <c r="AL136" s="283">
        <f ca="1">Table4[[#This Row],[Required Risk Resolution Date]]-$AE$1</f>
        <v>-40990</v>
      </c>
      <c r="AM136" s="58" t="b">
        <f t="shared" ca="1" si="11"/>
        <v>0</v>
      </c>
      <c r="AN136" s="59" t="b">
        <f>OR(Table4[[#This Row],[Priority]]="Critical",Table4[[#This Row],[Priority]]="High",Table4[[#This Row],[Priority]]="Moderate")</f>
        <v>0</v>
      </c>
    </row>
    <row r="137" spans="1:40" ht="202.5">
      <c r="A137" s="60" t="s">
        <v>2131</v>
      </c>
      <c r="B137" s="282">
        <v>40949</v>
      </c>
      <c r="C137" s="60" t="s">
        <v>1901</v>
      </c>
      <c r="D137" s="60" t="s">
        <v>1566</v>
      </c>
      <c r="E137" s="323" t="s">
        <v>2791</v>
      </c>
      <c r="F137" s="323" t="s">
        <v>2792</v>
      </c>
      <c r="G137" s="323" t="s">
        <v>2793</v>
      </c>
      <c r="H137" s="323" t="s">
        <v>154</v>
      </c>
      <c r="I137" s="323"/>
      <c r="J137" s="324" t="s">
        <v>1901</v>
      </c>
      <c r="K137" s="323" t="s">
        <v>166</v>
      </c>
      <c r="L137" s="323" t="s">
        <v>129</v>
      </c>
      <c r="M137" s="323" t="s">
        <v>1493</v>
      </c>
      <c r="N137" s="323" t="s">
        <v>81</v>
      </c>
      <c r="O137" s="323" t="s">
        <v>93</v>
      </c>
      <c r="P137" s="323" t="s">
        <v>93</v>
      </c>
      <c r="Q137" s="323" t="s">
        <v>94</v>
      </c>
      <c r="R137" s="323" t="s">
        <v>93</v>
      </c>
      <c r="S137" s="323" t="s">
        <v>2030</v>
      </c>
      <c r="T137" s="323" t="s">
        <v>29</v>
      </c>
      <c r="U137" s="323" t="s">
        <v>2031</v>
      </c>
      <c r="V137" s="323" t="s">
        <v>2032</v>
      </c>
      <c r="W137" s="323" t="s">
        <v>2794</v>
      </c>
      <c r="X137" s="55">
        <v>40968</v>
      </c>
      <c r="Y137" s="323" t="s">
        <v>1565</v>
      </c>
      <c r="Z137" s="323"/>
      <c r="AA137" s="162">
        <v>40999</v>
      </c>
      <c r="AB137" s="6"/>
      <c r="AC137" s="6"/>
      <c r="AE137" s="283">
        <f ca="1">$AE$1-Table4[[#This Row],[Date Captured]]</f>
        <v>41</v>
      </c>
      <c r="AF137" s="58" t="b">
        <f>IFERROR(OR(Table4[[#This Row],[Status]]="02. Open &amp; Assigned",Table4[[#This Row],[Status]]="01. Open",Table4[[#This Row],[Status]]="03. Action/Mitigation Plan Defined",Table4[[#This Row],[Status]]="04. Action Plan Completed",Table4[[#This Row],[Status]]="08. Blank"),"")</f>
        <v>1</v>
      </c>
      <c r="AG137" s="58" t="b">
        <f ca="1">IF(Table4[[#This Row],[Required Risk Resolution Date]]="","FALSE",IF($AE$1&gt;Table4[[#This Row],[Required Risk Resolution Date]],TRUE,FALSE))</f>
        <v>0</v>
      </c>
      <c r="AH137" s="58" t="b">
        <f t="shared" ca="1" si="8"/>
        <v>1</v>
      </c>
      <c r="AI137" s="58" t="b">
        <f t="shared" ca="1" si="9"/>
        <v>0</v>
      </c>
      <c r="AJ137" s="58" t="b">
        <f t="shared" ca="1" si="10"/>
        <v>0</v>
      </c>
      <c r="AK137" s="58" t="b">
        <f>OR(Table4[[#This Row],[Priority]]="Critical",Table4[[#This Row],[Priority]]="High")</f>
        <v>0</v>
      </c>
      <c r="AL137" s="283">
        <f ca="1">Table4[[#This Row],[Required Risk Resolution Date]]-$AE$1</f>
        <v>9</v>
      </c>
      <c r="AM137" s="58" t="b">
        <f t="shared" ca="1" si="11"/>
        <v>0</v>
      </c>
      <c r="AN137" s="59" t="b">
        <f>OR(Table4[[#This Row],[Priority]]="Critical",Table4[[#This Row],[Priority]]="High",Table4[[#This Row],[Priority]]="Moderate")</f>
        <v>1</v>
      </c>
    </row>
    <row r="138" spans="1:40" ht="216">
      <c r="A138" s="60" t="s">
        <v>584</v>
      </c>
      <c r="B138" s="273">
        <v>40966</v>
      </c>
      <c r="C138" s="60" t="s">
        <v>523</v>
      </c>
      <c r="D138" s="60" t="s">
        <v>1566</v>
      </c>
      <c r="E138" s="323" t="s">
        <v>2273</v>
      </c>
      <c r="F138" s="323" t="s">
        <v>2270</v>
      </c>
      <c r="G138" s="323" t="s">
        <v>2271</v>
      </c>
      <c r="H138" s="323" t="s">
        <v>154</v>
      </c>
      <c r="I138" s="323"/>
      <c r="J138" s="323" t="s">
        <v>523</v>
      </c>
      <c r="K138" s="323" t="s">
        <v>2272</v>
      </c>
      <c r="L138" s="323" t="s">
        <v>128</v>
      </c>
      <c r="M138" s="323" t="s">
        <v>1579</v>
      </c>
      <c r="N138" s="323" t="s">
        <v>83</v>
      </c>
      <c r="O138" s="323" t="s">
        <v>167</v>
      </c>
      <c r="P138" s="323" t="s">
        <v>93</v>
      </c>
      <c r="Q138" s="323" t="s">
        <v>167</v>
      </c>
      <c r="R138" s="323" t="s">
        <v>109</v>
      </c>
      <c r="S138" s="323" t="s">
        <v>2164</v>
      </c>
      <c r="T138" s="323" t="s">
        <v>29</v>
      </c>
      <c r="U138" s="323" t="s">
        <v>2164</v>
      </c>
      <c r="V138" s="323" t="s">
        <v>2247</v>
      </c>
      <c r="W138" s="323" t="s">
        <v>2631</v>
      </c>
      <c r="X138" s="55">
        <v>40982</v>
      </c>
      <c r="Y138" s="323"/>
      <c r="Z138" s="323"/>
      <c r="AA138" s="162">
        <v>40999</v>
      </c>
      <c r="AB138" s="6"/>
      <c r="AC138" s="6"/>
      <c r="AE138" s="283">
        <f ca="1">$AE$1-Table4[[#This Row],[Date Captured]]</f>
        <v>24</v>
      </c>
      <c r="AF138" s="58" t="b">
        <f>IFERROR(OR(Table4[[#This Row],[Status]]="02. Open &amp; Assigned",Table4[[#This Row],[Status]]="01. Open",Table4[[#This Row],[Status]]="03. Action/Mitigation Plan Defined",Table4[[#This Row],[Status]]="04. Action Plan Completed",Table4[[#This Row],[Status]]="08. Blank"),"")</f>
        <v>1</v>
      </c>
      <c r="AG138" s="58" t="b">
        <f ca="1">IF(Table4[[#This Row],[Required Risk Resolution Date]]="","FALSE",IF($AE$1&gt;Table4[[#This Row],[Required Risk Resolution Date]],TRUE,FALSE))</f>
        <v>0</v>
      </c>
      <c r="AH138" s="58" t="b">
        <f t="shared" ca="1" si="8"/>
        <v>0</v>
      </c>
      <c r="AI138" s="58" t="b">
        <f t="shared" ca="1" si="9"/>
        <v>0</v>
      </c>
      <c r="AJ138" s="58" t="b">
        <f t="shared" ca="1" si="10"/>
        <v>0</v>
      </c>
      <c r="AK138" s="58" t="b">
        <f>OR(Table4[[#This Row],[Priority]]="Critical",Table4[[#This Row],[Priority]]="High")</f>
        <v>1</v>
      </c>
      <c r="AL138" s="283">
        <f ca="1">Table4[[#This Row],[Required Risk Resolution Date]]-$AE$1</f>
        <v>9</v>
      </c>
      <c r="AM138" s="58" t="b">
        <f t="shared" ca="1" si="11"/>
        <v>0</v>
      </c>
      <c r="AN138" s="59" t="b">
        <f>OR(Table4[[#This Row],[Priority]]="Critical",Table4[[#This Row],[Priority]]="High",Table4[[#This Row],[Priority]]="Moderate")</f>
        <v>1</v>
      </c>
    </row>
    <row r="139" spans="1:40" ht="256.5">
      <c r="A139" s="60" t="s">
        <v>2192</v>
      </c>
      <c r="B139" s="273">
        <v>40973</v>
      </c>
      <c r="C139" s="60" t="s">
        <v>523</v>
      </c>
      <c r="D139" s="60" t="s">
        <v>1566</v>
      </c>
      <c r="E139" s="6" t="s">
        <v>2335</v>
      </c>
      <c r="F139" s="323" t="s">
        <v>2336</v>
      </c>
      <c r="G139" s="6" t="s">
        <v>2246</v>
      </c>
      <c r="H139" s="323" t="s">
        <v>154</v>
      </c>
      <c r="I139" s="323"/>
      <c r="J139" s="323" t="s">
        <v>523</v>
      </c>
      <c r="K139" s="6" t="s">
        <v>2428</v>
      </c>
      <c r="L139" s="6" t="s">
        <v>128</v>
      </c>
      <c r="M139" s="6" t="s">
        <v>1579</v>
      </c>
      <c r="N139" s="6" t="s">
        <v>83</v>
      </c>
      <c r="O139" s="6" t="s">
        <v>167</v>
      </c>
      <c r="P139" s="6" t="s">
        <v>93</v>
      </c>
      <c r="Q139" s="6" t="s">
        <v>167</v>
      </c>
      <c r="R139" s="6" t="s">
        <v>109</v>
      </c>
      <c r="S139" s="6" t="s">
        <v>2164</v>
      </c>
      <c r="T139" s="323" t="s">
        <v>29</v>
      </c>
      <c r="U139" s="6" t="s">
        <v>2164</v>
      </c>
      <c r="V139" s="323" t="s">
        <v>2337</v>
      </c>
      <c r="W139" s="323" t="s">
        <v>2338</v>
      </c>
      <c r="X139" s="55">
        <v>40968</v>
      </c>
      <c r="Y139" s="6" t="s">
        <v>1574</v>
      </c>
      <c r="Z139" s="6"/>
      <c r="AA139" s="162">
        <v>40999</v>
      </c>
      <c r="AB139" s="6"/>
      <c r="AC139" s="6"/>
      <c r="AE139" s="283">
        <f ca="1">$AE$1-Table4[[#This Row],[Date Captured]]</f>
        <v>17</v>
      </c>
      <c r="AF139" s="58" t="b">
        <f>IFERROR(OR(Table4[[#This Row],[Status]]="02. Open &amp; Assigned",Table4[[#This Row],[Status]]="01. Open",Table4[[#This Row],[Status]]="03. Action/Mitigation Plan Defined",Table4[[#This Row],[Status]]="04. Action Plan Completed",Table4[[#This Row],[Status]]="08. Blank"),"")</f>
        <v>1</v>
      </c>
      <c r="AG139" s="58" t="b">
        <f ca="1">IF(Table4[[#This Row],[Required Risk Resolution Date]]="","FALSE",IF($AE$1&gt;Table4[[#This Row],[Required Risk Resolution Date]],TRUE,FALSE))</f>
        <v>0</v>
      </c>
      <c r="AH139" s="58" t="b">
        <f t="shared" ca="1" si="8"/>
        <v>0</v>
      </c>
      <c r="AI139" s="58" t="b">
        <f t="shared" ca="1" si="9"/>
        <v>0</v>
      </c>
      <c r="AJ139" s="58" t="b">
        <f t="shared" ca="1" si="10"/>
        <v>0</v>
      </c>
      <c r="AK139" s="58" t="b">
        <f>OR(Table4[[#This Row],[Priority]]="Critical",Table4[[#This Row],[Priority]]="High")</f>
        <v>1</v>
      </c>
      <c r="AL139" s="283">
        <f ca="1">Table4[[#This Row],[Required Risk Resolution Date]]-$AE$1</f>
        <v>9</v>
      </c>
      <c r="AM139" s="58" t="b">
        <f t="shared" ca="1" si="11"/>
        <v>0</v>
      </c>
      <c r="AN139" s="59" t="b">
        <f>OR(Table4[[#This Row],[Priority]]="Critical",Table4[[#This Row],[Priority]]="High",Table4[[#This Row],[Priority]]="Moderate")</f>
        <v>1</v>
      </c>
    </row>
    <row r="140" spans="1:40" ht="121.5">
      <c r="A140" s="60" t="s">
        <v>2193</v>
      </c>
      <c r="B140" s="273">
        <v>40973</v>
      </c>
      <c r="C140" s="60" t="s">
        <v>523</v>
      </c>
      <c r="D140" s="60" t="s">
        <v>1566</v>
      </c>
      <c r="E140" s="6" t="s">
        <v>2339</v>
      </c>
      <c r="F140" s="323" t="s">
        <v>2340</v>
      </c>
      <c r="G140" s="323" t="s">
        <v>2341</v>
      </c>
      <c r="H140" s="323" t="s">
        <v>154</v>
      </c>
      <c r="I140" s="323"/>
      <c r="J140" s="323" t="s">
        <v>523</v>
      </c>
      <c r="K140" s="6" t="s">
        <v>2342</v>
      </c>
      <c r="L140" s="6" t="s">
        <v>129</v>
      </c>
      <c r="M140" s="6" t="s">
        <v>1579</v>
      </c>
      <c r="N140" s="6" t="s">
        <v>83</v>
      </c>
      <c r="O140" s="6" t="s">
        <v>167</v>
      </c>
      <c r="P140" s="6" t="s">
        <v>93</v>
      </c>
      <c r="Q140" s="6" t="s">
        <v>167</v>
      </c>
      <c r="R140" s="6" t="s">
        <v>109</v>
      </c>
      <c r="S140" s="6" t="s">
        <v>2164</v>
      </c>
      <c r="T140" s="323" t="s">
        <v>29</v>
      </c>
      <c r="U140" s="6" t="s">
        <v>2164</v>
      </c>
      <c r="V140" s="323" t="s">
        <v>2343</v>
      </c>
      <c r="W140" s="323" t="s">
        <v>2344</v>
      </c>
      <c r="X140" s="55">
        <v>40975</v>
      </c>
      <c r="Y140" s="323"/>
      <c r="Z140" s="6"/>
      <c r="AA140" s="162">
        <v>40999</v>
      </c>
      <c r="AB140" s="323"/>
      <c r="AC140" s="6"/>
      <c r="AE140" s="283">
        <f ca="1">$AE$1-Table4[[#This Row],[Date Captured]]</f>
        <v>17</v>
      </c>
      <c r="AF140" s="58" t="b">
        <f>IFERROR(OR(Table4[[#This Row],[Status]]="02. Open &amp; Assigned",Table4[[#This Row],[Status]]="01. Open",Table4[[#This Row],[Status]]="03. Action/Mitigation Plan Defined",Table4[[#This Row],[Status]]="04. Action Plan Completed",Table4[[#This Row],[Status]]="08. Blank"),"")</f>
        <v>1</v>
      </c>
      <c r="AG140" s="58" t="b">
        <f ca="1">IF(Table4[[#This Row],[Required Risk Resolution Date]]="","FALSE",IF($AE$1&gt;Table4[[#This Row],[Required Risk Resolution Date]],TRUE,FALSE))</f>
        <v>0</v>
      </c>
      <c r="AH140" s="58" t="b">
        <f t="shared" ca="1" si="8"/>
        <v>0</v>
      </c>
      <c r="AI140" s="58" t="b">
        <f t="shared" ca="1" si="9"/>
        <v>0</v>
      </c>
      <c r="AJ140" s="58" t="b">
        <f t="shared" ca="1" si="10"/>
        <v>0</v>
      </c>
      <c r="AK140" s="58" t="b">
        <f>OR(Table4[[#This Row],[Priority]]="Critical",Table4[[#This Row],[Priority]]="High")</f>
        <v>0</v>
      </c>
      <c r="AL140" s="283">
        <f ca="1">Table4[[#This Row],[Required Risk Resolution Date]]-$AE$1</f>
        <v>9</v>
      </c>
      <c r="AM140" s="58" t="b">
        <f t="shared" ca="1" si="11"/>
        <v>0</v>
      </c>
      <c r="AN140" s="59" t="b">
        <f>OR(Table4[[#This Row],[Priority]]="Critical",Table4[[#This Row],[Priority]]="High",Table4[[#This Row],[Priority]]="Moderate")</f>
        <v>1</v>
      </c>
    </row>
    <row r="141" spans="1:40" ht="405">
      <c r="A141" s="60" t="s">
        <v>519</v>
      </c>
      <c r="B141" s="258">
        <v>40855</v>
      </c>
      <c r="C141" s="60" t="s">
        <v>523</v>
      </c>
      <c r="D141" s="60" t="s">
        <v>1566</v>
      </c>
      <c r="E141" s="6" t="s">
        <v>1909</v>
      </c>
      <c r="F141" s="323" t="s">
        <v>1990</v>
      </c>
      <c r="G141" s="129" t="s">
        <v>535</v>
      </c>
      <c r="H141" s="323" t="s">
        <v>154</v>
      </c>
      <c r="I141" s="323"/>
      <c r="J141" s="323" t="s">
        <v>523</v>
      </c>
      <c r="K141" s="6" t="s">
        <v>186</v>
      </c>
      <c r="L141" s="6" t="s">
        <v>130</v>
      </c>
      <c r="M141" s="6" t="s">
        <v>1579</v>
      </c>
      <c r="N141" s="6" t="s">
        <v>83</v>
      </c>
      <c r="O141" s="6" t="s">
        <v>91</v>
      </c>
      <c r="P141" s="6" t="s">
        <v>91</v>
      </c>
      <c r="Q141" s="6" t="s">
        <v>167</v>
      </c>
      <c r="R141" s="6" t="s">
        <v>91</v>
      </c>
      <c r="S141" s="6" t="s">
        <v>1910</v>
      </c>
      <c r="T141" s="323" t="s">
        <v>29</v>
      </c>
      <c r="U141" s="6" t="s">
        <v>538</v>
      </c>
      <c r="V141" s="6" t="s">
        <v>1912</v>
      </c>
      <c r="W141" s="323" t="s">
        <v>2632</v>
      </c>
      <c r="X141" s="147">
        <v>40989</v>
      </c>
      <c r="Y141" s="147" t="s">
        <v>1565</v>
      </c>
      <c r="Z141" s="6"/>
      <c r="AA141" s="262">
        <v>41029</v>
      </c>
      <c r="AB141" s="261"/>
      <c r="AC141" s="6"/>
      <c r="AE141" s="283">
        <f ca="1">$AE$1-Table4[[#This Row],[Date Captured]]</f>
        <v>135</v>
      </c>
      <c r="AF141" s="58" t="b">
        <f>IFERROR(OR(Table4[[#This Row],[Status]]="02. Open &amp; Assigned",Table4[[#This Row],[Status]]="01. Open",Table4[[#This Row],[Status]]="03. Action/Mitigation Plan Defined",Table4[[#This Row],[Status]]="04. Action Plan Completed",Table4[[#This Row],[Status]]="08. Blank"),"")</f>
        <v>1</v>
      </c>
      <c r="AG141" s="58" t="b">
        <f ca="1">IF(Table4[[#This Row],[Required Risk Resolution Date]]="","FALSE",IF($AE$1&gt;Table4[[#This Row],[Required Risk Resolution Date]],TRUE,FALSE))</f>
        <v>0</v>
      </c>
      <c r="AH141" s="58" t="b">
        <f t="shared" ca="1" si="8"/>
        <v>0</v>
      </c>
      <c r="AI141" s="58" t="b">
        <f t="shared" ca="1" si="9"/>
        <v>1</v>
      </c>
      <c r="AJ141" s="58" t="b">
        <f t="shared" ca="1" si="10"/>
        <v>0</v>
      </c>
      <c r="AK141" s="58" t="b">
        <f>OR(Table4[[#This Row],[Priority]]="Critical",Table4[[#This Row],[Priority]]="High")</f>
        <v>0</v>
      </c>
      <c r="AL141" s="283">
        <f ca="1">Table4[[#This Row],[Required Risk Resolution Date]]-$AE$1</f>
        <v>39</v>
      </c>
      <c r="AM141" s="58" t="b">
        <f t="shared" ca="1" si="11"/>
        <v>0</v>
      </c>
      <c r="AN141" s="59" t="b">
        <f>OR(Table4[[#This Row],[Priority]]="Critical",Table4[[#This Row],[Priority]]="High",Table4[[#This Row],[Priority]]="Moderate")</f>
        <v>0</v>
      </c>
    </row>
    <row r="142" spans="1:40" ht="256.5">
      <c r="A142" s="60" t="s">
        <v>576</v>
      </c>
      <c r="B142" s="273">
        <v>40960</v>
      </c>
      <c r="C142" s="60" t="s">
        <v>523</v>
      </c>
      <c r="D142" s="60" t="s">
        <v>1566</v>
      </c>
      <c r="E142" s="6" t="s">
        <v>2180</v>
      </c>
      <c r="F142" s="323" t="s">
        <v>2163</v>
      </c>
      <c r="G142" s="6" t="s">
        <v>2166</v>
      </c>
      <c r="H142" s="323" t="s">
        <v>154</v>
      </c>
      <c r="I142" s="323"/>
      <c r="J142" s="323" t="s">
        <v>523</v>
      </c>
      <c r="K142" s="6" t="s">
        <v>1116</v>
      </c>
      <c r="L142" s="6" t="s">
        <v>130</v>
      </c>
      <c r="M142" s="6" t="s">
        <v>1493</v>
      </c>
      <c r="N142" s="6" t="s">
        <v>83</v>
      </c>
      <c r="O142" s="6" t="s">
        <v>93</v>
      </c>
      <c r="P142" s="6" t="s">
        <v>93</v>
      </c>
      <c r="Q142" s="6" t="s">
        <v>93</v>
      </c>
      <c r="R142" s="6" t="s">
        <v>109</v>
      </c>
      <c r="S142" s="6" t="s">
        <v>2164</v>
      </c>
      <c r="T142" s="323" t="s">
        <v>29</v>
      </c>
      <c r="U142" s="6" t="s">
        <v>2164</v>
      </c>
      <c r="V142" s="6" t="s">
        <v>2165</v>
      </c>
      <c r="W142" s="6" t="s">
        <v>2895</v>
      </c>
      <c r="X142" s="55">
        <v>41029</v>
      </c>
      <c r="Y142" s="6" t="s">
        <v>1574</v>
      </c>
      <c r="Z142" s="6"/>
      <c r="AA142" s="162">
        <v>41029</v>
      </c>
      <c r="AB142" s="6"/>
      <c r="AC142" s="6" t="s">
        <v>2219</v>
      </c>
      <c r="AE142" s="283">
        <f ca="1">$AE$1-Table4[[#This Row],[Date Captured]]</f>
        <v>30</v>
      </c>
      <c r="AF142" s="58" t="b">
        <f>IFERROR(OR(Table4[[#This Row],[Status]]="02. Open &amp; Assigned",Table4[[#This Row],[Status]]="01. Open",Table4[[#This Row],[Status]]="03. Action/Mitigation Plan Defined",Table4[[#This Row],[Status]]="04. Action Plan Completed",Table4[[#This Row],[Status]]="08. Blank"),"")</f>
        <v>1</v>
      </c>
      <c r="AG142" s="58" t="b">
        <f ca="1">IF(Table4[[#This Row],[Required Risk Resolution Date]]="","FALSE",IF($AE$1&gt;Table4[[#This Row],[Required Risk Resolution Date]],TRUE,FALSE))</f>
        <v>0</v>
      </c>
      <c r="AH142" s="58" t="b">
        <f t="shared" ca="1" si="8"/>
        <v>1</v>
      </c>
      <c r="AI142" s="58" t="b">
        <f t="shared" ca="1" si="9"/>
        <v>0</v>
      </c>
      <c r="AJ142" s="58" t="b">
        <f t="shared" ca="1" si="10"/>
        <v>0</v>
      </c>
      <c r="AK142" s="58" t="b">
        <f>OR(Table4[[#This Row],[Priority]]="Critical",Table4[[#This Row],[Priority]]="High")</f>
        <v>0</v>
      </c>
      <c r="AL142" s="283">
        <f ca="1">Table4[[#This Row],[Required Risk Resolution Date]]-$AE$1</f>
        <v>39</v>
      </c>
      <c r="AM142" s="58" t="b">
        <f t="shared" ca="1" si="11"/>
        <v>0</v>
      </c>
      <c r="AN142" s="59" t="b">
        <f>OR(Table4[[#This Row],[Priority]]="Critical",Table4[[#This Row],[Priority]]="High",Table4[[#This Row],[Priority]]="Moderate")</f>
        <v>0</v>
      </c>
    </row>
    <row r="143" spans="1:40" ht="405">
      <c r="A143" s="60" t="s">
        <v>577</v>
      </c>
      <c r="B143" s="273">
        <v>40960</v>
      </c>
      <c r="C143" s="60" t="s">
        <v>523</v>
      </c>
      <c r="D143" s="60" t="s">
        <v>1566</v>
      </c>
      <c r="E143" s="323" t="s">
        <v>2274</v>
      </c>
      <c r="F143" s="323" t="s">
        <v>2275</v>
      </c>
      <c r="G143" s="323" t="s">
        <v>2246</v>
      </c>
      <c r="H143" s="323" t="s">
        <v>154</v>
      </c>
      <c r="I143" s="323"/>
      <c r="J143" s="323" t="s">
        <v>523</v>
      </c>
      <c r="K143" s="323" t="s">
        <v>2427</v>
      </c>
      <c r="L143" s="323" t="s">
        <v>128</v>
      </c>
      <c r="M143" s="323" t="s">
        <v>1579</v>
      </c>
      <c r="N143" s="323" t="s">
        <v>83</v>
      </c>
      <c r="O143" s="323" t="s">
        <v>167</v>
      </c>
      <c r="P143" s="323" t="s">
        <v>93</v>
      </c>
      <c r="Q143" s="323" t="s">
        <v>167</v>
      </c>
      <c r="R143" s="323" t="s">
        <v>109</v>
      </c>
      <c r="S143" s="323" t="s">
        <v>2164</v>
      </c>
      <c r="T143" s="323" t="s">
        <v>29</v>
      </c>
      <c r="U143" s="6" t="s">
        <v>2164</v>
      </c>
      <c r="V143" s="323" t="s">
        <v>2247</v>
      </c>
      <c r="W143" s="323" t="s">
        <v>2633</v>
      </c>
      <c r="X143" s="55">
        <v>40968</v>
      </c>
      <c r="Y143" s="323" t="s">
        <v>1574</v>
      </c>
      <c r="Z143" s="6"/>
      <c r="AA143" s="162">
        <v>40999</v>
      </c>
      <c r="AB143" s="6"/>
      <c r="AC143" s="6" t="s">
        <v>2221</v>
      </c>
      <c r="AE143" s="283">
        <f ca="1">$AE$1-Table4[[#This Row],[Date Captured]]</f>
        <v>30</v>
      </c>
      <c r="AF143" s="58" t="b">
        <f>IFERROR(OR(Table4[[#This Row],[Status]]="02. Open &amp; Assigned",Table4[[#This Row],[Status]]="01. Open",Table4[[#This Row],[Status]]="03. Action/Mitigation Plan Defined",Table4[[#This Row],[Status]]="04. Action Plan Completed",Table4[[#This Row],[Status]]="08. Blank"),"")</f>
        <v>1</v>
      </c>
      <c r="AG143" s="58" t="b">
        <f ca="1">IF(Table4[[#This Row],[Required Risk Resolution Date]]="","FALSE",IF($AE$1&gt;Table4[[#This Row],[Required Risk Resolution Date]],TRUE,FALSE))</f>
        <v>0</v>
      </c>
      <c r="AH143" s="58" t="b">
        <f t="shared" ca="1" si="8"/>
        <v>1</v>
      </c>
      <c r="AI143" s="58" t="b">
        <f t="shared" ca="1" si="9"/>
        <v>0</v>
      </c>
      <c r="AJ143" s="58" t="b">
        <f t="shared" ca="1" si="10"/>
        <v>0</v>
      </c>
      <c r="AK143" s="58" t="b">
        <f>OR(Table4[[#This Row],[Priority]]="Critical",Table4[[#This Row],[Priority]]="High")</f>
        <v>1</v>
      </c>
      <c r="AL143" s="283">
        <f ca="1">Table4[[#This Row],[Required Risk Resolution Date]]-$AE$1</f>
        <v>9</v>
      </c>
      <c r="AM143" s="58" t="b">
        <f t="shared" ca="1" si="11"/>
        <v>0</v>
      </c>
      <c r="AN143" s="59" t="b">
        <f>OR(Table4[[#This Row],[Priority]]="Critical",Table4[[#This Row],[Priority]]="High",Table4[[#This Row],[Priority]]="Moderate")</f>
        <v>1</v>
      </c>
    </row>
    <row r="144" spans="1:40">
      <c r="A144" s="60" t="s">
        <v>2969</v>
      </c>
      <c r="B144" s="60"/>
      <c r="C144" s="60"/>
      <c r="D144" s="60"/>
      <c r="E144" s="6"/>
      <c r="F144" s="6"/>
      <c r="G144" s="6"/>
      <c r="H144" s="6"/>
      <c r="I144" s="323"/>
      <c r="J144" s="6"/>
      <c r="K144" s="6"/>
      <c r="L144" s="6"/>
      <c r="M144" s="6"/>
      <c r="N144" s="6"/>
      <c r="O144" s="6"/>
      <c r="P144" s="6"/>
      <c r="Q144" s="6"/>
      <c r="R144" s="6"/>
      <c r="S144" s="6"/>
      <c r="T144" s="6"/>
      <c r="U144" s="6"/>
      <c r="V144" s="6"/>
      <c r="W144" s="6"/>
      <c r="X144" s="6"/>
      <c r="Y144" s="6"/>
      <c r="Z144" s="6"/>
      <c r="AA144" s="162"/>
      <c r="AB144" s="6"/>
      <c r="AC144" s="6"/>
      <c r="AE144" s="283">
        <f ca="1">$AE$1-Table4[[#This Row],[Date Captured]]</f>
        <v>40990</v>
      </c>
      <c r="AF144" s="58" t="b">
        <f>IFERROR(OR(Table4[[#This Row],[Status]]="02. Open &amp; Assigned",Table4[[#This Row],[Status]]="01. Open",Table4[[#This Row],[Status]]="03. Action/Mitigation Plan Defined",Table4[[#This Row],[Status]]="04. Action Plan Completed",Table4[[#This Row],[Status]]="08. Blank"),"")</f>
        <v>0</v>
      </c>
      <c r="AG144" s="58" t="str">
        <f>IF(Table4[[#This Row],[Required Risk Resolution Date]]="","FALSE",IF($AE$1&gt;Table4[[#This Row],[Required Risk Resolution Date]],TRUE,FALSE))</f>
        <v>FALSE</v>
      </c>
      <c r="AH144" s="58" t="b">
        <f t="shared" ca="1" si="8"/>
        <v>0</v>
      </c>
      <c r="AI144" s="58" t="b">
        <f t="shared" ca="1" si="9"/>
        <v>0</v>
      </c>
      <c r="AJ144" s="58" t="b">
        <f t="shared" ca="1" si="10"/>
        <v>1</v>
      </c>
      <c r="AK144" s="58" t="b">
        <f>OR(Table4[[#This Row],[Priority]]="Critical",Table4[[#This Row],[Priority]]="High")</f>
        <v>0</v>
      </c>
      <c r="AL144" s="283">
        <f ca="1">Table4[[#This Row],[Required Risk Resolution Date]]-$AE$1</f>
        <v>-40990</v>
      </c>
      <c r="AM144" s="58" t="b">
        <f t="shared" ca="1" si="11"/>
        <v>0</v>
      </c>
      <c r="AN144" s="59" t="b">
        <f>OR(Table4[[#This Row],[Priority]]="Critical",Table4[[#This Row],[Priority]]="High",Table4[[#This Row],[Priority]]="Moderate")</f>
        <v>0</v>
      </c>
    </row>
    <row r="145" spans="1:40">
      <c r="A145" s="60" t="s">
        <v>2970</v>
      </c>
      <c r="B145" s="60"/>
      <c r="C145" s="60"/>
      <c r="D145" s="60"/>
      <c r="E145" s="6"/>
      <c r="F145" s="6"/>
      <c r="G145" s="6"/>
      <c r="H145" s="6"/>
      <c r="I145" s="323"/>
      <c r="J145" s="6"/>
      <c r="K145" s="6"/>
      <c r="L145" s="6"/>
      <c r="M145" s="6"/>
      <c r="N145" s="6"/>
      <c r="O145" s="6"/>
      <c r="P145" s="6"/>
      <c r="Q145" s="6"/>
      <c r="R145" s="6"/>
      <c r="S145" s="6"/>
      <c r="T145" s="6"/>
      <c r="U145" s="6"/>
      <c r="V145" s="6"/>
      <c r="W145" s="6"/>
      <c r="X145" s="6"/>
      <c r="Y145" s="6"/>
      <c r="Z145" s="6"/>
      <c r="AA145" s="162"/>
      <c r="AB145" s="6"/>
      <c r="AC145" s="6"/>
      <c r="AE145" s="283">
        <f ca="1">$AE$1-Table4[[#This Row],[Date Captured]]</f>
        <v>40990</v>
      </c>
      <c r="AF145" s="58" t="b">
        <f>IFERROR(OR(Table4[[#This Row],[Status]]="02. Open &amp; Assigned",Table4[[#This Row],[Status]]="01. Open",Table4[[#This Row],[Status]]="03. Action/Mitigation Plan Defined",Table4[[#This Row],[Status]]="04. Action Plan Completed",Table4[[#This Row],[Status]]="08. Blank"),"")</f>
        <v>0</v>
      </c>
      <c r="AG145" s="58" t="str">
        <f>IF(Table4[[#This Row],[Required Risk Resolution Date]]="","FALSE",IF($AE$1&gt;Table4[[#This Row],[Required Risk Resolution Date]],TRUE,FALSE))</f>
        <v>FALSE</v>
      </c>
      <c r="AH145" s="58" t="b">
        <f t="shared" ca="1" si="8"/>
        <v>0</v>
      </c>
      <c r="AI145" s="58" t="b">
        <f t="shared" ca="1" si="9"/>
        <v>0</v>
      </c>
      <c r="AJ145" s="58" t="b">
        <f t="shared" ca="1" si="10"/>
        <v>1</v>
      </c>
      <c r="AK145" s="58" t="b">
        <f>OR(Table4[[#This Row],[Priority]]="Critical",Table4[[#This Row],[Priority]]="High")</f>
        <v>0</v>
      </c>
      <c r="AL145" s="283">
        <f ca="1">Table4[[#This Row],[Required Risk Resolution Date]]-$AE$1</f>
        <v>-40990</v>
      </c>
      <c r="AM145" s="58" t="b">
        <f t="shared" ca="1" si="11"/>
        <v>0</v>
      </c>
      <c r="AN145" s="59" t="b">
        <f>OR(Table4[[#This Row],[Priority]]="Critical",Table4[[#This Row],[Priority]]="High",Table4[[#This Row],[Priority]]="Moderate")</f>
        <v>0</v>
      </c>
    </row>
    <row r="146" spans="1:40">
      <c r="A146" s="60" t="s">
        <v>2971</v>
      </c>
      <c r="B146" s="60"/>
      <c r="C146" s="60"/>
      <c r="D146" s="60"/>
      <c r="E146" s="6"/>
      <c r="F146" s="6"/>
      <c r="G146" s="6"/>
      <c r="H146" s="6"/>
      <c r="I146" s="323"/>
      <c r="J146" s="6"/>
      <c r="K146" s="6"/>
      <c r="L146" s="6"/>
      <c r="M146" s="6"/>
      <c r="N146" s="6"/>
      <c r="O146" s="6"/>
      <c r="P146" s="6"/>
      <c r="Q146" s="6"/>
      <c r="R146" s="6"/>
      <c r="S146" s="6"/>
      <c r="T146" s="6"/>
      <c r="U146" s="6"/>
      <c r="V146" s="6"/>
      <c r="W146" s="6"/>
      <c r="X146" s="6"/>
      <c r="Y146" s="6"/>
      <c r="Z146" s="6"/>
      <c r="AA146" s="162"/>
      <c r="AB146" s="6"/>
      <c r="AC146" s="6"/>
      <c r="AE146" s="283">
        <f ca="1">$AE$1-Table4[[#This Row],[Date Captured]]</f>
        <v>40990</v>
      </c>
      <c r="AF146" s="58" t="b">
        <f>IFERROR(OR(Table4[[#This Row],[Status]]="02. Open &amp; Assigned",Table4[[#This Row],[Status]]="01. Open",Table4[[#This Row],[Status]]="03. Action/Mitigation Plan Defined",Table4[[#This Row],[Status]]="04. Action Plan Completed",Table4[[#This Row],[Status]]="08. Blank"),"")</f>
        <v>0</v>
      </c>
      <c r="AG146" s="58" t="str">
        <f>IF(Table4[[#This Row],[Required Risk Resolution Date]]="","FALSE",IF($AE$1&gt;Table4[[#This Row],[Required Risk Resolution Date]],TRUE,FALSE))</f>
        <v>FALSE</v>
      </c>
      <c r="AH146" s="58" t="b">
        <f t="shared" ca="1" si="8"/>
        <v>0</v>
      </c>
      <c r="AI146" s="58" t="b">
        <f t="shared" ca="1" si="9"/>
        <v>0</v>
      </c>
      <c r="AJ146" s="58" t="b">
        <f t="shared" ca="1" si="10"/>
        <v>1</v>
      </c>
      <c r="AK146" s="58" t="b">
        <f>OR(Table4[[#This Row],[Priority]]="Critical",Table4[[#This Row],[Priority]]="High")</f>
        <v>0</v>
      </c>
      <c r="AL146" s="283">
        <f ca="1">Table4[[#This Row],[Required Risk Resolution Date]]-$AE$1</f>
        <v>-40990</v>
      </c>
      <c r="AM146" s="58" t="b">
        <f t="shared" ca="1" si="11"/>
        <v>0</v>
      </c>
      <c r="AN146" s="59" t="b">
        <f>OR(Table4[[#This Row],[Priority]]="Critical",Table4[[#This Row],[Priority]]="High",Table4[[#This Row],[Priority]]="Moderate")</f>
        <v>0</v>
      </c>
    </row>
    <row r="147" spans="1:40">
      <c r="A147" s="60" t="s">
        <v>2972</v>
      </c>
      <c r="B147" s="60"/>
      <c r="C147" s="60"/>
      <c r="D147" s="60"/>
      <c r="E147" s="6"/>
      <c r="F147" s="6"/>
      <c r="G147" s="6"/>
      <c r="H147" s="6"/>
      <c r="I147" s="323"/>
      <c r="J147" s="6"/>
      <c r="K147" s="6"/>
      <c r="L147" s="6"/>
      <c r="M147" s="6"/>
      <c r="N147" s="6"/>
      <c r="O147" s="6"/>
      <c r="P147" s="6"/>
      <c r="Q147" s="6"/>
      <c r="R147" s="6"/>
      <c r="S147" s="6"/>
      <c r="T147" s="6"/>
      <c r="U147" s="6"/>
      <c r="V147" s="6"/>
      <c r="W147" s="6"/>
      <c r="X147" s="6"/>
      <c r="Y147" s="6"/>
      <c r="Z147" s="6"/>
      <c r="AA147" s="162"/>
      <c r="AB147" s="6"/>
      <c r="AC147" s="6"/>
      <c r="AE147" s="283">
        <f ca="1">$AE$1-Table4[[#This Row],[Date Captured]]</f>
        <v>40990</v>
      </c>
      <c r="AF147" s="58" t="b">
        <f>IFERROR(OR(Table4[[#This Row],[Status]]="02. Open &amp; Assigned",Table4[[#This Row],[Status]]="01. Open",Table4[[#This Row],[Status]]="03. Action/Mitigation Plan Defined",Table4[[#This Row],[Status]]="04. Action Plan Completed",Table4[[#This Row],[Status]]="08. Blank"),"")</f>
        <v>0</v>
      </c>
      <c r="AG147" s="58" t="str">
        <f>IF(Table4[[#This Row],[Required Risk Resolution Date]]="","FALSE",IF($AE$1&gt;Table4[[#This Row],[Required Risk Resolution Date]],TRUE,FALSE))</f>
        <v>FALSE</v>
      </c>
      <c r="AH147" s="58" t="b">
        <f t="shared" ca="1" si="8"/>
        <v>0</v>
      </c>
      <c r="AI147" s="58" t="b">
        <f t="shared" ca="1" si="9"/>
        <v>0</v>
      </c>
      <c r="AJ147" s="58" t="b">
        <f t="shared" ca="1" si="10"/>
        <v>1</v>
      </c>
      <c r="AK147" s="58" t="b">
        <f>OR(Table4[[#This Row],[Priority]]="Critical",Table4[[#This Row],[Priority]]="High")</f>
        <v>0</v>
      </c>
      <c r="AL147" s="283">
        <f ca="1">Table4[[#This Row],[Required Risk Resolution Date]]-$AE$1</f>
        <v>-40990</v>
      </c>
      <c r="AM147" s="58" t="b">
        <f t="shared" ca="1" si="11"/>
        <v>0</v>
      </c>
      <c r="AN147" s="59" t="b">
        <f>OR(Table4[[#This Row],[Priority]]="Critical",Table4[[#This Row],[Priority]]="High",Table4[[#This Row],[Priority]]="Moderate")</f>
        <v>0</v>
      </c>
    </row>
    <row r="148" spans="1:40">
      <c r="A148" s="60" t="s">
        <v>2973</v>
      </c>
      <c r="B148" s="60"/>
      <c r="C148" s="60"/>
      <c r="D148" s="60"/>
      <c r="E148" s="6"/>
      <c r="F148" s="6"/>
      <c r="G148" s="6"/>
      <c r="H148" s="6"/>
      <c r="I148" s="323"/>
      <c r="J148" s="6"/>
      <c r="K148" s="6"/>
      <c r="L148" s="6"/>
      <c r="M148" s="6"/>
      <c r="N148" s="6"/>
      <c r="O148" s="6"/>
      <c r="P148" s="6"/>
      <c r="Q148" s="6"/>
      <c r="R148" s="6"/>
      <c r="S148" s="6"/>
      <c r="T148" s="6"/>
      <c r="U148" s="6"/>
      <c r="V148" s="6"/>
      <c r="W148" s="6"/>
      <c r="X148" s="6"/>
      <c r="Y148" s="6"/>
      <c r="Z148" s="6"/>
      <c r="AA148" s="162"/>
      <c r="AB148" s="6"/>
      <c r="AC148" s="6"/>
      <c r="AE148" s="283">
        <f ca="1">$AE$1-Table4[[#This Row],[Date Captured]]</f>
        <v>40990</v>
      </c>
      <c r="AF148" s="58" t="b">
        <f>IFERROR(OR(Table4[[#This Row],[Status]]="02. Open &amp; Assigned",Table4[[#This Row],[Status]]="01. Open",Table4[[#This Row],[Status]]="03. Action/Mitigation Plan Defined",Table4[[#This Row],[Status]]="04. Action Plan Completed",Table4[[#This Row],[Status]]="08. Blank"),"")</f>
        <v>0</v>
      </c>
      <c r="AG148" s="58" t="str">
        <f>IF(Table4[[#This Row],[Required Risk Resolution Date]]="","FALSE",IF($AE$1&gt;Table4[[#This Row],[Required Risk Resolution Date]],TRUE,FALSE))</f>
        <v>FALSE</v>
      </c>
      <c r="AH148" s="58" t="b">
        <f t="shared" ca="1" si="8"/>
        <v>0</v>
      </c>
      <c r="AI148" s="58" t="b">
        <f t="shared" ca="1" si="9"/>
        <v>0</v>
      </c>
      <c r="AJ148" s="58" t="b">
        <f t="shared" ca="1" si="10"/>
        <v>1</v>
      </c>
      <c r="AK148" s="58" t="b">
        <f>OR(Table4[[#This Row],[Priority]]="Critical",Table4[[#This Row],[Priority]]="High")</f>
        <v>0</v>
      </c>
      <c r="AL148" s="283">
        <f ca="1">Table4[[#This Row],[Required Risk Resolution Date]]-$AE$1</f>
        <v>-40990</v>
      </c>
      <c r="AM148" s="58" t="b">
        <f t="shared" ca="1" si="11"/>
        <v>0</v>
      </c>
      <c r="AN148" s="59" t="b">
        <f>OR(Table4[[#This Row],[Priority]]="Critical",Table4[[#This Row],[Priority]]="High",Table4[[#This Row],[Priority]]="Moderate")</f>
        <v>0</v>
      </c>
    </row>
    <row r="149" spans="1:40">
      <c r="A149" s="60" t="s">
        <v>2974</v>
      </c>
      <c r="B149" s="60"/>
      <c r="C149" s="60"/>
      <c r="D149" s="60"/>
      <c r="E149" s="6"/>
      <c r="F149" s="6"/>
      <c r="G149" s="6"/>
      <c r="H149" s="6"/>
      <c r="I149" s="323"/>
      <c r="J149" s="6"/>
      <c r="K149" s="6"/>
      <c r="L149" s="6"/>
      <c r="M149" s="6"/>
      <c r="N149" s="6"/>
      <c r="O149" s="6"/>
      <c r="P149" s="6"/>
      <c r="Q149" s="6"/>
      <c r="R149" s="6"/>
      <c r="S149" s="6"/>
      <c r="T149" s="6"/>
      <c r="U149" s="6"/>
      <c r="V149" s="6"/>
      <c r="W149" s="6"/>
      <c r="X149" s="6"/>
      <c r="Y149" s="6"/>
      <c r="Z149" s="6"/>
      <c r="AA149" s="162"/>
      <c r="AB149" s="6"/>
      <c r="AC149" s="6"/>
      <c r="AE149" s="283">
        <f ca="1">$AE$1-Table4[[#This Row],[Date Captured]]</f>
        <v>40990</v>
      </c>
      <c r="AF149" s="58" t="b">
        <f>IFERROR(OR(Table4[[#This Row],[Status]]="02. Open &amp; Assigned",Table4[[#This Row],[Status]]="01. Open",Table4[[#This Row],[Status]]="03. Action/Mitigation Plan Defined",Table4[[#This Row],[Status]]="04. Action Plan Completed",Table4[[#This Row],[Status]]="08. Blank"),"")</f>
        <v>0</v>
      </c>
      <c r="AG149" s="58" t="str">
        <f>IF(Table4[[#This Row],[Required Risk Resolution Date]]="","FALSE",IF($AE$1&gt;Table4[[#This Row],[Required Risk Resolution Date]],TRUE,FALSE))</f>
        <v>FALSE</v>
      </c>
      <c r="AH149" s="58" t="b">
        <f t="shared" ca="1" si="8"/>
        <v>0</v>
      </c>
      <c r="AI149" s="58" t="b">
        <f t="shared" ca="1" si="9"/>
        <v>0</v>
      </c>
      <c r="AJ149" s="58" t="b">
        <f t="shared" ca="1" si="10"/>
        <v>1</v>
      </c>
      <c r="AK149" s="58" t="b">
        <f>OR(Table4[[#This Row],[Priority]]="Critical",Table4[[#This Row],[Priority]]="High")</f>
        <v>0</v>
      </c>
      <c r="AL149" s="283">
        <f ca="1">Table4[[#This Row],[Required Risk Resolution Date]]-$AE$1</f>
        <v>-40990</v>
      </c>
      <c r="AM149" s="58" t="b">
        <f t="shared" ca="1" si="11"/>
        <v>0</v>
      </c>
      <c r="AN149" s="59" t="b">
        <f>OR(Table4[[#This Row],[Priority]]="Critical",Table4[[#This Row],[Priority]]="High",Table4[[#This Row],[Priority]]="Moderate")</f>
        <v>0</v>
      </c>
    </row>
    <row r="150" spans="1:40">
      <c r="A150" s="60"/>
      <c r="B150" s="60"/>
      <c r="C150" s="60"/>
      <c r="D150" s="60"/>
      <c r="E150" s="6"/>
      <c r="F150" s="6"/>
      <c r="G150" s="6"/>
      <c r="H150" s="6"/>
      <c r="I150" s="323"/>
      <c r="J150" s="6"/>
      <c r="K150" s="6"/>
      <c r="L150" s="6"/>
      <c r="M150" s="6"/>
      <c r="N150" s="6"/>
      <c r="O150" s="6"/>
      <c r="P150" s="6"/>
      <c r="Q150" s="6"/>
      <c r="R150" s="6"/>
      <c r="S150" s="6"/>
      <c r="T150" s="6"/>
      <c r="U150" s="6"/>
      <c r="V150" s="6"/>
      <c r="W150" s="6"/>
      <c r="X150" s="6"/>
      <c r="Y150" s="6"/>
      <c r="Z150" s="6"/>
      <c r="AA150" s="162"/>
      <c r="AB150" s="6"/>
      <c r="AC150" s="6"/>
      <c r="AE150" s="283">
        <f ca="1">$AE$1-Table4[[#This Row],[Date Captured]]</f>
        <v>40990</v>
      </c>
      <c r="AF150" s="58" t="b">
        <f>IFERROR(OR(Table4[[#This Row],[Status]]="02. Open &amp; Assigned",Table4[[#This Row],[Status]]="01. Open",Table4[[#This Row],[Status]]="03. Action/Mitigation Plan Defined",Table4[[#This Row],[Status]]="04. Action Plan Completed",Table4[[#This Row],[Status]]="08. Blank"),"")</f>
        <v>0</v>
      </c>
      <c r="AG150" s="58" t="str">
        <f>IF(Table4[[#This Row],[Required Risk Resolution Date]]="","FALSE",IF($AE$1&gt;Table4[[#This Row],[Required Risk Resolution Date]],TRUE,FALSE))</f>
        <v>FALSE</v>
      </c>
      <c r="AH150" s="58" t="b">
        <f t="shared" ca="1" si="8"/>
        <v>0</v>
      </c>
      <c r="AI150" s="58" t="b">
        <f t="shared" ca="1" si="9"/>
        <v>0</v>
      </c>
      <c r="AJ150" s="58" t="b">
        <f t="shared" ca="1" si="10"/>
        <v>1</v>
      </c>
      <c r="AK150" s="58" t="b">
        <f>OR(Table4[[#This Row],[Priority]]="Critical",Table4[[#This Row],[Priority]]="High")</f>
        <v>0</v>
      </c>
      <c r="AL150" s="283">
        <f ca="1">Table4[[#This Row],[Required Risk Resolution Date]]-$AE$1</f>
        <v>-40990</v>
      </c>
      <c r="AM150" s="58" t="b">
        <f t="shared" ca="1" si="11"/>
        <v>0</v>
      </c>
      <c r="AN150" s="59" t="b">
        <f>OR(Table4[[#This Row],[Priority]]="Critical",Table4[[#This Row],[Priority]]="High",Table4[[#This Row],[Priority]]="Moderate")</f>
        <v>0</v>
      </c>
    </row>
    <row r="151" spans="1:40">
      <c r="A151" s="60"/>
      <c r="B151" s="60"/>
      <c r="C151" s="60"/>
      <c r="D151" s="60"/>
      <c r="E151" s="6"/>
      <c r="F151" s="6"/>
      <c r="G151" s="6"/>
      <c r="H151" s="6"/>
      <c r="I151" s="323"/>
      <c r="J151" s="6"/>
      <c r="K151" s="6"/>
      <c r="L151" s="6"/>
      <c r="M151" s="6"/>
      <c r="N151" s="6"/>
      <c r="O151" s="6"/>
      <c r="P151" s="6"/>
      <c r="Q151" s="6"/>
      <c r="R151" s="6"/>
      <c r="S151" s="6"/>
      <c r="T151" s="6"/>
      <c r="U151" s="6"/>
      <c r="V151" s="6"/>
      <c r="W151" s="6"/>
      <c r="X151" s="6"/>
      <c r="Y151" s="6"/>
      <c r="Z151" s="6"/>
      <c r="AA151" s="162"/>
      <c r="AB151" s="6"/>
      <c r="AC151" s="6"/>
      <c r="AE151" s="283">
        <f ca="1">$AE$1-Table4[[#This Row],[Date Captured]]</f>
        <v>40990</v>
      </c>
      <c r="AF151" s="58" t="b">
        <f>IFERROR(OR(Table4[[#This Row],[Status]]="02. Open &amp; Assigned",Table4[[#This Row],[Status]]="01. Open",Table4[[#This Row],[Status]]="03. Action/Mitigation Plan Defined",Table4[[#This Row],[Status]]="04. Action Plan Completed",Table4[[#This Row],[Status]]="08. Blank"),"")</f>
        <v>0</v>
      </c>
      <c r="AG151" s="58" t="str">
        <f>IF(Table4[[#This Row],[Required Risk Resolution Date]]="","FALSE",IF($AE$1&gt;Table4[[#This Row],[Required Risk Resolution Date]],TRUE,FALSE))</f>
        <v>FALSE</v>
      </c>
      <c r="AH151" s="58" t="b">
        <f t="shared" ca="1" si="8"/>
        <v>0</v>
      </c>
      <c r="AI151" s="58" t="b">
        <f t="shared" ca="1" si="9"/>
        <v>0</v>
      </c>
      <c r="AJ151" s="58" t="b">
        <f t="shared" ca="1" si="10"/>
        <v>1</v>
      </c>
      <c r="AK151" s="58" t="b">
        <f>OR(Table4[[#This Row],[Priority]]="Critical",Table4[[#This Row],[Priority]]="High")</f>
        <v>0</v>
      </c>
      <c r="AL151" s="283">
        <f ca="1">Table4[[#This Row],[Required Risk Resolution Date]]-$AE$1</f>
        <v>-40990</v>
      </c>
      <c r="AM151" s="58" t="b">
        <f t="shared" ca="1" si="11"/>
        <v>0</v>
      </c>
      <c r="AN151" s="59" t="b">
        <f>OR(Table4[[#This Row],[Priority]]="Critical",Table4[[#This Row],[Priority]]="High",Table4[[#This Row],[Priority]]="Moderate")</f>
        <v>0</v>
      </c>
    </row>
    <row r="152" spans="1:40">
      <c r="A152" s="60"/>
      <c r="B152" s="60"/>
      <c r="C152" s="60"/>
      <c r="D152" s="60"/>
      <c r="E152" s="6"/>
      <c r="F152" s="6"/>
      <c r="G152" s="6"/>
      <c r="H152" s="6"/>
      <c r="I152" s="323"/>
      <c r="J152" s="6"/>
      <c r="K152" s="6"/>
      <c r="L152" s="6"/>
      <c r="M152" s="6"/>
      <c r="N152" s="6"/>
      <c r="O152" s="6"/>
      <c r="P152" s="6"/>
      <c r="Q152" s="6"/>
      <c r="R152" s="6"/>
      <c r="S152" s="6"/>
      <c r="T152" s="6"/>
      <c r="U152" s="6"/>
      <c r="V152" s="6"/>
      <c r="W152" s="6"/>
      <c r="X152" s="6"/>
      <c r="Y152" s="6"/>
      <c r="Z152" s="6"/>
      <c r="AA152" s="162"/>
      <c r="AB152" s="6"/>
      <c r="AC152" s="6"/>
      <c r="AE152" s="283">
        <f ca="1">$AE$1-Table4[[#This Row],[Date Captured]]</f>
        <v>40990</v>
      </c>
      <c r="AF152" s="58" t="b">
        <f>IFERROR(OR(Table4[[#This Row],[Status]]="02. Open &amp; Assigned",Table4[[#This Row],[Status]]="01. Open",Table4[[#This Row],[Status]]="03. Action/Mitigation Plan Defined",Table4[[#This Row],[Status]]="04. Action Plan Completed",Table4[[#This Row],[Status]]="08. Blank"),"")</f>
        <v>0</v>
      </c>
      <c r="AG152" s="58" t="str">
        <f>IF(Table4[[#This Row],[Required Risk Resolution Date]]="","FALSE",IF($AE$1&gt;Table4[[#This Row],[Required Risk Resolution Date]],TRUE,FALSE))</f>
        <v>FALSE</v>
      </c>
      <c r="AH152" s="58" t="b">
        <f t="shared" ca="1" si="8"/>
        <v>0</v>
      </c>
      <c r="AI152" s="58" t="b">
        <f t="shared" ca="1" si="9"/>
        <v>0</v>
      </c>
      <c r="AJ152" s="58" t="b">
        <f t="shared" ca="1" si="10"/>
        <v>1</v>
      </c>
      <c r="AK152" s="58" t="b">
        <f>OR(Table4[[#This Row],[Priority]]="Critical",Table4[[#This Row],[Priority]]="High")</f>
        <v>0</v>
      </c>
      <c r="AL152" s="283">
        <f ca="1">Table4[[#This Row],[Required Risk Resolution Date]]-$AE$1</f>
        <v>-40990</v>
      </c>
      <c r="AM152" s="58" t="b">
        <f t="shared" ca="1" si="11"/>
        <v>0</v>
      </c>
      <c r="AN152" s="59" t="b">
        <f>OR(Table4[[#This Row],[Priority]]="Critical",Table4[[#This Row],[Priority]]="High",Table4[[#This Row],[Priority]]="Moderate")</f>
        <v>0</v>
      </c>
    </row>
    <row r="153" spans="1:40">
      <c r="A153" s="60"/>
      <c r="B153" s="60"/>
      <c r="C153" s="60"/>
      <c r="D153" s="60"/>
      <c r="E153" s="6"/>
      <c r="F153" s="6"/>
      <c r="G153" s="6"/>
      <c r="H153" s="6"/>
      <c r="I153" s="323"/>
      <c r="J153" s="6"/>
      <c r="K153" s="6"/>
      <c r="L153" s="6"/>
      <c r="M153" s="6"/>
      <c r="N153" s="6"/>
      <c r="O153" s="6"/>
      <c r="P153" s="6"/>
      <c r="Q153" s="6"/>
      <c r="R153" s="6"/>
      <c r="S153" s="6"/>
      <c r="T153" s="6"/>
      <c r="U153" s="6"/>
      <c r="V153" s="6"/>
      <c r="W153" s="6"/>
      <c r="X153" s="6"/>
      <c r="Y153" s="6"/>
      <c r="Z153" s="6"/>
      <c r="AA153" s="162"/>
      <c r="AB153" s="6"/>
      <c r="AC153" s="6"/>
      <c r="AE153" s="283">
        <f ca="1">$AE$1-Table4[[#This Row],[Date Captured]]</f>
        <v>40990</v>
      </c>
      <c r="AF153" s="58" t="b">
        <f>IFERROR(OR(Table4[[#This Row],[Status]]="02. Open &amp; Assigned",Table4[[#This Row],[Status]]="01. Open",Table4[[#This Row],[Status]]="03. Action/Mitigation Plan Defined",Table4[[#This Row],[Status]]="04. Action Plan Completed",Table4[[#This Row],[Status]]="08. Blank"),"")</f>
        <v>0</v>
      </c>
      <c r="AG153" s="58" t="str">
        <f>IF(Table4[[#This Row],[Required Risk Resolution Date]]="","FALSE",IF($AE$1&gt;Table4[[#This Row],[Required Risk Resolution Date]],TRUE,FALSE))</f>
        <v>FALSE</v>
      </c>
      <c r="AH153" s="58" t="b">
        <f t="shared" ca="1" si="8"/>
        <v>0</v>
      </c>
      <c r="AI153" s="58" t="b">
        <f t="shared" ca="1" si="9"/>
        <v>0</v>
      </c>
      <c r="AJ153" s="58" t="b">
        <f t="shared" ca="1" si="10"/>
        <v>1</v>
      </c>
      <c r="AK153" s="58" t="b">
        <f>OR(Table4[[#This Row],[Priority]]="Critical",Table4[[#This Row],[Priority]]="High")</f>
        <v>0</v>
      </c>
      <c r="AL153" s="283">
        <f ca="1">Table4[[#This Row],[Required Risk Resolution Date]]-$AE$1</f>
        <v>-40990</v>
      </c>
      <c r="AM153" s="58" t="b">
        <f t="shared" ca="1" si="11"/>
        <v>0</v>
      </c>
      <c r="AN153" s="59" t="b">
        <f>OR(Table4[[#This Row],[Priority]]="Critical",Table4[[#This Row],[Priority]]="High",Table4[[#This Row],[Priority]]="Moderate")</f>
        <v>0</v>
      </c>
    </row>
    <row r="154" spans="1:40">
      <c r="A154" s="60"/>
      <c r="B154" s="60"/>
      <c r="C154" s="60"/>
      <c r="D154" s="60"/>
      <c r="E154" s="6"/>
      <c r="F154" s="6"/>
      <c r="G154" s="6"/>
      <c r="H154" s="6"/>
      <c r="I154" s="323"/>
      <c r="J154" s="6"/>
      <c r="K154" s="6"/>
      <c r="L154" s="6"/>
      <c r="M154" s="6"/>
      <c r="N154" s="6"/>
      <c r="O154" s="6"/>
      <c r="P154" s="6"/>
      <c r="Q154" s="6"/>
      <c r="R154" s="6"/>
      <c r="S154" s="6"/>
      <c r="T154" s="6"/>
      <c r="U154" s="6"/>
      <c r="V154" s="6"/>
      <c r="W154" s="6"/>
      <c r="X154" s="6"/>
      <c r="Y154" s="6"/>
      <c r="Z154" s="6"/>
      <c r="AA154" s="162"/>
      <c r="AB154" s="6"/>
      <c r="AC154" s="6"/>
      <c r="AE154" s="283">
        <f ca="1">$AE$1-Table4[[#This Row],[Date Captured]]</f>
        <v>40990</v>
      </c>
      <c r="AF154" s="58" t="b">
        <f>IFERROR(OR(Table4[[#This Row],[Status]]="02. Open &amp; Assigned",Table4[[#This Row],[Status]]="01. Open",Table4[[#This Row],[Status]]="03. Action/Mitigation Plan Defined",Table4[[#This Row],[Status]]="04. Action Plan Completed",Table4[[#This Row],[Status]]="08. Blank"),"")</f>
        <v>0</v>
      </c>
      <c r="AG154" s="58" t="str">
        <f>IF(Table4[[#This Row],[Required Risk Resolution Date]]="","FALSE",IF($AE$1&gt;Table4[[#This Row],[Required Risk Resolution Date]],TRUE,FALSE))</f>
        <v>FALSE</v>
      </c>
      <c r="AH154" s="58" t="b">
        <f t="shared" ca="1" si="8"/>
        <v>0</v>
      </c>
      <c r="AI154" s="58" t="b">
        <f t="shared" ca="1" si="9"/>
        <v>0</v>
      </c>
      <c r="AJ154" s="58" t="b">
        <f t="shared" ca="1" si="10"/>
        <v>1</v>
      </c>
      <c r="AK154" s="58" t="b">
        <f>OR(Table4[[#This Row],[Priority]]="Critical",Table4[[#This Row],[Priority]]="High")</f>
        <v>0</v>
      </c>
      <c r="AL154" s="283">
        <f ca="1">Table4[[#This Row],[Required Risk Resolution Date]]-$AE$1</f>
        <v>-40990</v>
      </c>
      <c r="AM154" s="58" t="b">
        <f t="shared" ca="1" si="11"/>
        <v>0</v>
      </c>
      <c r="AN154" s="59" t="b">
        <f>OR(Table4[[#This Row],[Priority]]="Critical",Table4[[#This Row],[Priority]]="High",Table4[[#This Row],[Priority]]="Moderate")</f>
        <v>0</v>
      </c>
    </row>
    <row r="155" spans="1:40">
      <c r="A155" s="60"/>
      <c r="B155" s="60"/>
      <c r="C155" s="60"/>
      <c r="D155" s="60"/>
      <c r="E155" s="6"/>
      <c r="F155" s="6"/>
      <c r="G155" s="6"/>
      <c r="H155" s="6"/>
      <c r="I155" s="323"/>
      <c r="J155" s="6"/>
      <c r="K155" s="6"/>
      <c r="L155" s="6"/>
      <c r="M155" s="6"/>
      <c r="N155" s="6"/>
      <c r="O155" s="6"/>
      <c r="P155" s="6"/>
      <c r="Q155" s="6"/>
      <c r="R155" s="6"/>
      <c r="S155" s="6"/>
      <c r="T155" s="6"/>
      <c r="U155" s="6"/>
      <c r="V155" s="6"/>
      <c r="W155" s="6"/>
      <c r="X155" s="6"/>
      <c r="Y155" s="6"/>
      <c r="Z155" s="6"/>
      <c r="AA155" s="162"/>
      <c r="AB155" s="6"/>
      <c r="AC155" s="6"/>
      <c r="AE155" s="283">
        <f ca="1">$AE$1-Table4[[#This Row],[Date Captured]]</f>
        <v>40990</v>
      </c>
      <c r="AF155" s="58" t="b">
        <f>IFERROR(OR(Table4[[#This Row],[Status]]="02. Open &amp; Assigned",Table4[[#This Row],[Status]]="01. Open",Table4[[#This Row],[Status]]="03. Action/Mitigation Plan Defined",Table4[[#This Row],[Status]]="04. Action Plan Completed",Table4[[#This Row],[Status]]="08. Blank"),"")</f>
        <v>0</v>
      </c>
      <c r="AG155" s="58" t="str">
        <f>IF(Table4[[#This Row],[Required Risk Resolution Date]]="","FALSE",IF($AE$1&gt;Table4[[#This Row],[Required Risk Resolution Date]],TRUE,FALSE))</f>
        <v>FALSE</v>
      </c>
      <c r="AH155" s="58" t="b">
        <f t="shared" ca="1" si="8"/>
        <v>0</v>
      </c>
      <c r="AI155" s="58" t="b">
        <f t="shared" ca="1" si="9"/>
        <v>0</v>
      </c>
      <c r="AJ155" s="58" t="b">
        <f t="shared" ca="1" si="10"/>
        <v>1</v>
      </c>
      <c r="AK155" s="58" t="b">
        <f>OR(Table4[[#This Row],[Priority]]="Critical",Table4[[#This Row],[Priority]]="High")</f>
        <v>0</v>
      </c>
      <c r="AL155" s="283">
        <f ca="1">Table4[[#This Row],[Required Risk Resolution Date]]-$AE$1</f>
        <v>-40990</v>
      </c>
      <c r="AM155" s="58" t="b">
        <f t="shared" ca="1" si="11"/>
        <v>0</v>
      </c>
      <c r="AN155" s="59" t="b">
        <f>OR(Table4[[#This Row],[Priority]]="Critical",Table4[[#This Row],[Priority]]="High",Table4[[#This Row],[Priority]]="Moderate")</f>
        <v>0</v>
      </c>
    </row>
    <row r="156" spans="1:40">
      <c r="A156" s="60"/>
      <c r="B156" s="60"/>
      <c r="C156" s="60"/>
      <c r="D156" s="60"/>
      <c r="E156" s="6"/>
      <c r="F156" s="6"/>
      <c r="G156" s="6"/>
      <c r="H156" s="6"/>
      <c r="I156" s="323"/>
      <c r="J156" s="6"/>
      <c r="K156" s="6"/>
      <c r="L156" s="6"/>
      <c r="M156" s="6"/>
      <c r="N156" s="6"/>
      <c r="O156" s="6"/>
      <c r="P156" s="6"/>
      <c r="Q156" s="6"/>
      <c r="R156" s="6"/>
      <c r="S156" s="6"/>
      <c r="T156" s="6"/>
      <c r="U156" s="6"/>
      <c r="V156" s="6"/>
      <c r="W156" s="6"/>
      <c r="X156" s="6"/>
      <c r="Y156" s="6"/>
      <c r="Z156" s="6"/>
      <c r="AA156" s="162"/>
      <c r="AB156" s="6"/>
      <c r="AC156" s="6"/>
      <c r="AE156" s="283">
        <f ca="1">$AE$1-Table4[[#This Row],[Date Captured]]</f>
        <v>40990</v>
      </c>
      <c r="AF156" s="58" t="b">
        <f>IFERROR(OR(Table4[[#This Row],[Status]]="02. Open &amp; Assigned",Table4[[#This Row],[Status]]="01. Open",Table4[[#This Row],[Status]]="03. Action/Mitigation Plan Defined",Table4[[#This Row],[Status]]="04. Action Plan Completed",Table4[[#This Row],[Status]]="08. Blank"),"")</f>
        <v>0</v>
      </c>
      <c r="AG156" s="58" t="str">
        <f>IF(Table4[[#This Row],[Required Risk Resolution Date]]="","FALSE",IF($AE$1&gt;Table4[[#This Row],[Required Risk Resolution Date]],TRUE,FALSE))</f>
        <v>FALSE</v>
      </c>
      <c r="AH156" s="58" t="b">
        <f t="shared" ca="1" si="8"/>
        <v>0</v>
      </c>
      <c r="AI156" s="58" t="b">
        <f t="shared" ca="1" si="9"/>
        <v>0</v>
      </c>
      <c r="AJ156" s="58" t="b">
        <f t="shared" ca="1" si="10"/>
        <v>1</v>
      </c>
      <c r="AK156" s="58" t="b">
        <f>OR(Table4[[#This Row],[Priority]]="Critical",Table4[[#This Row],[Priority]]="High")</f>
        <v>0</v>
      </c>
      <c r="AL156" s="283">
        <f ca="1">Table4[[#This Row],[Required Risk Resolution Date]]-$AE$1</f>
        <v>-40990</v>
      </c>
      <c r="AM156" s="58" t="b">
        <f t="shared" ca="1" si="11"/>
        <v>0</v>
      </c>
      <c r="AN156" s="59" t="b">
        <f>OR(Table4[[#This Row],[Priority]]="Critical",Table4[[#This Row],[Priority]]="High",Table4[[#This Row],[Priority]]="Moderate")</f>
        <v>0</v>
      </c>
    </row>
    <row r="157" spans="1:40">
      <c r="A157" s="60"/>
      <c r="B157" s="60"/>
      <c r="C157" s="60"/>
      <c r="D157" s="60"/>
      <c r="E157" s="6"/>
      <c r="F157" s="6"/>
      <c r="G157" s="6"/>
      <c r="H157" s="6"/>
      <c r="I157" s="323"/>
      <c r="J157" s="6"/>
      <c r="K157" s="6"/>
      <c r="L157" s="6"/>
      <c r="M157" s="6"/>
      <c r="N157" s="6"/>
      <c r="O157" s="6"/>
      <c r="P157" s="6"/>
      <c r="Q157" s="6"/>
      <c r="R157" s="6"/>
      <c r="S157" s="6"/>
      <c r="T157" s="6"/>
      <c r="U157" s="6"/>
      <c r="V157" s="6"/>
      <c r="W157" s="6"/>
      <c r="X157" s="6"/>
      <c r="Y157" s="6"/>
      <c r="Z157" s="6"/>
      <c r="AA157" s="162"/>
      <c r="AB157" s="6"/>
      <c r="AC157" s="6"/>
      <c r="AE157" s="283">
        <f ca="1">$AE$1-Table4[[#This Row],[Date Captured]]</f>
        <v>40990</v>
      </c>
      <c r="AF157" s="58" t="b">
        <f>IFERROR(OR(Table4[[#This Row],[Status]]="02. Open &amp; Assigned",Table4[[#This Row],[Status]]="01. Open",Table4[[#This Row],[Status]]="03. Action/Mitigation Plan Defined",Table4[[#This Row],[Status]]="04. Action Plan Completed",Table4[[#This Row],[Status]]="08. Blank"),"")</f>
        <v>0</v>
      </c>
      <c r="AG157" s="58" t="str">
        <f>IF(Table4[[#This Row],[Required Risk Resolution Date]]="","FALSE",IF($AE$1&gt;Table4[[#This Row],[Required Risk Resolution Date]],TRUE,FALSE))</f>
        <v>FALSE</v>
      </c>
      <c r="AH157" s="58" t="b">
        <f t="shared" ca="1" si="8"/>
        <v>0</v>
      </c>
      <c r="AI157" s="58" t="b">
        <f t="shared" ca="1" si="9"/>
        <v>0</v>
      </c>
      <c r="AJ157" s="58" t="b">
        <f t="shared" ca="1" si="10"/>
        <v>1</v>
      </c>
      <c r="AK157" s="58" t="b">
        <f>OR(Table4[[#This Row],[Priority]]="Critical",Table4[[#This Row],[Priority]]="High")</f>
        <v>0</v>
      </c>
      <c r="AL157" s="283">
        <f ca="1">Table4[[#This Row],[Required Risk Resolution Date]]-$AE$1</f>
        <v>-40990</v>
      </c>
      <c r="AM157" s="58" t="b">
        <f t="shared" ca="1" si="11"/>
        <v>0</v>
      </c>
      <c r="AN157" s="59" t="b">
        <f>OR(Table4[[#This Row],[Priority]]="Critical",Table4[[#This Row],[Priority]]="High",Table4[[#This Row],[Priority]]="Moderate")</f>
        <v>0</v>
      </c>
    </row>
    <row r="158" spans="1:40">
      <c r="A158" s="60"/>
      <c r="B158" s="60"/>
      <c r="C158" s="60"/>
      <c r="D158" s="60"/>
      <c r="E158" s="6"/>
      <c r="F158" s="6"/>
      <c r="G158" s="6"/>
      <c r="H158" s="6"/>
      <c r="I158" s="323"/>
      <c r="J158" s="6"/>
      <c r="K158" s="6"/>
      <c r="L158" s="6"/>
      <c r="M158" s="6"/>
      <c r="N158" s="6"/>
      <c r="O158" s="6"/>
      <c r="P158" s="6"/>
      <c r="Q158" s="6"/>
      <c r="R158" s="6"/>
      <c r="S158" s="6"/>
      <c r="T158" s="6"/>
      <c r="U158" s="6"/>
      <c r="V158" s="6"/>
      <c r="W158" s="6"/>
      <c r="X158" s="6"/>
      <c r="Y158" s="6"/>
      <c r="Z158" s="6"/>
      <c r="AA158" s="162"/>
      <c r="AB158" s="6"/>
      <c r="AC158" s="6"/>
      <c r="AE158" s="283">
        <f ca="1">$AE$1-Table4[[#This Row],[Date Captured]]</f>
        <v>40990</v>
      </c>
      <c r="AF158" s="58" t="b">
        <f>IFERROR(OR(Table4[[#This Row],[Status]]="02. Open &amp; Assigned",Table4[[#This Row],[Status]]="01. Open",Table4[[#This Row],[Status]]="03. Action/Mitigation Plan Defined",Table4[[#This Row],[Status]]="04. Action Plan Completed",Table4[[#This Row],[Status]]="08. Blank"),"")</f>
        <v>0</v>
      </c>
      <c r="AG158" s="58" t="str">
        <f>IF(Table4[[#This Row],[Required Risk Resolution Date]]="","FALSE",IF($AE$1&gt;Table4[[#This Row],[Required Risk Resolution Date]],TRUE,FALSE))</f>
        <v>FALSE</v>
      </c>
      <c r="AH158" s="58" t="b">
        <f t="shared" ca="1" si="8"/>
        <v>0</v>
      </c>
      <c r="AI158" s="58" t="b">
        <f t="shared" ca="1" si="9"/>
        <v>0</v>
      </c>
      <c r="AJ158" s="58" t="b">
        <f t="shared" ca="1" si="10"/>
        <v>1</v>
      </c>
      <c r="AK158" s="58" t="b">
        <f>OR(Table4[[#This Row],[Priority]]="Critical",Table4[[#This Row],[Priority]]="High")</f>
        <v>0</v>
      </c>
      <c r="AL158" s="283">
        <f ca="1">Table4[[#This Row],[Required Risk Resolution Date]]-$AE$1</f>
        <v>-40990</v>
      </c>
      <c r="AM158" s="58" t="b">
        <f t="shared" ca="1" si="11"/>
        <v>0</v>
      </c>
      <c r="AN158" s="59" t="b">
        <f>OR(Table4[[#This Row],[Priority]]="Critical",Table4[[#This Row],[Priority]]="High",Table4[[#This Row],[Priority]]="Moderate")</f>
        <v>0</v>
      </c>
    </row>
    <row r="159" spans="1:40">
      <c r="A159" s="60"/>
      <c r="B159" s="60"/>
      <c r="C159" s="60"/>
      <c r="D159" s="60"/>
      <c r="E159" s="6"/>
      <c r="F159" s="6"/>
      <c r="G159" s="6"/>
      <c r="H159" s="6"/>
      <c r="I159" s="323"/>
      <c r="J159" s="6"/>
      <c r="K159" s="6"/>
      <c r="L159" s="6"/>
      <c r="M159" s="6"/>
      <c r="N159" s="6"/>
      <c r="O159" s="6"/>
      <c r="P159" s="6"/>
      <c r="Q159" s="6"/>
      <c r="R159" s="6"/>
      <c r="S159" s="6"/>
      <c r="T159" s="6"/>
      <c r="U159" s="6"/>
      <c r="V159" s="6"/>
      <c r="W159" s="6"/>
      <c r="X159" s="6"/>
      <c r="Y159" s="6"/>
      <c r="Z159" s="6"/>
      <c r="AA159" s="162"/>
      <c r="AB159" s="6"/>
      <c r="AC159" s="6"/>
      <c r="AE159" s="283">
        <f ca="1">$AE$1-Table4[[#This Row],[Date Captured]]</f>
        <v>40990</v>
      </c>
      <c r="AF159" s="58" t="b">
        <f>IFERROR(OR(Table4[[#This Row],[Status]]="02. Open &amp; Assigned",Table4[[#This Row],[Status]]="01. Open",Table4[[#This Row],[Status]]="03. Action/Mitigation Plan Defined",Table4[[#This Row],[Status]]="04. Action Plan Completed",Table4[[#This Row],[Status]]="08. Blank"),"")</f>
        <v>0</v>
      </c>
      <c r="AG159" s="58" t="str">
        <f>IF(Table4[[#This Row],[Required Risk Resolution Date]]="","FALSE",IF($AE$1&gt;Table4[[#This Row],[Required Risk Resolution Date]],TRUE,FALSE))</f>
        <v>FALSE</v>
      </c>
      <c r="AH159" s="58" t="b">
        <f t="shared" ca="1" si="8"/>
        <v>0</v>
      </c>
      <c r="AI159" s="58" t="b">
        <f t="shared" ca="1" si="9"/>
        <v>0</v>
      </c>
      <c r="AJ159" s="58" t="b">
        <f t="shared" ca="1" si="10"/>
        <v>1</v>
      </c>
      <c r="AK159" s="58" t="b">
        <f>OR(Table4[[#This Row],[Priority]]="Critical",Table4[[#This Row],[Priority]]="High")</f>
        <v>0</v>
      </c>
      <c r="AL159" s="283">
        <f ca="1">Table4[[#This Row],[Required Risk Resolution Date]]-$AE$1</f>
        <v>-40990</v>
      </c>
      <c r="AM159" s="58" t="b">
        <f t="shared" ca="1" si="11"/>
        <v>0</v>
      </c>
      <c r="AN159" s="59" t="b">
        <f>OR(Table4[[#This Row],[Priority]]="Critical",Table4[[#This Row],[Priority]]="High",Table4[[#This Row],[Priority]]="Moderate")</f>
        <v>0</v>
      </c>
    </row>
    <row r="160" spans="1:40">
      <c r="A160" s="60"/>
      <c r="B160" s="60"/>
      <c r="C160" s="60"/>
      <c r="D160" s="60"/>
      <c r="E160" s="6"/>
      <c r="F160" s="6"/>
      <c r="G160" s="6"/>
      <c r="H160" s="6"/>
      <c r="I160" s="323"/>
      <c r="J160" s="6"/>
      <c r="K160" s="6"/>
      <c r="L160" s="6"/>
      <c r="M160" s="6"/>
      <c r="N160" s="6"/>
      <c r="O160" s="6"/>
      <c r="P160" s="6"/>
      <c r="Q160" s="6"/>
      <c r="R160" s="6"/>
      <c r="S160" s="6"/>
      <c r="T160" s="6"/>
      <c r="U160" s="6"/>
      <c r="V160" s="6"/>
      <c r="W160" s="6"/>
      <c r="X160" s="6"/>
      <c r="Y160" s="6"/>
      <c r="Z160" s="6"/>
      <c r="AA160" s="162"/>
      <c r="AB160" s="6"/>
      <c r="AC160" s="6"/>
      <c r="AE160" s="283">
        <f ca="1">$AE$1-Table4[[#This Row],[Date Captured]]</f>
        <v>40990</v>
      </c>
      <c r="AF160" s="58" t="b">
        <f>IFERROR(OR(Table4[[#This Row],[Status]]="02. Open &amp; Assigned",Table4[[#This Row],[Status]]="01. Open",Table4[[#This Row],[Status]]="03. Action/Mitigation Plan Defined",Table4[[#This Row],[Status]]="04. Action Plan Completed",Table4[[#This Row],[Status]]="08. Blank"),"")</f>
        <v>0</v>
      </c>
      <c r="AG160" s="58" t="str">
        <f>IF(Table4[[#This Row],[Required Risk Resolution Date]]="","FALSE",IF($AE$1&gt;Table4[[#This Row],[Required Risk Resolution Date]],TRUE,FALSE))</f>
        <v>FALSE</v>
      </c>
      <c r="AH160" s="58" t="b">
        <f t="shared" ca="1" si="8"/>
        <v>0</v>
      </c>
      <c r="AI160" s="58" t="b">
        <f t="shared" ca="1" si="9"/>
        <v>0</v>
      </c>
      <c r="AJ160" s="58" t="b">
        <f t="shared" ca="1" si="10"/>
        <v>1</v>
      </c>
      <c r="AK160" s="58" t="b">
        <f>OR(Table4[[#This Row],[Priority]]="Critical",Table4[[#This Row],[Priority]]="High")</f>
        <v>0</v>
      </c>
      <c r="AL160" s="283">
        <f ca="1">Table4[[#This Row],[Required Risk Resolution Date]]-$AE$1</f>
        <v>-40990</v>
      </c>
      <c r="AM160" s="58" t="b">
        <f t="shared" ca="1" si="11"/>
        <v>0</v>
      </c>
      <c r="AN160" s="59" t="b">
        <f>OR(Table4[[#This Row],[Priority]]="Critical",Table4[[#This Row],[Priority]]="High",Table4[[#This Row],[Priority]]="Moderate")</f>
        <v>0</v>
      </c>
    </row>
    <row r="161" spans="1:40">
      <c r="A161" s="60"/>
      <c r="B161" s="60"/>
      <c r="C161" s="60"/>
      <c r="D161" s="60"/>
      <c r="E161" s="6"/>
      <c r="F161" s="6"/>
      <c r="G161" s="6"/>
      <c r="H161" s="6"/>
      <c r="I161" s="323"/>
      <c r="J161" s="6"/>
      <c r="K161" s="6"/>
      <c r="L161" s="6"/>
      <c r="M161" s="6"/>
      <c r="N161" s="6"/>
      <c r="O161" s="6"/>
      <c r="P161" s="6"/>
      <c r="Q161" s="6"/>
      <c r="R161" s="6"/>
      <c r="S161" s="6"/>
      <c r="T161" s="6"/>
      <c r="U161" s="6"/>
      <c r="V161" s="6"/>
      <c r="W161" s="6"/>
      <c r="X161" s="6"/>
      <c r="Y161" s="6"/>
      <c r="Z161" s="6"/>
      <c r="AA161" s="162"/>
      <c r="AB161" s="6"/>
      <c r="AC161" s="6"/>
      <c r="AE161" s="283">
        <f ca="1">$AE$1-Table4[[#This Row],[Date Captured]]</f>
        <v>40990</v>
      </c>
      <c r="AF161" s="58" t="b">
        <f>IFERROR(OR(Table4[[#This Row],[Status]]="02. Open &amp; Assigned",Table4[[#This Row],[Status]]="01. Open",Table4[[#This Row],[Status]]="03. Action/Mitigation Plan Defined",Table4[[#This Row],[Status]]="04. Action Plan Completed",Table4[[#This Row],[Status]]="08. Blank"),"")</f>
        <v>0</v>
      </c>
      <c r="AG161" s="58" t="str">
        <f>IF(Table4[[#This Row],[Required Risk Resolution Date]]="","FALSE",IF($AE$1&gt;Table4[[#This Row],[Required Risk Resolution Date]],TRUE,FALSE))</f>
        <v>FALSE</v>
      </c>
      <c r="AH161" s="58" t="b">
        <f t="shared" ca="1" si="8"/>
        <v>0</v>
      </c>
      <c r="AI161" s="58" t="b">
        <f t="shared" ca="1" si="9"/>
        <v>0</v>
      </c>
      <c r="AJ161" s="58" t="b">
        <f t="shared" ca="1" si="10"/>
        <v>1</v>
      </c>
      <c r="AK161" s="58" t="b">
        <f>OR(Table4[[#This Row],[Priority]]="Critical",Table4[[#This Row],[Priority]]="High")</f>
        <v>0</v>
      </c>
      <c r="AL161" s="283">
        <f ca="1">Table4[[#This Row],[Required Risk Resolution Date]]-$AE$1</f>
        <v>-40990</v>
      </c>
      <c r="AM161" s="58" t="b">
        <f t="shared" ca="1" si="11"/>
        <v>0</v>
      </c>
      <c r="AN161" s="59" t="b">
        <f>OR(Table4[[#This Row],[Priority]]="Critical",Table4[[#This Row],[Priority]]="High",Table4[[#This Row],[Priority]]="Moderate")</f>
        <v>0</v>
      </c>
    </row>
    <row r="162" spans="1:40">
      <c r="A162" s="60"/>
      <c r="B162" s="60"/>
      <c r="C162" s="60"/>
      <c r="D162" s="60"/>
      <c r="E162" s="6"/>
      <c r="F162" s="6"/>
      <c r="G162" s="6"/>
      <c r="H162" s="6"/>
      <c r="I162" s="323"/>
      <c r="J162" s="6"/>
      <c r="K162" s="6"/>
      <c r="L162" s="6"/>
      <c r="M162" s="6"/>
      <c r="N162" s="6"/>
      <c r="O162" s="6"/>
      <c r="P162" s="6"/>
      <c r="Q162" s="6"/>
      <c r="R162" s="6"/>
      <c r="S162" s="6"/>
      <c r="T162" s="6"/>
      <c r="U162" s="6"/>
      <c r="V162" s="6"/>
      <c r="W162" s="6"/>
      <c r="X162" s="6"/>
      <c r="Y162" s="6"/>
      <c r="Z162" s="6"/>
      <c r="AA162" s="162"/>
      <c r="AB162" s="6"/>
      <c r="AC162" s="6"/>
      <c r="AE162" s="283">
        <f ca="1">$AE$1-Table4[[#This Row],[Date Captured]]</f>
        <v>40990</v>
      </c>
      <c r="AF162" s="58" t="b">
        <f>IFERROR(OR(Table4[[#This Row],[Status]]="02. Open &amp; Assigned",Table4[[#This Row],[Status]]="01. Open",Table4[[#This Row],[Status]]="03. Action/Mitigation Plan Defined",Table4[[#This Row],[Status]]="04. Action Plan Completed",Table4[[#This Row],[Status]]="08. Blank"),"")</f>
        <v>0</v>
      </c>
      <c r="AG162" s="58" t="str">
        <f>IF(Table4[[#This Row],[Required Risk Resolution Date]]="","FALSE",IF($AE$1&gt;Table4[[#This Row],[Required Risk Resolution Date]],TRUE,FALSE))</f>
        <v>FALSE</v>
      </c>
      <c r="AH162" s="58" t="b">
        <f t="shared" ca="1" si="8"/>
        <v>0</v>
      </c>
      <c r="AI162" s="58" t="b">
        <f t="shared" ca="1" si="9"/>
        <v>0</v>
      </c>
      <c r="AJ162" s="58" t="b">
        <f t="shared" ca="1" si="10"/>
        <v>1</v>
      </c>
      <c r="AK162" s="58" t="b">
        <f>OR(Table4[[#This Row],[Priority]]="Critical",Table4[[#This Row],[Priority]]="High")</f>
        <v>0</v>
      </c>
      <c r="AL162" s="283">
        <f ca="1">Table4[[#This Row],[Required Risk Resolution Date]]-$AE$1</f>
        <v>-40990</v>
      </c>
      <c r="AM162" s="58" t="b">
        <f t="shared" ca="1" si="11"/>
        <v>0</v>
      </c>
      <c r="AN162" s="59" t="b">
        <f>OR(Table4[[#This Row],[Priority]]="Critical",Table4[[#This Row],[Priority]]="High",Table4[[#This Row],[Priority]]="Moderate")</f>
        <v>0</v>
      </c>
    </row>
    <row r="163" spans="1:40">
      <c r="A163" s="60"/>
      <c r="B163" s="60"/>
      <c r="C163" s="60"/>
      <c r="D163" s="60"/>
      <c r="E163" s="6"/>
      <c r="F163" s="6"/>
      <c r="G163" s="6"/>
      <c r="H163" s="6"/>
      <c r="I163" s="323"/>
      <c r="J163" s="6"/>
      <c r="K163" s="6"/>
      <c r="L163" s="6"/>
      <c r="M163" s="6"/>
      <c r="N163" s="6"/>
      <c r="O163" s="6"/>
      <c r="P163" s="6"/>
      <c r="Q163" s="6"/>
      <c r="R163" s="6"/>
      <c r="S163" s="6"/>
      <c r="T163" s="6"/>
      <c r="U163" s="6"/>
      <c r="V163" s="6"/>
      <c r="W163" s="6"/>
      <c r="X163" s="6"/>
      <c r="Y163" s="6"/>
      <c r="Z163" s="6"/>
      <c r="AA163" s="162"/>
      <c r="AB163" s="6"/>
      <c r="AC163" s="6"/>
      <c r="AE163" s="283">
        <f ca="1">$AE$1-Table4[[#This Row],[Date Captured]]</f>
        <v>40990</v>
      </c>
      <c r="AF163" s="58" t="b">
        <f>IFERROR(OR(Table4[[#This Row],[Status]]="02. Open &amp; Assigned",Table4[[#This Row],[Status]]="01. Open",Table4[[#This Row],[Status]]="03. Action/Mitigation Plan Defined",Table4[[#This Row],[Status]]="04. Action Plan Completed",Table4[[#This Row],[Status]]="08. Blank"),"")</f>
        <v>0</v>
      </c>
      <c r="AG163" s="58" t="str">
        <f>IF(Table4[[#This Row],[Required Risk Resolution Date]]="","FALSE",IF($AE$1&gt;Table4[[#This Row],[Required Risk Resolution Date]],TRUE,FALSE))</f>
        <v>FALSE</v>
      </c>
      <c r="AH163" s="58" t="b">
        <f t="shared" ca="1" si="8"/>
        <v>0</v>
      </c>
      <c r="AI163" s="58" t="b">
        <f t="shared" ca="1" si="9"/>
        <v>0</v>
      </c>
      <c r="AJ163" s="58" t="b">
        <f t="shared" ca="1" si="10"/>
        <v>1</v>
      </c>
      <c r="AK163" s="58" t="b">
        <f>OR(Table4[[#This Row],[Priority]]="Critical",Table4[[#This Row],[Priority]]="High")</f>
        <v>0</v>
      </c>
      <c r="AL163" s="283">
        <f ca="1">Table4[[#This Row],[Required Risk Resolution Date]]-$AE$1</f>
        <v>-40990</v>
      </c>
      <c r="AM163" s="58" t="b">
        <f t="shared" ca="1" si="11"/>
        <v>0</v>
      </c>
      <c r="AN163" s="59" t="b">
        <f>OR(Table4[[#This Row],[Priority]]="Critical",Table4[[#This Row],[Priority]]="High",Table4[[#This Row],[Priority]]="Moderate")</f>
        <v>0</v>
      </c>
    </row>
    <row r="164" spans="1:40">
      <c r="A164" s="60"/>
      <c r="B164" s="60"/>
      <c r="C164" s="60"/>
      <c r="D164" s="60"/>
      <c r="E164" s="6"/>
      <c r="F164" s="6"/>
      <c r="G164" s="6"/>
      <c r="H164" s="6"/>
      <c r="I164" s="323"/>
      <c r="J164" s="6"/>
      <c r="K164" s="6"/>
      <c r="L164" s="6"/>
      <c r="M164" s="6"/>
      <c r="N164" s="6"/>
      <c r="O164" s="6"/>
      <c r="P164" s="6"/>
      <c r="Q164" s="6"/>
      <c r="R164" s="6"/>
      <c r="S164" s="6"/>
      <c r="T164" s="6"/>
      <c r="U164" s="6"/>
      <c r="V164" s="6"/>
      <c r="W164" s="6"/>
      <c r="X164" s="6"/>
      <c r="Y164" s="6"/>
      <c r="Z164" s="6"/>
      <c r="AA164" s="162"/>
      <c r="AB164" s="6"/>
      <c r="AC164" s="6"/>
      <c r="AE164" s="283">
        <f ca="1">$AE$1-Table4[[#This Row],[Date Captured]]</f>
        <v>40990</v>
      </c>
      <c r="AF164" s="58" t="b">
        <f>IFERROR(OR(Table4[[#This Row],[Status]]="02. Open &amp; Assigned",Table4[[#This Row],[Status]]="01. Open",Table4[[#This Row],[Status]]="03. Action/Mitigation Plan Defined",Table4[[#This Row],[Status]]="04. Action Plan Completed",Table4[[#This Row],[Status]]="08. Blank"),"")</f>
        <v>0</v>
      </c>
      <c r="AG164" s="58" t="str">
        <f>IF(Table4[[#This Row],[Required Risk Resolution Date]]="","FALSE",IF($AE$1&gt;Table4[[#This Row],[Required Risk Resolution Date]],TRUE,FALSE))</f>
        <v>FALSE</v>
      </c>
      <c r="AH164" s="58" t="b">
        <f t="shared" ca="1" si="8"/>
        <v>0</v>
      </c>
      <c r="AI164" s="58" t="b">
        <f t="shared" ca="1" si="9"/>
        <v>0</v>
      </c>
      <c r="AJ164" s="58" t="b">
        <f t="shared" ca="1" si="10"/>
        <v>1</v>
      </c>
      <c r="AK164" s="58" t="b">
        <f>OR(Table4[[#This Row],[Priority]]="Critical",Table4[[#This Row],[Priority]]="High")</f>
        <v>0</v>
      </c>
      <c r="AL164" s="283">
        <f ca="1">Table4[[#This Row],[Required Risk Resolution Date]]-$AE$1</f>
        <v>-40990</v>
      </c>
      <c r="AM164" s="58" t="b">
        <f t="shared" ca="1" si="11"/>
        <v>0</v>
      </c>
      <c r="AN164" s="59" t="b">
        <f>OR(Table4[[#This Row],[Priority]]="Critical",Table4[[#This Row],[Priority]]="High",Table4[[#This Row],[Priority]]="Moderate")</f>
        <v>0</v>
      </c>
    </row>
    <row r="165" spans="1:40">
      <c r="A165" s="60"/>
      <c r="B165" s="60"/>
      <c r="C165" s="60"/>
      <c r="D165" s="60"/>
      <c r="E165" s="6"/>
      <c r="F165" s="6"/>
      <c r="G165" s="6"/>
      <c r="H165" s="6"/>
      <c r="I165" s="323"/>
      <c r="J165" s="6"/>
      <c r="K165" s="6"/>
      <c r="L165" s="6"/>
      <c r="M165" s="6"/>
      <c r="N165" s="6"/>
      <c r="O165" s="6"/>
      <c r="P165" s="6"/>
      <c r="Q165" s="6"/>
      <c r="R165" s="6"/>
      <c r="S165" s="6"/>
      <c r="T165" s="6"/>
      <c r="U165" s="6"/>
      <c r="V165" s="6"/>
      <c r="W165" s="6"/>
      <c r="X165" s="6"/>
      <c r="Y165" s="6"/>
      <c r="Z165" s="6"/>
      <c r="AA165" s="162"/>
      <c r="AB165" s="6"/>
      <c r="AC165" s="6"/>
      <c r="AE165" s="283">
        <f ca="1">$AE$1-Table4[[#This Row],[Date Captured]]</f>
        <v>40990</v>
      </c>
      <c r="AF165" s="58" t="b">
        <f>IFERROR(OR(Table4[[#This Row],[Status]]="02. Open &amp; Assigned",Table4[[#This Row],[Status]]="01. Open",Table4[[#This Row],[Status]]="03. Action/Mitigation Plan Defined",Table4[[#This Row],[Status]]="04. Action Plan Completed",Table4[[#This Row],[Status]]="08. Blank"),"")</f>
        <v>0</v>
      </c>
      <c r="AG165" s="58" t="str">
        <f>IF(Table4[[#This Row],[Required Risk Resolution Date]]="","FALSE",IF($AE$1&gt;Table4[[#This Row],[Required Risk Resolution Date]],TRUE,FALSE))</f>
        <v>FALSE</v>
      </c>
      <c r="AH165" s="58" t="b">
        <f t="shared" ca="1" si="8"/>
        <v>0</v>
      </c>
      <c r="AI165" s="58" t="b">
        <f t="shared" ca="1" si="9"/>
        <v>0</v>
      </c>
      <c r="AJ165" s="58" t="b">
        <f t="shared" ca="1" si="10"/>
        <v>1</v>
      </c>
      <c r="AK165" s="58" t="b">
        <f>OR(Table4[[#This Row],[Priority]]="Critical",Table4[[#This Row],[Priority]]="High")</f>
        <v>0</v>
      </c>
      <c r="AL165" s="283">
        <f ca="1">Table4[[#This Row],[Required Risk Resolution Date]]-$AE$1</f>
        <v>-40990</v>
      </c>
      <c r="AM165" s="58" t="b">
        <f t="shared" ca="1" si="11"/>
        <v>0</v>
      </c>
      <c r="AN165" s="59" t="b">
        <f>OR(Table4[[#This Row],[Priority]]="Critical",Table4[[#This Row],[Priority]]="High",Table4[[#This Row],[Priority]]="Moderate")</f>
        <v>0</v>
      </c>
    </row>
    <row r="166" spans="1:40">
      <c r="A166" s="60"/>
      <c r="B166" s="60"/>
      <c r="C166" s="60"/>
      <c r="D166" s="60"/>
      <c r="E166" s="6"/>
      <c r="F166" s="6"/>
      <c r="G166" s="6"/>
      <c r="H166" s="6"/>
      <c r="I166" s="323"/>
      <c r="J166" s="6"/>
      <c r="K166" s="6"/>
      <c r="L166" s="6"/>
      <c r="M166" s="6"/>
      <c r="N166" s="6"/>
      <c r="O166" s="6"/>
      <c r="P166" s="6"/>
      <c r="Q166" s="6"/>
      <c r="R166" s="6"/>
      <c r="S166" s="6"/>
      <c r="T166" s="6"/>
      <c r="U166" s="6"/>
      <c r="V166" s="6"/>
      <c r="W166" s="6"/>
      <c r="X166" s="6"/>
      <c r="Y166" s="6"/>
      <c r="Z166" s="6"/>
      <c r="AA166" s="162"/>
      <c r="AB166" s="6"/>
      <c r="AC166" s="6"/>
      <c r="AE166" s="283">
        <f ca="1">$AE$1-Table4[[#This Row],[Date Captured]]</f>
        <v>40990</v>
      </c>
      <c r="AF166" s="58" t="b">
        <f>IFERROR(OR(Table4[[#This Row],[Status]]="02. Open &amp; Assigned",Table4[[#This Row],[Status]]="01. Open",Table4[[#This Row],[Status]]="03. Action/Mitigation Plan Defined",Table4[[#This Row],[Status]]="04. Action Plan Completed",Table4[[#This Row],[Status]]="08. Blank"),"")</f>
        <v>0</v>
      </c>
      <c r="AG166" s="58" t="str">
        <f>IF(Table4[[#This Row],[Required Risk Resolution Date]]="","FALSE",IF($AE$1&gt;Table4[[#This Row],[Required Risk Resolution Date]],TRUE,FALSE))</f>
        <v>FALSE</v>
      </c>
      <c r="AH166" s="58" t="b">
        <f t="shared" ca="1" si="8"/>
        <v>0</v>
      </c>
      <c r="AI166" s="58" t="b">
        <f t="shared" ca="1" si="9"/>
        <v>0</v>
      </c>
      <c r="AJ166" s="58" t="b">
        <f t="shared" ca="1" si="10"/>
        <v>1</v>
      </c>
      <c r="AK166" s="58" t="b">
        <f>OR(Table4[[#This Row],[Priority]]="Critical",Table4[[#This Row],[Priority]]="High")</f>
        <v>0</v>
      </c>
      <c r="AL166" s="283">
        <f ca="1">Table4[[#This Row],[Required Risk Resolution Date]]-$AE$1</f>
        <v>-40990</v>
      </c>
      <c r="AM166" s="58" t="b">
        <f t="shared" ca="1" si="11"/>
        <v>0</v>
      </c>
      <c r="AN166" s="59" t="b">
        <f>OR(Table4[[#This Row],[Priority]]="Critical",Table4[[#This Row],[Priority]]="High",Table4[[#This Row],[Priority]]="Moderate")</f>
        <v>0</v>
      </c>
    </row>
    <row r="167" spans="1:40">
      <c r="A167" s="60"/>
      <c r="B167" s="60"/>
      <c r="C167" s="60"/>
      <c r="D167" s="60"/>
      <c r="E167" s="6"/>
      <c r="F167" s="6"/>
      <c r="G167" s="6"/>
      <c r="H167" s="6"/>
      <c r="I167" s="323"/>
      <c r="J167" s="6"/>
      <c r="K167" s="6"/>
      <c r="L167" s="6"/>
      <c r="M167" s="6"/>
      <c r="N167" s="6"/>
      <c r="O167" s="6"/>
      <c r="P167" s="6"/>
      <c r="Q167" s="6"/>
      <c r="R167" s="6"/>
      <c r="S167" s="6"/>
      <c r="T167" s="6"/>
      <c r="U167" s="6"/>
      <c r="V167" s="6"/>
      <c r="W167" s="6"/>
      <c r="X167" s="6"/>
      <c r="Y167" s="6"/>
      <c r="Z167" s="6"/>
      <c r="AA167" s="162"/>
      <c r="AB167" s="6"/>
      <c r="AC167" s="6"/>
      <c r="AE167" s="283">
        <f ca="1">$AE$1-Table4[[#This Row],[Date Captured]]</f>
        <v>40990</v>
      </c>
      <c r="AF167" s="58" t="b">
        <f>IFERROR(OR(Table4[[#This Row],[Status]]="02. Open &amp; Assigned",Table4[[#This Row],[Status]]="01. Open",Table4[[#This Row],[Status]]="03. Action/Mitigation Plan Defined",Table4[[#This Row],[Status]]="04. Action Plan Completed",Table4[[#This Row],[Status]]="08. Blank"),"")</f>
        <v>0</v>
      </c>
      <c r="AG167" s="58" t="str">
        <f>IF(Table4[[#This Row],[Required Risk Resolution Date]]="","FALSE",IF($AE$1&gt;Table4[[#This Row],[Required Risk Resolution Date]],TRUE,FALSE))</f>
        <v>FALSE</v>
      </c>
      <c r="AH167" s="58" t="b">
        <f t="shared" ca="1" si="8"/>
        <v>0</v>
      </c>
      <c r="AI167" s="58" t="b">
        <f t="shared" ca="1" si="9"/>
        <v>0</v>
      </c>
      <c r="AJ167" s="58" t="b">
        <f t="shared" ca="1" si="10"/>
        <v>1</v>
      </c>
      <c r="AK167" s="58" t="b">
        <f>OR(Table4[[#This Row],[Priority]]="Critical",Table4[[#This Row],[Priority]]="High")</f>
        <v>0</v>
      </c>
      <c r="AL167" s="283">
        <f ca="1">Table4[[#This Row],[Required Risk Resolution Date]]-$AE$1</f>
        <v>-40990</v>
      </c>
      <c r="AM167" s="58" t="b">
        <f t="shared" ca="1" si="11"/>
        <v>0</v>
      </c>
      <c r="AN167" s="59" t="b">
        <f>OR(Table4[[#This Row],[Priority]]="Critical",Table4[[#This Row],[Priority]]="High",Table4[[#This Row],[Priority]]="Moderate")</f>
        <v>0</v>
      </c>
    </row>
    <row r="168" spans="1:40">
      <c r="A168" s="60"/>
      <c r="B168" s="60"/>
      <c r="C168" s="60"/>
      <c r="D168" s="60"/>
      <c r="E168" s="6"/>
      <c r="F168" s="6"/>
      <c r="G168" s="6"/>
      <c r="H168" s="6"/>
      <c r="I168" s="323"/>
      <c r="J168" s="6"/>
      <c r="K168" s="6"/>
      <c r="L168" s="6"/>
      <c r="M168" s="6"/>
      <c r="N168" s="6"/>
      <c r="O168" s="6"/>
      <c r="P168" s="6"/>
      <c r="Q168" s="6"/>
      <c r="R168" s="6"/>
      <c r="S168" s="6"/>
      <c r="T168" s="6"/>
      <c r="U168" s="6"/>
      <c r="V168" s="6"/>
      <c r="W168" s="6"/>
      <c r="X168" s="6"/>
      <c r="Y168" s="6"/>
      <c r="Z168" s="6"/>
      <c r="AA168" s="162"/>
      <c r="AB168" s="6"/>
      <c r="AC168" s="6"/>
      <c r="AE168" s="283">
        <f ca="1">$AE$1-Table4[[#This Row],[Date Captured]]</f>
        <v>40990</v>
      </c>
      <c r="AF168" s="58" t="b">
        <f>IFERROR(OR(Table4[[#This Row],[Status]]="02. Open &amp; Assigned",Table4[[#This Row],[Status]]="01. Open",Table4[[#This Row],[Status]]="03. Action/Mitigation Plan Defined",Table4[[#This Row],[Status]]="04. Action Plan Completed",Table4[[#This Row],[Status]]="08. Blank"),"")</f>
        <v>0</v>
      </c>
      <c r="AG168" s="58" t="str">
        <f>IF(Table4[[#This Row],[Required Risk Resolution Date]]="","FALSE",IF($AE$1&gt;Table4[[#This Row],[Required Risk Resolution Date]],TRUE,FALSE))</f>
        <v>FALSE</v>
      </c>
      <c r="AH168" s="58" t="b">
        <f t="shared" ca="1" si="8"/>
        <v>0</v>
      </c>
      <c r="AI168" s="58" t="b">
        <f t="shared" ca="1" si="9"/>
        <v>0</v>
      </c>
      <c r="AJ168" s="58" t="b">
        <f t="shared" ca="1" si="10"/>
        <v>1</v>
      </c>
      <c r="AK168" s="58" t="b">
        <f>OR(Table4[[#This Row],[Priority]]="Critical",Table4[[#This Row],[Priority]]="High")</f>
        <v>0</v>
      </c>
      <c r="AL168" s="283">
        <f ca="1">Table4[[#This Row],[Required Risk Resolution Date]]-$AE$1</f>
        <v>-40990</v>
      </c>
      <c r="AM168" s="58" t="b">
        <f t="shared" ca="1" si="11"/>
        <v>0</v>
      </c>
      <c r="AN168" s="59" t="b">
        <f>OR(Table4[[#This Row],[Priority]]="Critical",Table4[[#This Row],[Priority]]="High",Table4[[#This Row],[Priority]]="Moderate")</f>
        <v>0</v>
      </c>
    </row>
    <row r="169" spans="1:40">
      <c r="A169" s="60"/>
      <c r="B169" s="60"/>
      <c r="C169" s="60"/>
      <c r="D169" s="60"/>
      <c r="E169" s="6"/>
      <c r="F169" s="6"/>
      <c r="G169" s="6"/>
      <c r="H169" s="6"/>
      <c r="I169" s="323"/>
      <c r="J169" s="6"/>
      <c r="K169" s="6"/>
      <c r="L169" s="6"/>
      <c r="M169" s="6"/>
      <c r="N169" s="6"/>
      <c r="O169" s="6"/>
      <c r="P169" s="6"/>
      <c r="Q169" s="6"/>
      <c r="R169" s="6"/>
      <c r="S169" s="6"/>
      <c r="T169" s="6"/>
      <c r="U169" s="6"/>
      <c r="V169" s="6"/>
      <c r="W169" s="6"/>
      <c r="X169" s="6"/>
      <c r="Y169" s="6"/>
      <c r="Z169" s="6"/>
      <c r="AA169" s="162"/>
      <c r="AB169" s="6"/>
      <c r="AC169" s="6"/>
      <c r="AE169" s="283">
        <f ca="1">$AE$1-Table4[[#This Row],[Date Captured]]</f>
        <v>40990</v>
      </c>
      <c r="AF169" s="58" t="b">
        <f>IFERROR(OR(Table4[[#This Row],[Status]]="02. Open &amp; Assigned",Table4[[#This Row],[Status]]="01. Open",Table4[[#This Row],[Status]]="03. Action/Mitigation Plan Defined",Table4[[#This Row],[Status]]="04. Action Plan Completed",Table4[[#This Row],[Status]]="08. Blank"),"")</f>
        <v>0</v>
      </c>
      <c r="AG169" s="58" t="str">
        <f>IF(Table4[[#This Row],[Required Risk Resolution Date]]="","FALSE",IF($AE$1&gt;Table4[[#This Row],[Required Risk Resolution Date]],TRUE,FALSE))</f>
        <v>FALSE</v>
      </c>
      <c r="AH169" s="58" t="b">
        <f t="shared" ca="1" si="8"/>
        <v>0</v>
      </c>
      <c r="AI169" s="58" t="b">
        <f t="shared" ca="1" si="9"/>
        <v>0</v>
      </c>
      <c r="AJ169" s="58" t="b">
        <f t="shared" ca="1" si="10"/>
        <v>1</v>
      </c>
      <c r="AK169" s="58" t="b">
        <f>OR(Table4[[#This Row],[Priority]]="Critical",Table4[[#This Row],[Priority]]="High")</f>
        <v>0</v>
      </c>
      <c r="AL169" s="283">
        <f ca="1">Table4[[#This Row],[Required Risk Resolution Date]]-$AE$1</f>
        <v>-40990</v>
      </c>
      <c r="AM169" s="58" t="b">
        <f t="shared" ca="1" si="11"/>
        <v>0</v>
      </c>
      <c r="AN169" s="59" t="b">
        <f>OR(Table4[[#This Row],[Priority]]="Critical",Table4[[#This Row],[Priority]]="High",Table4[[#This Row],[Priority]]="Moderate")</f>
        <v>0</v>
      </c>
    </row>
    <row r="170" spans="1:40">
      <c r="A170" s="60"/>
      <c r="B170" s="60"/>
      <c r="C170" s="60"/>
      <c r="D170" s="60"/>
      <c r="E170" s="6"/>
      <c r="F170" s="6"/>
      <c r="G170" s="6"/>
      <c r="H170" s="6"/>
      <c r="I170" s="323"/>
      <c r="J170" s="6"/>
      <c r="K170" s="6"/>
      <c r="L170" s="6"/>
      <c r="M170" s="6"/>
      <c r="N170" s="6"/>
      <c r="O170" s="6"/>
      <c r="P170" s="6"/>
      <c r="Q170" s="6"/>
      <c r="R170" s="6"/>
      <c r="S170" s="6"/>
      <c r="T170" s="6"/>
      <c r="U170" s="6"/>
      <c r="V170" s="6"/>
      <c r="W170" s="6"/>
      <c r="X170" s="6"/>
      <c r="Y170" s="6"/>
      <c r="Z170" s="6"/>
      <c r="AA170" s="162"/>
      <c r="AB170" s="6"/>
      <c r="AC170" s="6"/>
      <c r="AE170" s="283">
        <f ca="1">$AE$1-Table4[[#This Row],[Date Captured]]</f>
        <v>40990</v>
      </c>
      <c r="AF170" s="58" t="b">
        <f>IFERROR(OR(Table4[[#This Row],[Status]]="02. Open &amp; Assigned",Table4[[#This Row],[Status]]="01. Open",Table4[[#This Row],[Status]]="03. Action/Mitigation Plan Defined",Table4[[#This Row],[Status]]="04. Action Plan Completed",Table4[[#This Row],[Status]]="08. Blank"),"")</f>
        <v>0</v>
      </c>
      <c r="AG170" s="58" t="str">
        <f>IF(Table4[[#This Row],[Required Risk Resolution Date]]="","FALSE",IF($AE$1&gt;Table4[[#This Row],[Required Risk Resolution Date]],TRUE,FALSE))</f>
        <v>FALSE</v>
      </c>
      <c r="AH170" s="58" t="b">
        <f t="shared" ca="1" si="8"/>
        <v>0</v>
      </c>
      <c r="AI170" s="58" t="b">
        <f t="shared" ca="1" si="9"/>
        <v>0</v>
      </c>
      <c r="AJ170" s="58" t="b">
        <f t="shared" ca="1" si="10"/>
        <v>1</v>
      </c>
      <c r="AK170" s="58" t="b">
        <f>OR(Table4[[#This Row],[Priority]]="Critical",Table4[[#This Row],[Priority]]="High")</f>
        <v>0</v>
      </c>
      <c r="AL170" s="283">
        <f ca="1">Table4[[#This Row],[Required Risk Resolution Date]]-$AE$1</f>
        <v>-40990</v>
      </c>
      <c r="AM170" s="58" t="b">
        <f t="shared" ca="1" si="11"/>
        <v>0</v>
      </c>
      <c r="AN170" s="59" t="b">
        <f>OR(Table4[[#This Row],[Priority]]="Critical",Table4[[#This Row],[Priority]]="High",Table4[[#This Row],[Priority]]="Moderate")</f>
        <v>0</v>
      </c>
    </row>
    <row r="171" spans="1:40">
      <c r="A171" s="60"/>
      <c r="B171" s="60"/>
      <c r="C171" s="60"/>
      <c r="D171" s="60"/>
      <c r="E171" s="6"/>
      <c r="F171" s="6"/>
      <c r="G171" s="6"/>
      <c r="H171" s="6"/>
      <c r="I171" s="323"/>
      <c r="J171" s="6"/>
      <c r="K171" s="6"/>
      <c r="L171" s="6"/>
      <c r="M171" s="6"/>
      <c r="N171" s="6"/>
      <c r="O171" s="6"/>
      <c r="P171" s="6"/>
      <c r="Q171" s="6"/>
      <c r="R171" s="6"/>
      <c r="S171" s="6"/>
      <c r="T171" s="6"/>
      <c r="U171" s="6"/>
      <c r="V171" s="6"/>
      <c r="W171" s="6"/>
      <c r="X171" s="6"/>
      <c r="Y171" s="6"/>
      <c r="Z171" s="6"/>
      <c r="AA171" s="162"/>
      <c r="AB171" s="6"/>
      <c r="AC171" s="6"/>
      <c r="AE171" s="283">
        <f ca="1">$AE$1-Table4[[#This Row],[Date Captured]]</f>
        <v>40990</v>
      </c>
      <c r="AF171" s="58" t="b">
        <f>IFERROR(OR(Table4[[#This Row],[Status]]="02. Open &amp; Assigned",Table4[[#This Row],[Status]]="01. Open",Table4[[#This Row],[Status]]="03. Action/Mitigation Plan Defined",Table4[[#This Row],[Status]]="04. Action Plan Completed",Table4[[#This Row],[Status]]="08. Blank"),"")</f>
        <v>0</v>
      </c>
      <c r="AG171" s="58" t="str">
        <f>IF(Table4[[#This Row],[Required Risk Resolution Date]]="","FALSE",IF($AE$1&gt;Table4[[#This Row],[Required Risk Resolution Date]],TRUE,FALSE))</f>
        <v>FALSE</v>
      </c>
      <c r="AH171" s="58" t="b">
        <f t="shared" ca="1" si="8"/>
        <v>0</v>
      </c>
      <c r="AI171" s="58" t="b">
        <f t="shared" ca="1" si="9"/>
        <v>0</v>
      </c>
      <c r="AJ171" s="58" t="b">
        <f t="shared" ca="1" si="10"/>
        <v>1</v>
      </c>
      <c r="AK171" s="58" t="b">
        <f>OR(Table4[[#This Row],[Priority]]="Critical",Table4[[#This Row],[Priority]]="High")</f>
        <v>0</v>
      </c>
      <c r="AL171" s="283">
        <f ca="1">Table4[[#This Row],[Required Risk Resolution Date]]-$AE$1</f>
        <v>-40990</v>
      </c>
      <c r="AM171" s="58" t="b">
        <f t="shared" ca="1" si="11"/>
        <v>0</v>
      </c>
      <c r="AN171" s="59" t="b">
        <f>OR(Table4[[#This Row],[Priority]]="Critical",Table4[[#This Row],[Priority]]="High",Table4[[#This Row],[Priority]]="Moderate")</f>
        <v>0</v>
      </c>
    </row>
    <row r="172" spans="1:40">
      <c r="A172" s="60"/>
      <c r="B172" s="60"/>
      <c r="C172" s="60"/>
      <c r="D172" s="60"/>
      <c r="E172" s="6"/>
      <c r="F172" s="6"/>
      <c r="G172" s="6"/>
      <c r="H172" s="6"/>
      <c r="I172" s="323"/>
      <c r="J172" s="6"/>
      <c r="K172" s="6"/>
      <c r="L172" s="6"/>
      <c r="M172" s="6"/>
      <c r="N172" s="6"/>
      <c r="O172" s="6"/>
      <c r="P172" s="6"/>
      <c r="Q172" s="6"/>
      <c r="R172" s="6"/>
      <c r="S172" s="6"/>
      <c r="T172" s="6"/>
      <c r="U172" s="6"/>
      <c r="V172" s="6"/>
      <c r="W172" s="6"/>
      <c r="X172" s="6"/>
      <c r="Y172" s="6"/>
      <c r="Z172" s="6"/>
      <c r="AA172" s="162"/>
      <c r="AB172" s="6"/>
      <c r="AC172" s="6"/>
      <c r="AE172" s="283">
        <f ca="1">$AE$1-Table4[[#This Row],[Date Captured]]</f>
        <v>40990</v>
      </c>
      <c r="AF172" s="58" t="b">
        <f>IFERROR(OR(Table4[[#This Row],[Status]]="02. Open &amp; Assigned",Table4[[#This Row],[Status]]="01. Open",Table4[[#This Row],[Status]]="03. Action/Mitigation Plan Defined",Table4[[#This Row],[Status]]="04. Action Plan Completed",Table4[[#This Row],[Status]]="08. Blank"),"")</f>
        <v>0</v>
      </c>
      <c r="AG172" s="58" t="str">
        <f>IF(Table4[[#This Row],[Required Risk Resolution Date]]="","FALSE",IF($AE$1&gt;Table4[[#This Row],[Required Risk Resolution Date]],TRUE,FALSE))</f>
        <v>FALSE</v>
      </c>
      <c r="AH172" s="58" t="b">
        <f t="shared" ca="1" si="8"/>
        <v>0</v>
      </c>
      <c r="AI172" s="58" t="b">
        <f t="shared" ca="1" si="9"/>
        <v>0</v>
      </c>
      <c r="AJ172" s="58" t="b">
        <f t="shared" ca="1" si="10"/>
        <v>1</v>
      </c>
      <c r="AK172" s="58" t="b">
        <f>OR(Table4[[#This Row],[Priority]]="Critical",Table4[[#This Row],[Priority]]="High")</f>
        <v>0</v>
      </c>
      <c r="AL172" s="283">
        <f ca="1">Table4[[#This Row],[Required Risk Resolution Date]]-$AE$1</f>
        <v>-40990</v>
      </c>
      <c r="AM172" s="58" t="b">
        <f t="shared" ca="1" si="11"/>
        <v>0</v>
      </c>
      <c r="AN172" s="59" t="b">
        <f>OR(Table4[[#This Row],[Priority]]="Critical",Table4[[#This Row],[Priority]]="High",Table4[[#This Row],[Priority]]="Moderate")</f>
        <v>0</v>
      </c>
    </row>
    <row r="173" spans="1:40">
      <c r="A173" s="60"/>
      <c r="B173" s="60"/>
      <c r="C173" s="60"/>
      <c r="D173" s="60"/>
      <c r="E173" s="6"/>
      <c r="F173" s="6"/>
      <c r="G173" s="6"/>
      <c r="H173" s="6"/>
      <c r="I173" s="323"/>
      <c r="J173" s="6"/>
      <c r="K173" s="6"/>
      <c r="L173" s="6"/>
      <c r="M173" s="6"/>
      <c r="N173" s="6"/>
      <c r="O173" s="6"/>
      <c r="P173" s="6"/>
      <c r="Q173" s="6"/>
      <c r="R173" s="6"/>
      <c r="S173" s="6"/>
      <c r="T173" s="6"/>
      <c r="U173" s="6"/>
      <c r="V173" s="6"/>
      <c r="W173" s="6"/>
      <c r="X173" s="6"/>
      <c r="Y173" s="6"/>
      <c r="Z173" s="6"/>
      <c r="AA173" s="162"/>
      <c r="AB173" s="6"/>
      <c r="AC173" s="6"/>
      <c r="AE173" s="283">
        <f ca="1">$AE$1-Table4[[#This Row],[Date Captured]]</f>
        <v>40990</v>
      </c>
      <c r="AF173" s="58" t="b">
        <f>IFERROR(OR(Table4[[#This Row],[Status]]="02. Open &amp; Assigned",Table4[[#This Row],[Status]]="01. Open",Table4[[#This Row],[Status]]="03. Action/Mitigation Plan Defined",Table4[[#This Row],[Status]]="04. Action Plan Completed",Table4[[#This Row],[Status]]="08. Blank"),"")</f>
        <v>0</v>
      </c>
      <c r="AG173" s="58" t="str">
        <f>IF(Table4[[#This Row],[Required Risk Resolution Date]]="","FALSE",IF($AE$1&gt;Table4[[#This Row],[Required Risk Resolution Date]],TRUE,FALSE))</f>
        <v>FALSE</v>
      </c>
      <c r="AH173" s="58" t="b">
        <f t="shared" ca="1" si="8"/>
        <v>0</v>
      </c>
      <c r="AI173" s="58" t="b">
        <f t="shared" ca="1" si="9"/>
        <v>0</v>
      </c>
      <c r="AJ173" s="58" t="b">
        <f t="shared" ca="1" si="10"/>
        <v>1</v>
      </c>
      <c r="AK173" s="58" t="b">
        <f>OR(Table4[[#This Row],[Priority]]="Critical",Table4[[#This Row],[Priority]]="High")</f>
        <v>0</v>
      </c>
      <c r="AL173" s="283">
        <f ca="1">Table4[[#This Row],[Required Risk Resolution Date]]-$AE$1</f>
        <v>-40990</v>
      </c>
      <c r="AM173" s="58" t="b">
        <f t="shared" ca="1" si="11"/>
        <v>0</v>
      </c>
      <c r="AN173" s="59" t="b">
        <f>OR(Table4[[#This Row],[Priority]]="Critical",Table4[[#This Row],[Priority]]="High",Table4[[#This Row],[Priority]]="Moderate")</f>
        <v>0</v>
      </c>
    </row>
    <row r="174" spans="1:40">
      <c r="A174" s="60"/>
      <c r="B174" s="60"/>
      <c r="C174" s="60"/>
      <c r="D174" s="60"/>
      <c r="E174" s="6"/>
      <c r="F174" s="6"/>
      <c r="G174" s="6"/>
      <c r="H174" s="6"/>
      <c r="I174" s="323"/>
      <c r="J174" s="6"/>
      <c r="K174" s="6"/>
      <c r="L174" s="6"/>
      <c r="M174" s="6"/>
      <c r="N174" s="6"/>
      <c r="O174" s="6"/>
      <c r="P174" s="6"/>
      <c r="Q174" s="6"/>
      <c r="R174" s="6"/>
      <c r="S174" s="6"/>
      <c r="T174" s="6"/>
      <c r="U174" s="6"/>
      <c r="V174" s="6"/>
      <c r="W174" s="6"/>
      <c r="X174" s="6"/>
      <c r="Y174" s="6"/>
      <c r="Z174" s="6"/>
      <c r="AA174" s="162"/>
      <c r="AB174" s="6"/>
      <c r="AC174" s="6"/>
      <c r="AE174" s="283">
        <f ca="1">$AE$1-Table4[[#This Row],[Date Captured]]</f>
        <v>40990</v>
      </c>
      <c r="AF174" s="58" t="b">
        <f>IFERROR(OR(Table4[[#This Row],[Status]]="02. Open &amp; Assigned",Table4[[#This Row],[Status]]="01. Open",Table4[[#This Row],[Status]]="03. Action/Mitigation Plan Defined",Table4[[#This Row],[Status]]="04. Action Plan Completed",Table4[[#This Row],[Status]]="08. Blank"),"")</f>
        <v>0</v>
      </c>
      <c r="AG174" s="58" t="str">
        <f>IF(Table4[[#This Row],[Required Risk Resolution Date]]="","FALSE",IF($AE$1&gt;Table4[[#This Row],[Required Risk Resolution Date]],TRUE,FALSE))</f>
        <v>FALSE</v>
      </c>
      <c r="AH174" s="58" t="b">
        <f t="shared" ca="1" si="8"/>
        <v>0</v>
      </c>
      <c r="AI174" s="58" t="b">
        <f t="shared" ca="1" si="9"/>
        <v>0</v>
      </c>
      <c r="AJ174" s="58" t="b">
        <f t="shared" ca="1" si="10"/>
        <v>1</v>
      </c>
      <c r="AK174" s="58" t="b">
        <f>OR(Table4[[#This Row],[Priority]]="Critical",Table4[[#This Row],[Priority]]="High")</f>
        <v>0</v>
      </c>
      <c r="AL174" s="283">
        <f ca="1">Table4[[#This Row],[Required Risk Resolution Date]]-$AE$1</f>
        <v>-40990</v>
      </c>
      <c r="AM174" s="58" t="b">
        <f t="shared" ca="1" si="11"/>
        <v>0</v>
      </c>
      <c r="AN174" s="59" t="b">
        <f>OR(Table4[[#This Row],[Priority]]="Critical",Table4[[#This Row],[Priority]]="High",Table4[[#This Row],[Priority]]="Moderate")</f>
        <v>0</v>
      </c>
    </row>
    <row r="175" spans="1:40">
      <c r="A175" s="60"/>
      <c r="B175" s="60"/>
      <c r="C175" s="60"/>
      <c r="D175" s="60"/>
      <c r="E175" s="6"/>
      <c r="F175" s="6"/>
      <c r="G175" s="6"/>
      <c r="H175" s="6"/>
      <c r="I175" s="323"/>
      <c r="J175" s="6"/>
      <c r="K175" s="6"/>
      <c r="L175" s="6"/>
      <c r="M175" s="6"/>
      <c r="N175" s="6"/>
      <c r="O175" s="6"/>
      <c r="P175" s="6"/>
      <c r="Q175" s="6"/>
      <c r="R175" s="6"/>
      <c r="S175" s="6"/>
      <c r="T175" s="6"/>
      <c r="U175" s="6"/>
      <c r="V175" s="6"/>
      <c r="W175" s="6"/>
      <c r="X175" s="6"/>
      <c r="Y175" s="6"/>
      <c r="Z175" s="6"/>
      <c r="AA175" s="162"/>
      <c r="AB175" s="6"/>
      <c r="AC175" s="6"/>
      <c r="AE175" s="283">
        <f ca="1">$AE$1-Table4[[#This Row],[Date Captured]]</f>
        <v>40990</v>
      </c>
      <c r="AF175" s="58" t="b">
        <f>IFERROR(OR(Table4[[#This Row],[Status]]="02. Open &amp; Assigned",Table4[[#This Row],[Status]]="01. Open",Table4[[#This Row],[Status]]="03. Action/Mitigation Plan Defined",Table4[[#This Row],[Status]]="04. Action Plan Completed",Table4[[#This Row],[Status]]="08. Blank"),"")</f>
        <v>0</v>
      </c>
      <c r="AG175" s="58" t="str">
        <f>IF(Table4[[#This Row],[Required Risk Resolution Date]]="","FALSE",IF($AE$1&gt;Table4[[#This Row],[Required Risk Resolution Date]],TRUE,FALSE))</f>
        <v>FALSE</v>
      </c>
      <c r="AH175" s="58" t="b">
        <f t="shared" ca="1" si="8"/>
        <v>0</v>
      </c>
      <c r="AI175" s="58" t="b">
        <f t="shared" ca="1" si="9"/>
        <v>0</v>
      </c>
      <c r="AJ175" s="58" t="b">
        <f t="shared" ca="1" si="10"/>
        <v>1</v>
      </c>
      <c r="AK175" s="58" t="b">
        <f>OR(Table4[[#This Row],[Priority]]="Critical",Table4[[#This Row],[Priority]]="High")</f>
        <v>0</v>
      </c>
      <c r="AL175" s="283">
        <f ca="1">Table4[[#This Row],[Required Risk Resolution Date]]-$AE$1</f>
        <v>-40990</v>
      </c>
      <c r="AM175" s="58" t="b">
        <f t="shared" ca="1" si="11"/>
        <v>0</v>
      </c>
      <c r="AN175" s="59" t="b">
        <f>OR(Table4[[#This Row],[Priority]]="Critical",Table4[[#This Row],[Priority]]="High",Table4[[#This Row],[Priority]]="Moderate")</f>
        <v>0</v>
      </c>
    </row>
    <row r="176" spans="1:40">
      <c r="A176" s="60"/>
      <c r="B176" s="60"/>
      <c r="C176" s="60"/>
      <c r="D176" s="60"/>
      <c r="E176" s="6"/>
      <c r="F176" s="6"/>
      <c r="G176" s="6"/>
      <c r="H176" s="6"/>
      <c r="I176" s="323"/>
      <c r="J176" s="6"/>
      <c r="K176" s="6"/>
      <c r="L176" s="6"/>
      <c r="M176" s="6"/>
      <c r="N176" s="6"/>
      <c r="O176" s="6"/>
      <c r="P176" s="6"/>
      <c r="Q176" s="6"/>
      <c r="R176" s="6"/>
      <c r="S176" s="6"/>
      <c r="T176" s="6"/>
      <c r="U176" s="6"/>
      <c r="V176" s="6"/>
      <c r="W176" s="6"/>
      <c r="X176" s="6"/>
      <c r="Y176" s="6"/>
      <c r="Z176" s="6"/>
      <c r="AA176" s="162"/>
      <c r="AB176" s="6"/>
      <c r="AC176" s="6"/>
      <c r="AE176" s="283">
        <f ca="1">$AE$1-Table4[[#This Row],[Date Captured]]</f>
        <v>40990</v>
      </c>
      <c r="AF176" s="58" t="b">
        <f>IFERROR(OR(Table4[[#This Row],[Status]]="02. Open &amp; Assigned",Table4[[#This Row],[Status]]="01. Open",Table4[[#This Row],[Status]]="03. Action/Mitigation Plan Defined",Table4[[#This Row],[Status]]="04. Action Plan Completed",Table4[[#This Row],[Status]]="08. Blank"),"")</f>
        <v>0</v>
      </c>
      <c r="AG176" s="58" t="str">
        <f>IF(Table4[[#This Row],[Required Risk Resolution Date]]="","FALSE",IF($AE$1&gt;Table4[[#This Row],[Required Risk Resolution Date]],TRUE,FALSE))</f>
        <v>FALSE</v>
      </c>
      <c r="AH176" s="58" t="b">
        <f t="shared" ca="1" si="8"/>
        <v>0</v>
      </c>
      <c r="AI176" s="58" t="b">
        <f t="shared" ca="1" si="9"/>
        <v>0</v>
      </c>
      <c r="AJ176" s="58" t="b">
        <f t="shared" ca="1" si="10"/>
        <v>1</v>
      </c>
      <c r="AK176" s="58" t="b">
        <f>OR(Table4[[#This Row],[Priority]]="Critical",Table4[[#This Row],[Priority]]="High")</f>
        <v>0</v>
      </c>
      <c r="AL176" s="283">
        <f ca="1">Table4[[#This Row],[Required Risk Resolution Date]]-$AE$1</f>
        <v>-40990</v>
      </c>
      <c r="AM176" s="58" t="b">
        <f t="shared" ca="1" si="11"/>
        <v>0</v>
      </c>
      <c r="AN176" s="59" t="b">
        <f>OR(Table4[[#This Row],[Priority]]="Critical",Table4[[#This Row],[Priority]]="High",Table4[[#This Row],[Priority]]="Moderate")</f>
        <v>0</v>
      </c>
    </row>
    <row r="177" spans="1:40">
      <c r="A177" s="60"/>
      <c r="B177" s="60"/>
      <c r="C177" s="60"/>
      <c r="D177" s="60"/>
      <c r="E177" s="6"/>
      <c r="F177" s="6"/>
      <c r="G177" s="6"/>
      <c r="H177" s="6"/>
      <c r="I177" s="323"/>
      <c r="J177" s="6"/>
      <c r="K177" s="6"/>
      <c r="L177" s="6"/>
      <c r="M177" s="6"/>
      <c r="N177" s="6"/>
      <c r="O177" s="6"/>
      <c r="P177" s="6"/>
      <c r="Q177" s="6"/>
      <c r="R177" s="6"/>
      <c r="S177" s="6"/>
      <c r="T177" s="6"/>
      <c r="U177" s="6"/>
      <c r="V177" s="6"/>
      <c r="W177" s="6"/>
      <c r="X177" s="6"/>
      <c r="Y177" s="6"/>
      <c r="Z177" s="6"/>
      <c r="AA177" s="162"/>
      <c r="AB177" s="6"/>
      <c r="AC177" s="6"/>
      <c r="AE177" s="283">
        <f ca="1">$AE$1-Table4[[#This Row],[Date Captured]]</f>
        <v>40990</v>
      </c>
      <c r="AF177" s="58" t="b">
        <f>IFERROR(OR(Table4[[#This Row],[Status]]="02. Open &amp; Assigned",Table4[[#This Row],[Status]]="01. Open",Table4[[#This Row],[Status]]="03. Action/Mitigation Plan Defined",Table4[[#This Row],[Status]]="04. Action Plan Completed",Table4[[#This Row],[Status]]="08. Blank"),"")</f>
        <v>0</v>
      </c>
      <c r="AG177" s="58" t="str">
        <f>IF(Table4[[#This Row],[Required Risk Resolution Date]]="","FALSE",IF($AE$1&gt;Table4[[#This Row],[Required Risk Resolution Date]],TRUE,FALSE))</f>
        <v>FALSE</v>
      </c>
      <c r="AH177" s="58" t="b">
        <f t="shared" ca="1" si="8"/>
        <v>0</v>
      </c>
      <c r="AI177" s="58" t="b">
        <f t="shared" ca="1" si="9"/>
        <v>0</v>
      </c>
      <c r="AJ177" s="58" t="b">
        <f t="shared" ca="1" si="10"/>
        <v>1</v>
      </c>
      <c r="AK177" s="58" t="b">
        <f>OR(Table4[[#This Row],[Priority]]="Critical",Table4[[#This Row],[Priority]]="High")</f>
        <v>0</v>
      </c>
      <c r="AL177" s="283">
        <f ca="1">Table4[[#This Row],[Required Risk Resolution Date]]-$AE$1</f>
        <v>-40990</v>
      </c>
      <c r="AM177" s="58" t="b">
        <f t="shared" ca="1" si="11"/>
        <v>0</v>
      </c>
      <c r="AN177" s="59" t="b">
        <f>OR(Table4[[#This Row],[Priority]]="Critical",Table4[[#This Row],[Priority]]="High",Table4[[#This Row],[Priority]]="Moderate")</f>
        <v>0</v>
      </c>
    </row>
    <row r="178" spans="1:40">
      <c r="A178" s="60"/>
      <c r="B178" s="60"/>
      <c r="C178" s="60"/>
      <c r="D178" s="60"/>
      <c r="E178" s="6"/>
      <c r="F178" s="6"/>
      <c r="G178" s="6"/>
      <c r="H178" s="6"/>
      <c r="I178" s="323"/>
      <c r="J178" s="6"/>
      <c r="K178" s="6"/>
      <c r="L178" s="6"/>
      <c r="M178" s="6"/>
      <c r="N178" s="6"/>
      <c r="O178" s="6"/>
      <c r="P178" s="6"/>
      <c r="Q178" s="6"/>
      <c r="R178" s="6"/>
      <c r="S178" s="6"/>
      <c r="T178" s="6"/>
      <c r="U178" s="6"/>
      <c r="V178" s="6"/>
      <c r="W178" s="6"/>
      <c r="X178" s="6"/>
      <c r="Y178" s="6"/>
      <c r="Z178" s="6"/>
      <c r="AA178" s="162"/>
      <c r="AB178" s="6"/>
      <c r="AC178" s="6"/>
      <c r="AE178" s="283">
        <f ca="1">$AE$1-Table4[[#This Row],[Date Captured]]</f>
        <v>40990</v>
      </c>
      <c r="AF178" s="58" t="b">
        <f>IFERROR(OR(Table4[[#This Row],[Status]]="02. Open &amp; Assigned",Table4[[#This Row],[Status]]="01. Open",Table4[[#This Row],[Status]]="03. Action/Mitigation Plan Defined",Table4[[#This Row],[Status]]="04. Action Plan Completed",Table4[[#This Row],[Status]]="08. Blank"),"")</f>
        <v>0</v>
      </c>
      <c r="AG178" s="58" t="str">
        <f>IF(Table4[[#This Row],[Required Risk Resolution Date]]="","FALSE",IF($AE$1&gt;Table4[[#This Row],[Required Risk Resolution Date]],TRUE,FALSE))</f>
        <v>FALSE</v>
      </c>
      <c r="AH178" s="58" t="b">
        <f t="shared" ca="1" si="8"/>
        <v>0</v>
      </c>
      <c r="AI178" s="58" t="b">
        <f t="shared" ca="1" si="9"/>
        <v>0</v>
      </c>
      <c r="AJ178" s="58" t="b">
        <f t="shared" ca="1" si="10"/>
        <v>1</v>
      </c>
      <c r="AK178" s="58" t="b">
        <f>OR(Table4[[#This Row],[Priority]]="Critical",Table4[[#This Row],[Priority]]="High")</f>
        <v>0</v>
      </c>
      <c r="AL178" s="283">
        <f ca="1">Table4[[#This Row],[Required Risk Resolution Date]]-$AE$1</f>
        <v>-40990</v>
      </c>
      <c r="AM178" s="58" t="b">
        <f t="shared" ca="1" si="11"/>
        <v>0</v>
      </c>
      <c r="AN178" s="59" t="b">
        <f>OR(Table4[[#This Row],[Priority]]="Critical",Table4[[#This Row],[Priority]]="High",Table4[[#This Row],[Priority]]="Moderate")</f>
        <v>0</v>
      </c>
    </row>
    <row r="179" spans="1:40">
      <c r="A179" s="60"/>
      <c r="B179" s="60"/>
      <c r="C179" s="60"/>
      <c r="D179" s="60"/>
      <c r="E179" s="6"/>
      <c r="F179" s="6"/>
      <c r="G179" s="6"/>
      <c r="H179" s="6"/>
      <c r="I179" s="323"/>
      <c r="J179" s="6"/>
      <c r="K179" s="6"/>
      <c r="L179" s="6"/>
      <c r="M179" s="6"/>
      <c r="N179" s="6"/>
      <c r="O179" s="6"/>
      <c r="P179" s="6"/>
      <c r="Q179" s="6"/>
      <c r="R179" s="6"/>
      <c r="S179" s="6"/>
      <c r="T179" s="6"/>
      <c r="U179" s="6"/>
      <c r="V179" s="6"/>
      <c r="W179" s="6"/>
      <c r="X179" s="6"/>
      <c r="Y179" s="6"/>
      <c r="Z179" s="6"/>
      <c r="AA179" s="162"/>
      <c r="AB179" s="6"/>
      <c r="AC179" s="6"/>
      <c r="AE179" s="283">
        <f ca="1">$AE$1-Table4[[#This Row],[Date Captured]]</f>
        <v>40990</v>
      </c>
      <c r="AF179" s="58" t="b">
        <f>IFERROR(OR(Table4[[#This Row],[Status]]="02. Open &amp; Assigned",Table4[[#This Row],[Status]]="01. Open",Table4[[#This Row],[Status]]="03. Action/Mitigation Plan Defined",Table4[[#This Row],[Status]]="04. Action Plan Completed",Table4[[#This Row],[Status]]="08. Blank"),"")</f>
        <v>0</v>
      </c>
      <c r="AG179" s="58" t="str">
        <f>IF(Table4[[#This Row],[Required Risk Resolution Date]]="","FALSE",IF($AE$1&gt;Table4[[#This Row],[Required Risk Resolution Date]],TRUE,FALSE))</f>
        <v>FALSE</v>
      </c>
      <c r="AH179" s="58" t="b">
        <f t="shared" ca="1" si="8"/>
        <v>0</v>
      </c>
      <c r="AI179" s="58" t="b">
        <f t="shared" ca="1" si="9"/>
        <v>0</v>
      </c>
      <c r="AJ179" s="58" t="b">
        <f t="shared" ca="1" si="10"/>
        <v>1</v>
      </c>
      <c r="AK179" s="58" t="b">
        <f>OR(Table4[[#This Row],[Priority]]="Critical",Table4[[#This Row],[Priority]]="High")</f>
        <v>0</v>
      </c>
      <c r="AL179" s="283">
        <f ca="1">Table4[[#This Row],[Required Risk Resolution Date]]-$AE$1</f>
        <v>-40990</v>
      </c>
      <c r="AM179" s="58" t="b">
        <f t="shared" ca="1" si="11"/>
        <v>0</v>
      </c>
      <c r="AN179" s="59" t="b">
        <f>OR(Table4[[#This Row],[Priority]]="Critical",Table4[[#This Row],[Priority]]="High",Table4[[#This Row],[Priority]]="Moderate")</f>
        <v>0</v>
      </c>
    </row>
    <row r="180" spans="1:40">
      <c r="A180" s="60"/>
      <c r="B180" s="60"/>
      <c r="C180" s="60"/>
      <c r="D180" s="60"/>
      <c r="E180" s="6"/>
      <c r="F180" s="6"/>
      <c r="G180" s="6"/>
      <c r="H180" s="6"/>
      <c r="I180" s="323"/>
      <c r="J180" s="6"/>
      <c r="K180" s="6"/>
      <c r="L180" s="6"/>
      <c r="M180" s="6"/>
      <c r="N180" s="6"/>
      <c r="O180" s="6"/>
      <c r="P180" s="6"/>
      <c r="Q180" s="6"/>
      <c r="R180" s="6"/>
      <c r="S180" s="6"/>
      <c r="T180" s="6"/>
      <c r="U180" s="6"/>
      <c r="V180" s="6"/>
      <c r="W180" s="6"/>
      <c r="X180" s="6"/>
      <c r="Y180" s="6"/>
      <c r="Z180" s="6"/>
      <c r="AA180" s="162"/>
      <c r="AB180" s="6"/>
      <c r="AC180" s="6"/>
      <c r="AE180" s="283">
        <f ca="1">$AE$1-Table4[[#This Row],[Date Captured]]</f>
        <v>40990</v>
      </c>
      <c r="AF180" s="58" t="b">
        <f>IFERROR(OR(Table4[[#This Row],[Status]]="02. Open &amp; Assigned",Table4[[#This Row],[Status]]="01. Open",Table4[[#This Row],[Status]]="03. Action/Mitigation Plan Defined",Table4[[#This Row],[Status]]="04. Action Plan Completed",Table4[[#This Row],[Status]]="08. Blank"),"")</f>
        <v>0</v>
      </c>
      <c r="AG180" s="58" t="str">
        <f>IF(Table4[[#This Row],[Required Risk Resolution Date]]="","FALSE",IF($AE$1&gt;Table4[[#This Row],[Required Risk Resolution Date]],TRUE,FALSE))</f>
        <v>FALSE</v>
      </c>
      <c r="AH180" s="58" t="b">
        <f t="shared" ca="1" si="8"/>
        <v>0</v>
      </c>
      <c r="AI180" s="58" t="b">
        <f t="shared" ca="1" si="9"/>
        <v>0</v>
      </c>
      <c r="AJ180" s="58" t="b">
        <f t="shared" ca="1" si="10"/>
        <v>1</v>
      </c>
      <c r="AK180" s="58" t="b">
        <f>OR(Table4[[#This Row],[Priority]]="Critical",Table4[[#This Row],[Priority]]="High")</f>
        <v>0</v>
      </c>
      <c r="AL180" s="283">
        <f ca="1">Table4[[#This Row],[Required Risk Resolution Date]]-$AE$1</f>
        <v>-40990</v>
      </c>
      <c r="AM180" s="58" t="b">
        <f t="shared" ca="1" si="11"/>
        <v>0</v>
      </c>
      <c r="AN180" s="59" t="b">
        <f>OR(Table4[[#This Row],[Priority]]="Critical",Table4[[#This Row],[Priority]]="High",Table4[[#This Row],[Priority]]="Moderate")</f>
        <v>0</v>
      </c>
    </row>
    <row r="181" spans="1:40">
      <c r="A181" s="60"/>
      <c r="B181" s="60"/>
      <c r="C181" s="60"/>
      <c r="D181" s="60"/>
      <c r="E181" s="6"/>
      <c r="F181" s="6"/>
      <c r="G181" s="6"/>
      <c r="H181" s="6"/>
      <c r="I181" s="323"/>
      <c r="J181" s="6"/>
      <c r="K181" s="6"/>
      <c r="L181" s="6"/>
      <c r="M181" s="6"/>
      <c r="N181" s="6"/>
      <c r="O181" s="6"/>
      <c r="P181" s="6"/>
      <c r="Q181" s="6"/>
      <c r="R181" s="6"/>
      <c r="S181" s="6"/>
      <c r="T181" s="6"/>
      <c r="U181" s="6"/>
      <c r="V181" s="6"/>
      <c r="W181" s="6"/>
      <c r="X181" s="6"/>
      <c r="Y181" s="6"/>
      <c r="Z181" s="6"/>
      <c r="AA181" s="162"/>
      <c r="AB181" s="6"/>
      <c r="AC181" s="6"/>
      <c r="AE181" s="283">
        <f ca="1">$AE$1-Table4[[#This Row],[Date Captured]]</f>
        <v>40990</v>
      </c>
      <c r="AF181" s="58" t="b">
        <f>IFERROR(OR(Table4[[#This Row],[Status]]="02. Open &amp; Assigned",Table4[[#This Row],[Status]]="01. Open",Table4[[#This Row],[Status]]="03. Action/Mitigation Plan Defined",Table4[[#This Row],[Status]]="04. Action Plan Completed",Table4[[#This Row],[Status]]="08. Blank"),"")</f>
        <v>0</v>
      </c>
      <c r="AG181" s="58" t="str">
        <f>IF(Table4[[#This Row],[Required Risk Resolution Date]]="","FALSE",IF($AE$1&gt;Table4[[#This Row],[Required Risk Resolution Date]],TRUE,FALSE))</f>
        <v>FALSE</v>
      </c>
      <c r="AH181" s="58" t="b">
        <f t="shared" ca="1" si="8"/>
        <v>0</v>
      </c>
      <c r="AI181" s="58" t="b">
        <f t="shared" ca="1" si="9"/>
        <v>0</v>
      </c>
      <c r="AJ181" s="58" t="b">
        <f t="shared" ca="1" si="10"/>
        <v>1</v>
      </c>
      <c r="AK181" s="58" t="b">
        <f>OR(Table4[[#This Row],[Priority]]="Critical",Table4[[#This Row],[Priority]]="High")</f>
        <v>0</v>
      </c>
      <c r="AL181" s="283">
        <f ca="1">Table4[[#This Row],[Required Risk Resolution Date]]-$AE$1</f>
        <v>-40990</v>
      </c>
      <c r="AM181" s="58" t="b">
        <f t="shared" ca="1" si="11"/>
        <v>0</v>
      </c>
      <c r="AN181" s="59" t="b">
        <f>OR(Table4[[#This Row],[Priority]]="Critical",Table4[[#This Row],[Priority]]="High",Table4[[#This Row],[Priority]]="Moderate")</f>
        <v>0</v>
      </c>
    </row>
    <row r="182" spans="1:40">
      <c r="A182" s="60"/>
      <c r="B182" s="60"/>
      <c r="C182" s="60"/>
      <c r="D182" s="60"/>
      <c r="E182" s="6"/>
      <c r="F182" s="6"/>
      <c r="G182" s="6"/>
      <c r="H182" s="6"/>
      <c r="I182" s="323"/>
      <c r="J182" s="6"/>
      <c r="K182" s="6"/>
      <c r="L182" s="6"/>
      <c r="M182" s="6"/>
      <c r="N182" s="6"/>
      <c r="O182" s="6"/>
      <c r="P182" s="6"/>
      <c r="Q182" s="6"/>
      <c r="R182" s="6"/>
      <c r="S182" s="6"/>
      <c r="T182" s="6"/>
      <c r="U182" s="6"/>
      <c r="V182" s="6"/>
      <c r="W182" s="6"/>
      <c r="X182" s="6"/>
      <c r="Y182" s="6"/>
      <c r="Z182" s="6"/>
      <c r="AA182" s="162"/>
      <c r="AB182" s="6"/>
      <c r="AC182" s="6"/>
      <c r="AE182" s="283">
        <f ca="1">$AE$1-Table4[[#This Row],[Date Captured]]</f>
        <v>40990</v>
      </c>
      <c r="AF182" s="58" t="b">
        <f>IFERROR(OR(Table4[[#This Row],[Status]]="02. Open &amp; Assigned",Table4[[#This Row],[Status]]="01. Open",Table4[[#This Row],[Status]]="03. Action/Mitigation Plan Defined",Table4[[#This Row],[Status]]="04. Action Plan Completed",Table4[[#This Row],[Status]]="08. Blank"),"")</f>
        <v>0</v>
      </c>
      <c r="AG182" s="58" t="str">
        <f>IF(Table4[[#This Row],[Required Risk Resolution Date]]="","FALSE",IF($AE$1&gt;Table4[[#This Row],[Required Risk Resolution Date]],TRUE,FALSE))</f>
        <v>FALSE</v>
      </c>
      <c r="AH182" s="58" t="b">
        <f t="shared" ca="1" si="8"/>
        <v>0</v>
      </c>
      <c r="AI182" s="58" t="b">
        <f t="shared" ca="1" si="9"/>
        <v>0</v>
      </c>
      <c r="AJ182" s="58" t="b">
        <f t="shared" ca="1" si="10"/>
        <v>1</v>
      </c>
      <c r="AK182" s="58" t="b">
        <f>OR(Table4[[#This Row],[Priority]]="Critical",Table4[[#This Row],[Priority]]="High")</f>
        <v>0</v>
      </c>
      <c r="AL182" s="283">
        <f ca="1">Table4[[#This Row],[Required Risk Resolution Date]]-$AE$1</f>
        <v>-40990</v>
      </c>
      <c r="AM182" s="58" t="b">
        <f t="shared" ca="1" si="11"/>
        <v>0</v>
      </c>
      <c r="AN182" s="59" t="b">
        <f>OR(Table4[[#This Row],[Priority]]="Critical",Table4[[#This Row],[Priority]]="High",Table4[[#This Row],[Priority]]="Moderate")</f>
        <v>0</v>
      </c>
    </row>
    <row r="183" spans="1:40">
      <c r="A183" s="60"/>
      <c r="B183" s="60"/>
      <c r="C183" s="60"/>
      <c r="D183" s="60"/>
      <c r="E183" s="6"/>
      <c r="F183" s="6"/>
      <c r="G183" s="6"/>
      <c r="H183" s="6"/>
      <c r="I183" s="323"/>
      <c r="J183" s="6"/>
      <c r="K183" s="6"/>
      <c r="L183" s="6"/>
      <c r="M183" s="6"/>
      <c r="N183" s="6"/>
      <c r="O183" s="6"/>
      <c r="P183" s="6"/>
      <c r="Q183" s="6"/>
      <c r="R183" s="6"/>
      <c r="S183" s="6"/>
      <c r="T183" s="6"/>
      <c r="U183" s="6"/>
      <c r="V183" s="6"/>
      <c r="W183" s="6"/>
      <c r="X183" s="6"/>
      <c r="Y183" s="6"/>
      <c r="Z183" s="6"/>
      <c r="AA183" s="162"/>
      <c r="AB183" s="6"/>
      <c r="AC183" s="6"/>
      <c r="AE183" s="283">
        <f ca="1">$AE$1-Table4[[#This Row],[Date Captured]]</f>
        <v>40990</v>
      </c>
      <c r="AF183" s="58" t="b">
        <f>IFERROR(OR(Table4[[#This Row],[Status]]="02. Open &amp; Assigned",Table4[[#This Row],[Status]]="01. Open",Table4[[#This Row],[Status]]="03. Action/Mitigation Plan Defined",Table4[[#This Row],[Status]]="04. Action Plan Completed",Table4[[#This Row],[Status]]="08. Blank"),"")</f>
        <v>0</v>
      </c>
      <c r="AG183" s="58" t="str">
        <f>IF(Table4[[#This Row],[Required Risk Resolution Date]]="","FALSE",IF($AE$1&gt;Table4[[#This Row],[Required Risk Resolution Date]],TRUE,FALSE))</f>
        <v>FALSE</v>
      </c>
      <c r="AH183" s="58" t="b">
        <f t="shared" ca="1" si="8"/>
        <v>0</v>
      </c>
      <c r="AI183" s="58" t="b">
        <f t="shared" ca="1" si="9"/>
        <v>0</v>
      </c>
      <c r="AJ183" s="58" t="b">
        <f t="shared" ca="1" si="10"/>
        <v>1</v>
      </c>
      <c r="AK183" s="58" t="b">
        <f>OR(Table4[[#This Row],[Priority]]="Critical",Table4[[#This Row],[Priority]]="High")</f>
        <v>0</v>
      </c>
      <c r="AL183" s="283">
        <f ca="1">Table4[[#This Row],[Required Risk Resolution Date]]-$AE$1</f>
        <v>-40990</v>
      </c>
      <c r="AM183" s="58" t="b">
        <f t="shared" ca="1" si="11"/>
        <v>0</v>
      </c>
      <c r="AN183" s="59" t="b">
        <f>OR(Table4[[#This Row],[Priority]]="Critical",Table4[[#This Row],[Priority]]="High",Table4[[#This Row],[Priority]]="Moderate")</f>
        <v>0</v>
      </c>
    </row>
    <row r="184" spans="1:40">
      <c r="A184" s="60"/>
      <c r="B184" s="60"/>
      <c r="C184" s="60"/>
      <c r="D184" s="60"/>
      <c r="E184" s="6"/>
      <c r="F184" s="6"/>
      <c r="G184" s="6"/>
      <c r="H184" s="6"/>
      <c r="I184" s="323"/>
      <c r="J184" s="6"/>
      <c r="K184" s="6"/>
      <c r="L184" s="6"/>
      <c r="M184" s="6"/>
      <c r="N184" s="6"/>
      <c r="O184" s="6"/>
      <c r="P184" s="6"/>
      <c r="Q184" s="6"/>
      <c r="R184" s="6"/>
      <c r="S184" s="6"/>
      <c r="T184" s="6"/>
      <c r="U184" s="6"/>
      <c r="V184" s="6"/>
      <c r="W184" s="6"/>
      <c r="X184" s="6"/>
      <c r="Y184" s="6"/>
      <c r="Z184" s="6"/>
      <c r="AA184" s="162"/>
      <c r="AB184" s="6"/>
      <c r="AC184" s="6"/>
      <c r="AE184" s="283">
        <f ca="1">$AE$1-Table4[[#This Row],[Date Captured]]</f>
        <v>40990</v>
      </c>
      <c r="AF184" s="58" t="b">
        <f>IFERROR(OR(Table4[[#This Row],[Status]]="02. Open &amp; Assigned",Table4[[#This Row],[Status]]="01. Open",Table4[[#This Row],[Status]]="03. Action/Mitigation Plan Defined",Table4[[#This Row],[Status]]="04. Action Plan Completed",Table4[[#This Row],[Status]]="08. Blank"),"")</f>
        <v>0</v>
      </c>
      <c r="AG184" s="58" t="str">
        <f>IF(Table4[[#This Row],[Required Risk Resolution Date]]="","FALSE",IF($AE$1&gt;Table4[[#This Row],[Required Risk Resolution Date]],TRUE,FALSE))</f>
        <v>FALSE</v>
      </c>
      <c r="AH184" s="58" t="b">
        <f t="shared" ca="1" si="8"/>
        <v>0</v>
      </c>
      <c r="AI184" s="58" t="b">
        <f t="shared" ca="1" si="9"/>
        <v>0</v>
      </c>
      <c r="AJ184" s="58" t="b">
        <f t="shared" ca="1" si="10"/>
        <v>1</v>
      </c>
      <c r="AK184" s="58" t="b">
        <f>OR(Table4[[#This Row],[Priority]]="Critical",Table4[[#This Row],[Priority]]="High")</f>
        <v>0</v>
      </c>
      <c r="AL184" s="283">
        <f ca="1">Table4[[#This Row],[Required Risk Resolution Date]]-$AE$1</f>
        <v>-40990</v>
      </c>
      <c r="AM184" s="58" t="b">
        <f t="shared" ca="1" si="11"/>
        <v>0</v>
      </c>
      <c r="AN184" s="59" t="b">
        <f>OR(Table4[[#This Row],[Priority]]="Critical",Table4[[#This Row],[Priority]]="High",Table4[[#This Row],[Priority]]="Moderate")</f>
        <v>0</v>
      </c>
    </row>
    <row r="185" spans="1:40">
      <c r="A185" s="60"/>
      <c r="B185" s="60"/>
      <c r="C185" s="60"/>
      <c r="D185" s="60"/>
      <c r="E185" s="6"/>
      <c r="F185" s="6"/>
      <c r="G185" s="6"/>
      <c r="H185" s="6"/>
      <c r="I185" s="323"/>
      <c r="J185" s="6"/>
      <c r="K185" s="6"/>
      <c r="L185" s="6"/>
      <c r="M185" s="6"/>
      <c r="N185" s="6"/>
      <c r="O185" s="6"/>
      <c r="P185" s="6"/>
      <c r="Q185" s="6"/>
      <c r="R185" s="6"/>
      <c r="S185" s="6"/>
      <c r="T185" s="6"/>
      <c r="U185" s="6"/>
      <c r="V185" s="6"/>
      <c r="W185" s="6"/>
      <c r="X185" s="6"/>
      <c r="Y185" s="6"/>
      <c r="Z185" s="6"/>
      <c r="AA185" s="162"/>
      <c r="AB185" s="6"/>
      <c r="AC185" s="6"/>
      <c r="AE185" s="283">
        <f ca="1">$AE$1-Table4[[#This Row],[Date Captured]]</f>
        <v>40990</v>
      </c>
      <c r="AF185" s="58" t="b">
        <f>IFERROR(OR(Table4[[#This Row],[Status]]="02. Open &amp; Assigned",Table4[[#This Row],[Status]]="01. Open",Table4[[#This Row],[Status]]="03. Action/Mitigation Plan Defined",Table4[[#This Row],[Status]]="04. Action Plan Completed",Table4[[#This Row],[Status]]="08. Blank"),"")</f>
        <v>0</v>
      </c>
      <c r="AG185" s="58" t="str">
        <f>IF(Table4[[#This Row],[Required Risk Resolution Date]]="","FALSE",IF($AE$1&gt;Table4[[#This Row],[Required Risk Resolution Date]],TRUE,FALSE))</f>
        <v>FALSE</v>
      </c>
      <c r="AH185" s="58" t="b">
        <f t="shared" ca="1" si="8"/>
        <v>0</v>
      </c>
      <c r="AI185" s="58" t="b">
        <f t="shared" ca="1" si="9"/>
        <v>0</v>
      </c>
      <c r="AJ185" s="58" t="b">
        <f t="shared" ca="1" si="10"/>
        <v>1</v>
      </c>
      <c r="AK185" s="58" t="b">
        <f>OR(Table4[[#This Row],[Priority]]="Critical",Table4[[#This Row],[Priority]]="High")</f>
        <v>0</v>
      </c>
      <c r="AL185" s="283">
        <f ca="1">Table4[[#This Row],[Required Risk Resolution Date]]-$AE$1</f>
        <v>-40990</v>
      </c>
      <c r="AM185" s="58" t="b">
        <f t="shared" ca="1" si="11"/>
        <v>0</v>
      </c>
      <c r="AN185" s="59" t="b">
        <f>OR(Table4[[#This Row],[Priority]]="Critical",Table4[[#This Row],[Priority]]="High",Table4[[#This Row],[Priority]]="Moderate")</f>
        <v>0</v>
      </c>
    </row>
    <row r="186" spans="1:40">
      <c r="A186" s="60"/>
      <c r="B186" s="60"/>
      <c r="C186" s="60"/>
      <c r="D186" s="60"/>
      <c r="E186" s="6"/>
      <c r="F186" s="6"/>
      <c r="G186" s="6"/>
      <c r="H186" s="6"/>
      <c r="I186" s="323"/>
      <c r="J186" s="6"/>
      <c r="K186" s="6"/>
      <c r="L186" s="6"/>
      <c r="M186" s="6"/>
      <c r="N186" s="6"/>
      <c r="O186" s="6"/>
      <c r="P186" s="6"/>
      <c r="Q186" s="6"/>
      <c r="R186" s="6"/>
      <c r="S186" s="6"/>
      <c r="T186" s="6"/>
      <c r="U186" s="6"/>
      <c r="V186" s="6"/>
      <c r="W186" s="6"/>
      <c r="X186" s="6"/>
      <c r="Y186" s="6"/>
      <c r="Z186" s="6"/>
      <c r="AA186" s="162"/>
      <c r="AB186" s="6"/>
      <c r="AC186" s="6"/>
      <c r="AE186" s="283">
        <f ca="1">$AE$1-Table4[[#This Row],[Date Captured]]</f>
        <v>40990</v>
      </c>
      <c r="AF186" s="58" t="b">
        <f>IFERROR(OR(Table4[[#This Row],[Status]]="02. Open &amp; Assigned",Table4[[#This Row],[Status]]="01. Open",Table4[[#This Row],[Status]]="03. Action/Mitigation Plan Defined",Table4[[#This Row],[Status]]="04. Action Plan Completed",Table4[[#This Row],[Status]]="08. Blank"),"")</f>
        <v>0</v>
      </c>
      <c r="AG186" s="58" t="str">
        <f>IF(Table4[[#This Row],[Required Risk Resolution Date]]="","FALSE",IF($AE$1&gt;Table4[[#This Row],[Required Risk Resolution Date]],TRUE,FALSE))</f>
        <v>FALSE</v>
      </c>
      <c r="AH186" s="58" t="b">
        <f t="shared" ca="1" si="8"/>
        <v>0</v>
      </c>
      <c r="AI186" s="58" t="b">
        <f t="shared" ca="1" si="9"/>
        <v>0</v>
      </c>
      <c r="AJ186" s="58" t="b">
        <f t="shared" ca="1" si="10"/>
        <v>1</v>
      </c>
      <c r="AK186" s="58" t="b">
        <f>OR(Table4[[#This Row],[Priority]]="Critical",Table4[[#This Row],[Priority]]="High")</f>
        <v>0</v>
      </c>
      <c r="AL186" s="283">
        <f ca="1">Table4[[#This Row],[Required Risk Resolution Date]]-$AE$1</f>
        <v>-40990</v>
      </c>
      <c r="AM186" s="58" t="b">
        <f t="shared" ca="1" si="11"/>
        <v>0</v>
      </c>
      <c r="AN186" s="59" t="b">
        <f>OR(Table4[[#This Row],[Priority]]="Critical",Table4[[#This Row],[Priority]]="High",Table4[[#This Row],[Priority]]="Moderate")</f>
        <v>0</v>
      </c>
    </row>
    <row r="187" spans="1:40">
      <c r="A187" s="60"/>
      <c r="B187" s="60"/>
      <c r="C187" s="60"/>
      <c r="D187" s="60"/>
      <c r="E187" s="6"/>
      <c r="F187" s="6"/>
      <c r="G187" s="6"/>
      <c r="H187" s="6"/>
      <c r="I187" s="323"/>
      <c r="J187" s="6"/>
      <c r="K187" s="6"/>
      <c r="L187" s="6"/>
      <c r="M187" s="6"/>
      <c r="N187" s="6"/>
      <c r="O187" s="6"/>
      <c r="P187" s="6"/>
      <c r="Q187" s="6"/>
      <c r="R187" s="6"/>
      <c r="S187" s="6"/>
      <c r="T187" s="6"/>
      <c r="U187" s="6"/>
      <c r="V187" s="6"/>
      <c r="W187" s="6"/>
      <c r="X187" s="6"/>
      <c r="Y187" s="6"/>
      <c r="Z187" s="6"/>
      <c r="AA187" s="162"/>
      <c r="AB187" s="6"/>
      <c r="AC187" s="6"/>
      <c r="AE187" s="283">
        <f ca="1">$AE$1-Table4[[#This Row],[Date Captured]]</f>
        <v>40990</v>
      </c>
      <c r="AF187" s="58" t="b">
        <f>IFERROR(OR(Table4[[#This Row],[Status]]="02. Open &amp; Assigned",Table4[[#This Row],[Status]]="01. Open",Table4[[#This Row],[Status]]="03. Action/Mitigation Plan Defined",Table4[[#This Row],[Status]]="04. Action Plan Completed",Table4[[#This Row],[Status]]="08. Blank"),"")</f>
        <v>0</v>
      </c>
      <c r="AG187" s="58" t="str">
        <f>IF(Table4[[#This Row],[Required Risk Resolution Date]]="","FALSE",IF($AE$1&gt;Table4[[#This Row],[Required Risk Resolution Date]],TRUE,FALSE))</f>
        <v>FALSE</v>
      </c>
      <c r="AH187" s="58" t="b">
        <f t="shared" ca="1" si="8"/>
        <v>0</v>
      </c>
      <c r="AI187" s="58" t="b">
        <f t="shared" ca="1" si="9"/>
        <v>0</v>
      </c>
      <c r="AJ187" s="58" t="b">
        <f t="shared" ca="1" si="10"/>
        <v>1</v>
      </c>
      <c r="AK187" s="58" t="b">
        <f>OR(Table4[[#This Row],[Priority]]="Critical",Table4[[#This Row],[Priority]]="High")</f>
        <v>0</v>
      </c>
      <c r="AL187" s="283">
        <f ca="1">Table4[[#This Row],[Required Risk Resolution Date]]-$AE$1</f>
        <v>-40990</v>
      </c>
      <c r="AM187" s="58" t="b">
        <f t="shared" ca="1" si="11"/>
        <v>0</v>
      </c>
      <c r="AN187" s="59" t="b">
        <f>OR(Table4[[#This Row],[Priority]]="Critical",Table4[[#This Row],[Priority]]="High",Table4[[#This Row],[Priority]]="Moderate")</f>
        <v>0</v>
      </c>
    </row>
    <row r="188" spans="1:40">
      <c r="A188" s="60"/>
      <c r="B188" s="60"/>
      <c r="C188" s="60"/>
      <c r="D188" s="60"/>
      <c r="E188" s="6"/>
      <c r="F188" s="6"/>
      <c r="G188" s="6"/>
      <c r="H188" s="6"/>
      <c r="I188" s="323"/>
      <c r="J188" s="6"/>
      <c r="K188" s="6"/>
      <c r="L188" s="6"/>
      <c r="M188" s="6"/>
      <c r="N188" s="6"/>
      <c r="O188" s="6"/>
      <c r="P188" s="6"/>
      <c r="Q188" s="6"/>
      <c r="R188" s="6"/>
      <c r="S188" s="6"/>
      <c r="T188" s="6"/>
      <c r="U188" s="6"/>
      <c r="V188" s="6"/>
      <c r="W188" s="6"/>
      <c r="X188" s="6"/>
      <c r="Y188" s="6"/>
      <c r="Z188" s="6"/>
      <c r="AA188" s="162"/>
      <c r="AB188" s="6"/>
      <c r="AC188" s="6"/>
      <c r="AE188" s="283">
        <f ca="1">$AE$1-Table4[[#This Row],[Date Captured]]</f>
        <v>40990</v>
      </c>
      <c r="AF188" s="58" t="b">
        <f>IFERROR(OR(Table4[[#This Row],[Status]]="02. Open &amp; Assigned",Table4[[#This Row],[Status]]="01. Open",Table4[[#This Row],[Status]]="03. Action/Mitigation Plan Defined",Table4[[#This Row],[Status]]="04. Action Plan Completed",Table4[[#This Row],[Status]]="08. Blank"),"")</f>
        <v>0</v>
      </c>
      <c r="AG188" s="58" t="str">
        <f>IF(Table4[[#This Row],[Required Risk Resolution Date]]="","FALSE",IF($AE$1&gt;Table4[[#This Row],[Required Risk Resolution Date]],TRUE,FALSE))</f>
        <v>FALSE</v>
      </c>
      <c r="AH188" s="58" t="b">
        <f t="shared" ca="1" si="8"/>
        <v>0</v>
      </c>
      <c r="AI188" s="58" t="b">
        <f t="shared" ca="1" si="9"/>
        <v>0</v>
      </c>
      <c r="AJ188" s="58" t="b">
        <f t="shared" ca="1" si="10"/>
        <v>1</v>
      </c>
      <c r="AK188" s="58" t="b">
        <f>OR(Table4[[#This Row],[Priority]]="Critical",Table4[[#This Row],[Priority]]="High")</f>
        <v>0</v>
      </c>
      <c r="AL188" s="283">
        <f ca="1">Table4[[#This Row],[Required Risk Resolution Date]]-$AE$1</f>
        <v>-40990</v>
      </c>
      <c r="AM188" s="58" t="b">
        <f t="shared" ca="1" si="11"/>
        <v>0</v>
      </c>
      <c r="AN188" s="59" t="b">
        <f>OR(Table4[[#This Row],[Priority]]="Critical",Table4[[#This Row],[Priority]]="High",Table4[[#This Row],[Priority]]="Moderate")</f>
        <v>0</v>
      </c>
    </row>
    <row r="189" spans="1:40">
      <c r="A189" s="60"/>
      <c r="B189" s="60"/>
      <c r="C189" s="60"/>
      <c r="D189" s="60"/>
      <c r="E189" s="6"/>
      <c r="F189" s="6"/>
      <c r="G189" s="6"/>
      <c r="H189" s="6"/>
      <c r="I189" s="323"/>
      <c r="J189" s="6"/>
      <c r="K189" s="6"/>
      <c r="L189" s="6"/>
      <c r="M189" s="6"/>
      <c r="N189" s="6"/>
      <c r="O189" s="6"/>
      <c r="P189" s="6"/>
      <c r="Q189" s="6"/>
      <c r="R189" s="6"/>
      <c r="S189" s="6"/>
      <c r="T189" s="6"/>
      <c r="U189" s="6"/>
      <c r="V189" s="6"/>
      <c r="W189" s="6"/>
      <c r="X189" s="6"/>
      <c r="Y189" s="6"/>
      <c r="Z189" s="6"/>
      <c r="AA189" s="162"/>
      <c r="AB189" s="6"/>
      <c r="AC189" s="6"/>
      <c r="AE189" s="283">
        <f ca="1">$AE$1-Table4[[#This Row],[Date Captured]]</f>
        <v>40990</v>
      </c>
      <c r="AF189" s="58" t="b">
        <f>IFERROR(OR(Table4[[#This Row],[Status]]="02. Open &amp; Assigned",Table4[[#This Row],[Status]]="01. Open",Table4[[#This Row],[Status]]="03. Action/Mitigation Plan Defined",Table4[[#This Row],[Status]]="04. Action Plan Completed",Table4[[#This Row],[Status]]="08. Blank"),"")</f>
        <v>0</v>
      </c>
      <c r="AG189" s="58" t="str">
        <f>IF(Table4[[#This Row],[Required Risk Resolution Date]]="","FALSE",IF($AE$1&gt;Table4[[#This Row],[Required Risk Resolution Date]],TRUE,FALSE))</f>
        <v>FALSE</v>
      </c>
      <c r="AH189" s="58" t="b">
        <f t="shared" ca="1" si="8"/>
        <v>0</v>
      </c>
      <c r="AI189" s="58" t="b">
        <f t="shared" ca="1" si="9"/>
        <v>0</v>
      </c>
      <c r="AJ189" s="58" t="b">
        <f t="shared" ca="1" si="10"/>
        <v>1</v>
      </c>
      <c r="AK189" s="58" t="b">
        <f>OR(Table4[[#This Row],[Priority]]="Critical",Table4[[#This Row],[Priority]]="High")</f>
        <v>0</v>
      </c>
      <c r="AL189" s="283">
        <f ca="1">Table4[[#This Row],[Required Risk Resolution Date]]-$AE$1</f>
        <v>-40990</v>
      </c>
      <c r="AM189" s="58" t="b">
        <f t="shared" ca="1" si="11"/>
        <v>0</v>
      </c>
      <c r="AN189" s="59" t="b">
        <f>OR(Table4[[#This Row],[Priority]]="Critical",Table4[[#This Row],[Priority]]="High",Table4[[#This Row],[Priority]]="Moderate")</f>
        <v>0</v>
      </c>
    </row>
    <row r="190" spans="1:40">
      <c r="A190" s="60"/>
      <c r="B190" s="60"/>
      <c r="C190" s="60"/>
      <c r="D190" s="60"/>
      <c r="E190" s="6"/>
      <c r="F190" s="6"/>
      <c r="G190" s="6"/>
      <c r="H190" s="6"/>
      <c r="I190" s="323"/>
      <c r="J190" s="6"/>
      <c r="K190" s="6"/>
      <c r="L190" s="6"/>
      <c r="M190" s="6"/>
      <c r="N190" s="6"/>
      <c r="O190" s="6"/>
      <c r="P190" s="6"/>
      <c r="Q190" s="6"/>
      <c r="R190" s="6"/>
      <c r="S190" s="6"/>
      <c r="T190" s="6"/>
      <c r="U190" s="6"/>
      <c r="V190" s="6"/>
      <c r="W190" s="6"/>
      <c r="X190" s="6"/>
      <c r="Y190" s="6"/>
      <c r="Z190" s="6"/>
      <c r="AA190" s="162"/>
      <c r="AB190" s="6"/>
      <c r="AC190" s="6"/>
      <c r="AE190" s="283">
        <f ca="1">$AE$1-Table4[[#This Row],[Date Captured]]</f>
        <v>40990</v>
      </c>
      <c r="AF190" s="58" t="b">
        <f>IFERROR(OR(Table4[[#This Row],[Status]]="02. Open &amp; Assigned",Table4[[#This Row],[Status]]="01. Open",Table4[[#This Row],[Status]]="03. Action/Mitigation Plan Defined",Table4[[#This Row],[Status]]="04. Action Plan Completed",Table4[[#This Row],[Status]]="08. Blank"),"")</f>
        <v>0</v>
      </c>
      <c r="AG190" s="58" t="str">
        <f>IF(Table4[[#This Row],[Required Risk Resolution Date]]="","FALSE",IF($AE$1&gt;Table4[[#This Row],[Required Risk Resolution Date]],TRUE,FALSE))</f>
        <v>FALSE</v>
      </c>
      <c r="AH190" s="58" t="b">
        <f t="shared" ca="1" si="8"/>
        <v>0</v>
      </c>
      <c r="AI190" s="58" t="b">
        <f t="shared" ca="1" si="9"/>
        <v>0</v>
      </c>
      <c r="AJ190" s="58" t="b">
        <f t="shared" ca="1" si="10"/>
        <v>1</v>
      </c>
      <c r="AK190" s="58" t="b">
        <f>OR(Table4[[#This Row],[Priority]]="Critical",Table4[[#This Row],[Priority]]="High")</f>
        <v>0</v>
      </c>
      <c r="AL190" s="283">
        <f ca="1">Table4[[#This Row],[Required Risk Resolution Date]]-$AE$1</f>
        <v>-40990</v>
      </c>
      <c r="AM190" s="58" t="b">
        <f t="shared" ca="1" si="11"/>
        <v>0</v>
      </c>
      <c r="AN190" s="59" t="b">
        <f>OR(Table4[[#This Row],[Priority]]="Critical",Table4[[#This Row],[Priority]]="High",Table4[[#This Row],[Priority]]="Moderate")</f>
        <v>0</v>
      </c>
    </row>
    <row r="191" spans="1:40">
      <c r="A191" s="60"/>
      <c r="B191" s="60"/>
      <c r="C191" s="60"/>
      <c r="D191" s="60"/>
      <c r="E191" s="6"/>
      <c r="F191" s="6"/>
      <c r="G191" s="6"/>
      <c r="H191" s="6"/>
      <c r="I191" s="323"/>
      <c r="J191" s="6"/>
      <c r="K191" s="6"/>
      <c r="L191" s="6"/>
      <c r="M191" s="6"/>
      <c r="N191" s="6"/>
      <c r="O191" s="6"/>
      <c r="P191" s="6"/>
      <c r="Q191" s="6"/>
      <c r="R191" s="6"/>
      <c r="S191" s="6"/>
      <c r="T191" s="6"/>
      <c r="U191" s="6"/>
      <c r="V191" s="6"/>
      <c r="W191" s="6"/>
      <c r="X191" s="6"/>
      <c r="Y191" s="6"/>
      <c r="Z191" s="6"/>
      <c r="AA191" s="162"/>
      <c r="AB191" s="6"/>
      <c r="AC191" s="6"/>
      <c r="AE191" s="283">
        <f ca="1">$AE$1-Table4[[#This Row],[Date Captured]]</f>
        <v>40990</v>
      </c>
      <c r="AF191" s="58" t="b">
        <f>IFERROR(OR(Table4[[#This Row],[Status]]="02. Open &amp; Assigned",Table4[[#This Row],[Status]]="01. Open",Table4[[#This Row],[Status]]="03. Action/Mitigation Plan Defined",Table4[[#This Row],[Status]]="04. Action Plan Completed",Table4[[#This Row],[Status]]="08. Blank"),"")</f>
        <v>0</v>
      </c>
      <c r="AG191" s="58" t="str">
        <f>IF(Table4[[#This Row],[Required Risk Resolution Date]]="","FALSE",IF($AE$1&gt;Table4[[#This Row],[Required Risk Resolution Date]],TRUE,FALSE))</f>
        <v>FALSE</v>
      </c>
      <c r="AH191" s="58" t="b">
        <f t="shared" ca="1" si="8"/>
        <v>0</v>
      </c>
      <c r="AI191" s="58" t="b">
        <f t="shared" ca="1" si="9"/>
        <v>0</v>
      </c>
      <c r="AJ191" s="58" t="b">
        <f t="shared" ca="1" si="10"/>
        <v>1</v>
      </c>
      <c r="AK191" s="58" t="b">
        <f>OR(Table4[[#This Row],[Priority]]="Critical",Table4[[#This Row],[Priority]]="High")</f>
        <v>0</v>
      </c>
      <c r="AL191" s="283">
        <f ca="1">Table4[[#This Row],[Required Risk Resolution Date]]-$AE$1</f>
        <v>-40990</v>
      </c>
      <c r="AM191" s="58" t="b">
        <f t="shared" ca="1" si="11"/>
        <v>0</v>
      </c>
      <c r="AN191" s="59" t="b">
        <f>OR(Table4[[#This Row],[Priority]]="Critical",Table4[[#This Row],[Priority]]="High",Table4[[#This Row],[Priority]]="Moderate")</f>
        <v>0</v>
      </c>
    </row>
    <row r="192" spans="1:40">
      <c r="A192" s="60"/>
      <c r="B192" s="60"/>
      <c r="C192" s="60"/>
      <c r="D192" s="60"/>
      <c r="E192" s="6"/>
      <c r="F192" s="6"/>
      <c r="G192" s="6"/>
      <c r="H192" s="6"/>
      <c r="I192" s="323"/>
      <c r="J192" s="6"/>
      <c r="K192" s="6"/>
      <c r="L192" s="6"/>
      <c r="M192" s="6"/>
      <c r="N192" s="6"/>
      <c r="O192" s="6"/>
      <c r="P192" s="6"/>
      <c r="Q192" s="6"/>
      <c r="R192" s="6"/>
      <c r="S192" s="6"/>
      <c r="T192" s="6"/>
      <c r="U192" s="6"/>
      <c r="V192" s="6"/>
      <c r="W192" s="6"/>
      <c r="X192" s="6"/>
      <c r="Y192" s="6"/>
      <c r="Z192" s="6"/>
      <c r="AA192" s="162"/>
      <c r="AB192" s="6"/>
      <c r="AC192" s="6"/>
      <c r="AE192" s="283">
        <f ca="1">$AE$1-Table4[[#This Row],[Date Captured]]</f>
        <v>40990</v>
      </c>
      <c r="AF192" s="58" t="b">
        <f>IFERROR(OR(Table4[[#This Row],[Status]]="02. Open &amp; Assigned",Table4[[#This Row],[Status]]="01. Open",Table4[[#This Row],[Status]]="03. Action/Mitigation Plan Defined",Table4[[#This Row],[Status]]="04. Action Plan Completed",Table4[[#This Row],[Status]]="08. Blank"),"")</f>
        <v>0</v>
      </c>
      <c r="AG192" s="58" t="str">
        <f>IF(Table4[[#This Row],[Required Risk Resolution Date]]="","FALSE",IF($AE$1&gt;Table4[[#This Row],[Required Risk Resolution Date]],TRUE,FALSE))</f>
        <v>FALSE</v>
      </c>
      <c r="AH192" s="58" t="b">
        <f t="shared" ca="1" si="8"/>
        <v>0</v>
      </c>
      <c r="AI192" s="58" t="b">
        <f t="shared" ca="1" si="9"/>
        <v>0</v>
      </c>
      <c r="AJ192" s="58" t="b">
        <f t="shared" ca="1" si="10"/>
        <v>1</v>
      </c>
      <c r="AK192" s="58" t="b">
        <f>OR(Table4[[#This Row],[Priority]]="Critical",Table4[[#This Row],[Priority]]="High")</f>
        <v>0</v>
      </c>
      <c r="AL192" s="283">
        <f ca="1">Table4[[#This Row],[Required Risk Resolution Date]]-$AE$1</f>
        <v>-40990</v>
      </c>
      <c r="AM192" s="58" t="b">
        <f t="shared" ca="1" si="11"/>
        <v>0</v>
      </c>
      <c r="AN192" s="59" t="b">
        <f>OR(Table4[[#This Row],[Priority]]="Critical",Table4[[#This Row],[Priority]]="High",Table4[[#This Row],[Priority]]="Moderate")</f>
        <v>0</v>
      </c>
    </row>
    <row r="193" spans="1:40">
      <c r="A193" s="60"/>
      <c r="B193" s="60"/>
      <c r="C193" s="60"/>
      <c r="D193" s="60"/>
      <c r="E193" s="6"/>
      <c r="F193" s="6"/>
      <c r="G193" s="6"/>
      <c r="H193" s="6"/>
      <c r="I193" s="323"/>
      <c r="J193" s="6"/>
      <c r="K193" s="6"/>
      <c r="L193" s="6"/>
      <c r="M193" s="6"/>
      <c r="N193" s="6"/>
      <c r="O193" s="6"/>
      <c r="P193" s="6"/>
      <c r="Q193" s="6"/>
      <c r="R193" s="6"/>
      <c r="S193" s="6"/>
      <c r="T193" s="6"/>
      <c r="U193" s="6"/>
      <c r="V193" s="6"/>
      <c r="W193" s="6"/>
      <c r="X193" s="6"/>
      <c r="Y193" s="6"/>
      <c r="Z193" s="6"/>
      <c r="AA193" s="162"/>
      <c r="AB193" s="6"/>
      <c r="AC193" s="6"/>
      <c r="AE193" s="283">
        <f ca="1">$AE$1-Table4[[#This Row],[Date Captured]]</f>
        <v>40990</v>
      </c>
      <c r="AF193" s="58" t="b">
        <f>IFERROR(OR(Table4[[#This Row],[Status]]="02. Open &amp; Assigned",Table4[[#This Row],[Status]]="01. Open",Table4[[#This Row],[Status]]="03. Action/Mitigation Plan Defined",Table4[[#This Row],[Status]]="04. Action Plan Completed",Table4[[#This Row],[Status]]="08. Blank"),"")</f>
        <v>0</v>
      </c>
      <c r="AG193" s="58" t="str">
        <f>IF(Table4[[#This Row],[Required Risk Resolution Date]]="","FALSE",IF($AE$1&gt;Table4[[#This Row],[Required Risk Resolution Date]],TRUE,FALSE))</f>
        <v>FALSE</v>
      </c>
      <c r="AH193" s="58" t="b">
        <f t="shared" ca="1" si="8"/>
        <v>0</v>
      </c>
      <c r="AI193" s="58" t="b">
        <f t="shared" ca="1" si="9"/>
        <v>0</v>
      </c>
      <c r="AJ193" s="58" t="b">
        <f t="shared" ca="1" si="10"/>
        <v>1</v>
      </c>
      <c r="AK193" s="58" t="b">
        <f>OR(Table4[[#This Row],[Priority]]="Critical",Table4[[#This Row],[Priority]]="High")</f>
        <v>0</v>
      </c>
      <c r="AL193" s="283">
        <f ca="1">Table4[[#This Row],[Required Risk Resolution Date]]-$AE$1</f>
        <v>-40990</v>
      </c>
      <c r="AM193" s="58" t="b">
        <f t="shared" ca="1" si="11"/>
        <v>0</v>
      </c>
      <c r="AN193" s="59" t="b">
        <f>OR(Table4[[#This Row],[Priority]]="Critical",Table4[[#This Row],[Priority]]="High",Table4[[#This Row],[Priority]]="Moderate")</f>
        <v>0</v>
      </c>
    </row>
    <row r="194" spans="1:40">
      <c r="A194" s="60"/>
      <c r="B194" s="60"/>
      <c r="C194" s="60"/>
      <c r="D194" s="60"/>
      <c r="E194" s="6"/>
      <c r="F194" s="6"/>
      <c r="G194" s="6"/>
      <c r="H194" s="6"/>
      <c r="I194" s="323"/>
      <c r="J194" s="6"/>
      <c r="K194" s="6"/>
      <c r="L194" s="6"/>
      <c r="M194" s="6"/>
      <c r="N194" s="6"/>
      <c r="O194" s="6"/>
      <c r="P194" s="6"/>
      <c r="Q194" s="6"/>
      <c r="R194" s="6"/>
      <c r="S194" s="6"/>
      <c r="T194" s="6"/>
      <c r="U194" s="6"/>
      <c r="V194" s="6"/>
      <c r="W194" s="6"/>
      <c r="X194" s="6"/>
      <c r="Y194" s="6"/>
      <c r="Z194" s="6"/>
      <c r="AA194" s="162"/>
      <c r="AB194" s="6"/>
      <c r="AC194" s="6"/>
      <c r="AE194" s="283">
        <f ca="1">$AE$1-Table4[[#This Row],[Date Captured]]</f>
        <v>40990</v>
      </c>
      <c r="AF194" s="58" t="b">
        <f>IFERROR(OR(Table4[[#This Row],[Status]]="02. Open &amp; Assigned",Table4[[#This Row],[Status]]="01. Open",Table4[[#This Row],[Status]]="03. Action/Mitigation Plan Defined",Table4[[#This Row],[Status]]="04. Action Plan Completed",Table4[[#This Row],[Status]]="08. Blank"),"")</f>
        <v>0</v>
      </c>
      <c r="AG194" s="58" t="str">
        <f>IF(Table4[[#This Row],[Required Risk Resolution Date]]="","FALSE",IF($AE$1&gt;Table4[[#This Row],[Required Risk Resolution Date]],TRUE,FALSE))</f>
        <v>FALSE</v>
      </c>
      <c r="AH194" s="58" t="b">
        <f t="shared" ca="1" si="8"/>
        <v>0</v>
      </c>
      <c r="AI194" s="58" t="b">
        <f t="shared" ca="1" si="9"/>
        <v>0</v>
      </c>
      <c r="AJ194" s="58" t="b">
        <f t="shared" ca="1" si="10"/>
        <v>1</v>
      </c>
      <c r="AK194" s="58" t="b">
        <f>OR(Table4[[#This Row],[Priority]]="Critical",Table4[[#This Row],[Priority]]="High")</f>
        <v>0</v>
      </c>
      <c r="AL194" s="283">
        <f ca="1">Table4[[#This Row],[Required Risk Resolution Date]]-$AE$1</f>
        <v>-40990</v>
      </c>
      <c r="AM194" s="58" t="b">
        <f t="shared" ca="1" si="11"/>
        <v>0</v>
      </c>
      <c r="AN194" s="59" t="b">
        <f>OR(Table4[[#This Row],[Priority]]="Critical",Table4[[#This Row],[Priority]]="High",Table4[[#This Row],[Priority]]="Moderate")</f>
        <v>0</v>
      </c>
    </row>
    <row r="195" spans="1:40">
      <c r="A195" s="60"/>
      <c r="B195" s="60"/>
      <c r="C195" s="60"/>
      <c r="D195" s="60"/>
      <c r="E195" s="6"/>
      <c r="F195" s="6"/>
      <c r="G195" s="6"/>
      <c r="H195" s="6"/>
      <c r="I195" s="323"/>
      <c r="J195" s="6"/>
      <c r="K195" s="6"/>
      <c r="L195" s="6"/>
      <c r="M195" s="6"/>
      <c r="N195" s="6"/>
      <c r="O195" s="6"/>
      <c r="P195" s="6"/>
      <c r="Q195" s="6"/>
      <c r="R195" s="6"/>
      <c r="S195" s="6"/>
      <c r="T195" s="6"/>
      <c r="U195" s="6"/>
      <c r="V195" s="6"/>
      <c r="W195" s="6"/>
      <c r="X195" s="6"/>
      <c r="Y195" s="6"/>
      <c r="Z195" s="6"/>
      <c r="AA195" s="162"/>
      <c r="AB195" s="6"/>
      <c r="AC195" s="6"/>
      <c r="AE195" s="283">
        <f ca="1">$AE$1-Table4[[#This Row],[Date Captured]]</f>
        <v>40990</v>
      </c>
      <c r="AF195" s="58" t="b">
        <f>IFERROR(OR(Table4[[#This Row],[Status]]="02. Open &amp; Assigned",Table4[[#This Row],[Status]]="01. Open",Table4[[#This Row],[Status]]="03. Action/Mitigation Plan Defined",Table4[[#This Row],[Status]]="04. Action Plan Completed",Table4[[#This Row],[Status]]="08. Blank"),"")</f>
        <v>0</v>
      </c>
      <c r="AG195" s="58" t="str">
        <f>IF(Table4[[#This Row],[Required Risk Resolution Date]]="","FALSE",IF($AE$1&gt;Table4[[#This Row],[Required Risk Resolution Date]],TRUE,FALSE))</f>
        <v>FALSE</v>
      </c>
      <c r="AH195" s="58" t="b">
        <f t="shared" ca="1" si="8"/>
        <v>0</v>
      </c>
      <c r="AI195" s="58" t="b">
        <f t="shared" ca="1" si="9"/>
        <v>0</v>
      </c>
      <c r="AJ195" s="58" t="b">
        <f t="shared" ca="1" si="10"/>
        <v>1</v>
      </c>
      <c r="AK195" s="58" t="b">
        <f>OR(Table4[[#This Row],[Priority]]="Critical",Table4[[#This Row],[Priority]]="High")</f>
        <v>0</v>
      </c>
      <c r="AL195" s="283">
        <f ca="1">Table4[[#This Row],[Required Risk Resolution Date]]-$AE$1</f>
        <v>-40990</v>
      </c>
      <c r="AM195" s="58" t="b">
        <f t="shared" ca="1" si="11"/>
        <v>0</v>
      </c>
      <c r="AN195" s="59" t="b">
        <f>OR(Table4[[#This Row],[Priority]]="Critical",Table4[[#This Row],[Priority]]="High",Table4[[#This Row],[Priority]]="Moderate")</f>
        <v>0</v>
      </c>
    </row>
    <row r="196" spans="1:40">
      <c r="A196" s="60"/>
      <c r="B196" s="60"/>
      <c r="C196" s="60"/>
      <c r="D196" s="60"/>
      <c r="E196" s="6"/>
      <c r="F196" s="6"/>
      <c r="G196" s="6"/>
      <c r="H196" s="6"/>
      <c r="I196" s="323"/>
      <c r="J196" s="6"/>
      <c r="K196" s="6"/>
      <c r="L196" s="6"/>
      <c r="M196" s="6"/>
      <c r="N196" s="6"/>
      <c r="O196" s="6"/>
      <c r="P196" s="6"/>
      <c r="Q196" s="6"/>
      <c r="R196" s="6"/>
      <c r="S196" s="6"/>
      <c r="T196" s="6"/>
      <c r="U196" s="6"/>
      <c r="V196" s="6"/>
      <c r="W196" s="6"/>
      <c r="X196" s="6"/>
      <c r="Y196" s="6"/>
      <c r="Z196" s="6"/>
      <c r="AA196" s="162"/>
      <c r="AB196" s="6"/>
      <c r="AC196" s="6"/>
      <c r="AE196" s="283">
        <f ca="1">$AE$1-Table4[[#This Row],[Date Captured]]</f>
        <v>40990</v>
      </c>
      <c r="AF196" s="58" t="b">
        <f>IFERROR(OR(Table4[[#This Row],[Status]]="02. Open &amp; Assigned",Table4[[#This Row],[Status]]="01. Open",Table4[[#This Row],[Status]]="03. Action/Mitigation Plan Defined",Table4[[#This Row],[Status]]="04. Action Plan Completed",Table4[[#This Row],[Status]]="08. Blank"),"")</f>
        <v>0</v>
      </c>
      <c r="AG196" s="58" t="str">
        <f>IF(Table4[[#This Row],[Required Risk Resolution Date]]="","FALSE",IF($AE$1&gt;Table4[[#This Row],[Required Risk Resolution Date]],TRUE,FALSE))</f>
        <v>FALSE</v>
      </c>
      <c r="AH196" s="58" t="b">
        <f t="shared" ca="1" si="8"/>
        <v>0</v>
      </c>
      <c r="AI196" s="58" t="b">
        <f t="shared" ca="1" si="9"/>
        <v>0</v>
      </c>
      <c r="AJ196" s="58" t="b">
        <f t="shared" ca="1" si="10"/>
        <v>1</v>
      </c>
      <c r="AK196" s="58" t="b">
        <f>OR(Table4[[#This Row],[Priority]]="Critical",Table4[[#This Row],[Priority]]="High")</f>
        <v>0</v>
      </c>
      <c r="AL196" s="283">
        <f ca="1">Table4[[#This Row],[Required Risk Resolution Date]]-$AE$1</f>
        <v>-40990</v>
      </c>
      <c r="AM196" s="58" t="b">
        <f t="shared" ca="1" si="11"/>
        <v>0</v>
      </c>
      <c r="AN196" s="59" t="b">
        <f>OR(Table4[[#This Row],[Priority]]="Critical",Table4[[#This Row],[Priority]]="High",Table4[[#This Row],[Priority]]="Moderate")</f>
        <v>0</v>
      </c>
    </row>
    <row r="197" spans="1:40">
      <c r="A197" s="60"/>
      <c r="B197" s="60"/>
      <c r="C197" s="60"/>
      <c r="D197" s="60"/>
      <c r="E197" s="6"/>
      <c r="F197" s="6"/>
      <c r="G197" s="6"/>
      <c r="H197" s="6"/>
      <c r="I197" s="323"/>
      <c r="J197" s="6"/>
      <c r="K197" s="6"/>
      <c r="L197" s="6"/>
      <c r="M197" s="6"/>
      <c r="N197" s="6"/>
      <c r="O197" s="6"/>
      <c r="P197" s="6"/>
      <c r="Q197" s="6"/>
      <c r="R197" s="6"/>
      <c r="S197" s="6"/>
      <c r="T197" s="6"/>
      <c r="U197" s="6"/>
      <c r="V197" s="6"/>
      <c r="W197" s="6"/>
      <c r="X197" s="6"/>
      <c r="Y197" s="6"/>
      <c r="Z197" s="6"/>
      <c r="AA197" s="162"/>
      <c r="AB197" s="6"/>
      <c r="AC197" s="6"/>
      <c r="AE197" s="283">
        <f ca="1">$AE$1-Table4[[#This Row],[Date Captured]]</f>
        <v>40990</v>
      </c>
      <c r="AF197" s="58" t="b">
        <f>IFERROR(OR(Table4[[#This Row],[Status]]="02. Open &amp; Assigned",Table4[[#This Row],[Status]]="01. Open",Table4[[#This Row],[Status]]="03. Action/Mitigation Plan Defined",Table4[[#This Row],[Status]]="04. Action Plan Completed",Table4[[#This Row],[Status]]="08. Blank"),"")</f>
        <v>0</v>
      </c>
      <c r="AG197" s="58" t="str">
        <f>IF(Table4[[#This Row],[Required Risk Resolution Date]]="","FALSE",IF($AE$1&gt;Table4[[#This Row],[Required Risk Resolution Date]],TRUE,FALSE))</f>
        <v>FALSE</v>
      </c>
      <c r="AH197" s="58" t="b">
        <f t="shared" ref="AH197:AH252" ca="1" si="12">IF(AE197&lt;30,FALSE,IF(AE197&gt;90,FALSE,TRUE))</f>
        <v>0</v>
      </c>
      <c r="AI197" s="58" t="b">
        <f t="shared" ref="AI197:AI252" ca="1" si="13">IF(AE197&lt;91,FALSE,IF(AE197&gt;180,FALSE,TRUE))</f>
        <v>0</v>
      </c>
      <c r="AJ197" s="58" t="b">
        <f t="shared" ref="AJ197:AJ252" ca="1" si="14">IF(AE197&gt;180,TRUE,FALSE)</f>
        <v>1</v>
      </c>
      <c r="AK197" s="58" t="b">
        <f>OR(Table4[[#This Row],[Priority]]="Critical",Table4[[#This Row],[Priority]]="High")</f>
        <v>0</v>
      </c>
      <c r="AL197" s="283">
        <f ca="1">Table4[[#This Row],[Required Risk Resolution Date]]-$AE$1</f>
        <v>-40990</v>
      </c>
      <c r="AM197" s="58" t="b">
        <f t="shared" ref="AM197:AM252" ca="1" si="15">IF(AL197&lt;1,FALSE,IF(AL197&gt;7,FALSE,TRUE))</f>
        <v>0</v>
      </c>
      <c r="AN197" s="59" t="b">
        <f>OR(Table4[[#This Row],[Priority]]="Critical",Table4[[#This Row],[Priority]]="High",Table4[[#This Row],[Priority]]="Moderate")</f>
        <v>0</v>
      </c>
    </row>
    <row r="198" spans="1:40">
      <c r="A198" s="60"/>
      <c r="B198" s="60"/>
      <c r="C198" s="60"/>
      <c r="D198" s="60"/>
      <c r="E198" s="6"/>
      <c r="F198" s="6"/>
      <c r="G198" s="6"/>
      <c r="H198" s="6"/>
      <c r="I198" s="323"/>
      <c r="J198" s="6"/>
      <c r="K198" s="6"/>
      <c r="L198" s="6"/>
      <c r="M198" s="6"/>
      <c r="N198" s="6"/>
      <c r="O198" s="6"/>
      <c r="P198" s="6"/>
      <c r="Q198" s="6"/>
      <c r="R198" s="6"/>
      <c r="S198" s="6"/>
      <c r="T198" s="6"/>
      <c r="U198" s="6"/>
      <c r="V198" s="6"/>
      <c r="W198" s="6"/>
      <c r="X198" s="6"/>
      <c r="Y198" s="6"/>
      <c r="Z198" s="6"/>
      <c r="AA198" s="162"/>
      <c r="AB198" s="6"/>
      <c r="AC198" s="6"/>
      <c r="AE198" s="283">
        <f ca="1">$AE$1-Table4[[#This Row],[Date Captured]]</f>
        <v>40990</v>
      </c>
      <c r="AF198" s="58" t="b">
        <f>IFERROR(OR(Table4[[#This Row],[Status]]="02. Open &amp; Assigned",Table4[[#This Row],[Status]]="01. Open",Table4[[#This Row],[Status]]="03. Action/Mitigation Plan Defined",Table4[[#This Row],[Status]]="04. Action Plan Completed",Table4[[#This Row],[Status]]="08. Blank"),"")</f>
        <v>0</v>
      </c>
      <c r="AG198" s="58" t="str">
        <f>IF(Table4[[#This Row],[Required Risk Resolution Date]]="","FALSE",IF($AE$1&gt;Table4[[#This Row],[Required Risk Resolution Date]],TRUE,FALSE))</f>
        <v>FALSE</v>
      </c>
      <c r="AH198" s="58" t="b">
        <f t="shared" ca="1" si="12"/>
        <v>0</v>
      </c>
      <c r="AI198" s="58" t="b">
        <f t="shared" ca="1" si="13"/>
        <v>0</v>
      </c>
      <c r="AJ198" s="58" t="b">
        <f t="shared" ca="1" si="14"/>
        <v>1</v>
      </c>
      <c r="AK198" s="58" t="b">
        <f>OR(Table4[[#This Row],[Priority]]="Critical",Table4[[#This Row],[Priority]]="High")</f>
        <v>0</v>
      </c>
      <c r="AL198" s="283">
        <f ca="1">Table4[[#This Row],[Required Risk Resolution Date]]-$AE$1</f>
        <v>-40990</v>
      </c>
      <c r="AM198" s="58" t="b">
        <f t="shared" ca="1" si="15"/>
        <v>0</v>
      </c>
      <c r="AN198" s="59" t="b">
        <f>OR(Table4[[#This Row],[Priority]]="Critical",Table4[[#This Row],[Priority]]="High",Table4[[#This Row],[Priority]]="Moderate")</f>
        <v>0</v>
      </c>
    </row>
    <row r="199" spans="1:40">
      <c r="A199" s="60"/>
      <c r="B199" s="60"/>
      <c r="C199" s="60"/>
      <c r="D199" s="60"/>
      <c r="E199" s="6"/>
      <c r="F199" s="6"/>
      <c r="G199" s="6"/>
      <c r="H199" s="6"/>
      <c r="I199" s="323"/>
      <c r="J199" s="6"/>
      <c r="K199" s="6"/>
      <c r="L199" s="6"/>
      <c r="M199" s="6"/>
      <c r="N199" s="6"/>
      <c r="O199" s="6"/>
      <c r="P199" s="6"/>
      <c r="Q199" s="6"/>
      <c r="R199" s="6"/>
      <c r="S199" s="6"/>
      <c r="T199" s="6"/>
      <c r="U199" s="6"/>
      <c r="V199" s="6"/>
      <c r="W199" s="6"/>
      <c r="X199" s="6"/>
      <c r="Y199" s="6"/>
      <c r="Z199" s="6"/>
      <c r="AA199" s="162"/>
      <c r="AB199" s="6"/>
      <c r="AC199" s="6"/>
      <c r="AE199" s="283">
        <f ca="1">$AE$1-Table4[[#This Row],[Date Captured]]</f>
        <v>40990</v>
      </c>
      <c r="AF199" s="58" t="b">
        <f>IFERROR(OR(Table4[[#This Row],[Status]]="02. Open &amp; Assigned",Table4[[#This Row],[Status]]="01. Open",Table4[[#This Row],[Status]]="03. Action/Mitigation Plan Defined",Table4[[#This Row],[Status]]="04. Action Plan Completed",Table4[[#This Row],[Status]]="08. Blank"),"")</f>
        <v>0</v>
      </c>
      <c r="AG199" s="58" t="str">
        <f>IF(Table4[[#This Row],[Required Risk Resolution Date]]="","FALSE",IF($AE$1&gt;Table4[[#This Row],[Required Risk Resolution Date]],TRUE,FALSE))</f>
        <v>FALSE</v>
      </c>
      <c r="AH199" s="58" t="b">
        <f t="shared" ca="1" si="12"/>
        <v>0</v>
      </c>
      <c r="AI199" s="58" t="b">
        <f t="shared" ca="1" si="13"/>
        <v>0</v>
      </c>
      <c r="AJ199" s="58" t="b">
        <f t="shared" ca="1" si="14"/>
        <v>1</v>
      </c>
      <c r="AK199" s="58" t="b">
        <f>OR(Table4[[#This Row],[Priority]]="Critical",Table4[[#This Row],[Priority]]="High")</f>
        <v>0</v>
      </c>
      <c r="AL199" s="283">
        <f ca="1">Table4[[#This Row],[Required Risk Resolution Date]]-$AE$1</f>
        <v>-40990</v>
      </c>
      <c r="AM199" s="58" t="b">
        <f t="shared" ca="1" si="15"/>
        <v>0</v>
      </c>
      <c r="AN199" s="59" t="b">
        <f>OR(Table4[[#This Row],[Priority]]="Critical",Table4[[#This Row],[Priority]]="High",Table4[[#This Row],[Priority]]="Moderate")</f>
        <v>0</v>
      </c>
    </row>
    <row r="200" spans="1:40">
      <c r="A200" s="60"/>
      <c r="B200" s="60"/>
      <c r="C200" s="60"/>
      <c r="D200" s="60"/>
      <c r="E200" s="6"/>
      <c r="F200" s="6"/>
      <c r="G200" s="6"/>
      <c r="H200" s="6"/>
      <c r="I200" s="323"/>
      <c r="J200" s="6"/>
      <c r="K200" s="6"/>
      <c r="L200" s="6"/>
      <c r="M200" s="6"/>
      <c r="N200" s="6"/>
      <c r="O200" s="6"/>
      <c r="P200" s="6"/>
      <c r="Q200" s="6"/>
      <c r="R200" s="6"/>
      <c r="S200" s="6"/>
      <c r="T200" s="6"/>
      <c r="U200" s="6"/>
      <c r="V200" s="6"/>
      <c r="W200" s="6"/>
      <c r="X200" s="6"/>
      <c r="Y200" s="6"/>
      <c r="Z200" s="6"/>
      <c r="AA200" s="162"/>
      <c r="AB200" s="6"/>
      <c r="AC200" s="6"/>
      <c r="AE200" s="283">
        <f ca="1">$AE$1-Table4[[#This Row],[Date Captured]]</f>
        <v>40990</v>
      </c>
      <c r="AF200" s="58" t="b">
        <f>IFERROR(OR(Table4[[#This Row],[Status]]="02. Open &amp; Assigned",Table4[[#This Row],[Status]]="01. Open",Table4[[#This Row],[Status]]="03. Action/Mitigation Plan Defined",Table4[[#This Row],[Status]]="04. Action Plan Completed",Table4[[#This Row],[Status]]="08. Blank"),"")</f>
        <v>0</v>
      </c>
      <c r="AG200" s="58" t="str">
        <f>IF(Table4[[#This Row],[Required Risk Resolution Date]]="","FALSE",IF($AE$1&gt;Table4[[#This Row],[Required Risk Resolution Date]],TRUE,FALSE))</f>
        <v>FALSE</v>
      </c>
      <c r="AH200" s="58" t="b">
        <f t="shared" ca="1" si="12"/>
        <v>0</v>
      </c>
      <c r="AI200" s="58" t="b">
        <f t="shared" ca="1" si="13"/>
        <v>0</v>
      </c>
      <c r="AJ200" s="58" t="b">
        <f t="shared" ca="1" si="14"/>
        <v>1</v>
      </c>
      <c r="AK200" s="58" t="b">
        <f>OR(Table4[[#This Row],[Priority]]="Critical",Table4[[#This Row],[Priority]]="High")</f>
        <v>0</v>
      </c>
      <c r="AL200" s="283">
        <f ca="1">Table4[[#This Row],[Required Risk Resolution Date]]-$AE$1</f>
        <v>-40990</v>
      </c>
      <c r="AM200" s="58" t="b">
        <f t="shared" ca="1" si="15"/>
        <v>0</v>
      </c>
      <c r="AN200" s="59" t="b">
        <f>OR(Table4[[#This Row],[Priority]]="Critical",Table4[[#This Row],[Priority]]="High",Table4[[#This Row],[Priority]]="Moderate")</f>
        <v>0</v>
      </c>
    </row>
    <row r="201" spans="1:40">
      <c r="A201" s="60"/>
      <c r="B201" s="60"/>
      <c r="C201" s="60"/>
      <c r="D201" s="60"/>
      <c r="E201" s="6"/>
      <c r="F201" s="6"/>
      <c r="G201" s="6"/>
      <c r="H201" s="6"/>
      <c r="I201" s="323"/>
      <c r="J201" s="6"/>
      <c r="K201" s="6"/>
      <c r="L201" s="6"/>
      <c r="M201" s="6"/>
      <c r="N201" s="6"/>
      <c r="O201" s="6"/>
      <c r="P201" s="6"/>
      <c r="Q201" s="6"/>
      <c r="R201" s="6"/>
      <c r="S201" s="6"/>
      <c r="T201" s="6"/>
      <c r="U201" s="6"/>
      <c r="V201" s="6"/>
      <c r="W201" s="6"/>
      <c r="X201" s="6"/>
      <c r="Y201" s="6"/>
      <c r="Z201" s="6"/>
      <c r="AA201" s="162"/>
      <c r="AB201" s="6"/>
      <c r="AC201" s="6"/>
      <c r="AE201" s="283">
        <f ca="1">$AE$1-Table4[[#This Row],[Date Captured]]</f>
        <v>40990</v>
      </c>
      <c r="AF201" s="58" t="b">
        <f>IFERROR(OR(Table4[[#This Row],[Status]]="02. Open &amp; Assigned",Table4[[#This Row],[Status]]="01. Open",Table4[[#This Row],[Status]]="03. Action/Mitigation Plan Defined",Table4[[#This Row],[Status]]="04. Action Plan Completed",Table4[[#This Row],[Status]]="08. Blank"),"")</f>
        <v>0</v>
      </c>
      <c r="AG201" s="58" t="str">
        <f>IF(Table4[[#This Row],[Required Risk Resolution Date]]="","FALSE",IF($AE$1&gt;Table4[[#This Row],[Required Risk Resolution Date]],TRUE,FALSE))</f>
        <v>FALSE</v>
      </c>
      <c r="AH201" s="58" t="b">
        <f t="shared" ca="1" si="12"/>
        <v>0</v>
      </c>
      <c r="AI201" s="58" t="b">
        <f t="shared" ca="1" si="13"/>
        <v>0</v>
      </c>
      <c r="AJ201" s="58" t="b">
        <f t="shared" ca="1" si="14"/>
        <v>1</v>
      </c>
      <c r="AK201" s="58" t="b">
        <f>OR(Table4[[#This Row],[Priority]]="Critical",Table4[[#This Row],[Priority]]="High")</f>
        <v>0</v>
      </c>
      <c r="AL201" s="283">
        <f ca="1">Table4[[#This Row],[Required Risk Resolution Date]]-$AE$1</f>
        <v>-40990</v>
      </c>
      <c r="AM201" s="58" t="b">
        <f t="shared" ca="1" si="15"/>
        <v>0</v>
      </c>
      <c r="AN201" s="59" t="b">
        <f>OR(Table4[[#This Row],[Priority]]="Critical",Table4[[#This Row],[Priority]]="High",Table4[[#This Row],[Priority]]="Moderate")</f>
        <v>0</v>
      </c>
    </row>
    <row r="202" spans="1:40">
      <c r="A202" s="60"/>
      <c r="B202" s="60"/>
      <c r="C202" s="60"/>
      <c r="D202" s="60"/>
      <c r="E202" s="6"/>
      <c r="F202" s="6"/>
      <c r="G202" s="6"/>
      <c r="H202" s="6"/>
      <c r="I202" s="323"/>
      <c r="J202" s="6"/>
      <c r="K202" s="6"/>
      <c r="L202" s="6"/>
      <c r="M202" s="6"/>
      <c r="N202" s="6"/>
      <c r="O202" s="6"/>
      <c r="P202" s="6"/>
      <c r="Q202" s="6"/>
      <c r="R202" s="6"/>
      <c r="S202" s="6"/>
      <c r="T202" s="6"/>
      <c r="U202" s="6"/>
      <c r="V202" s="6"/>
      <c r="W202" s="6"/>
      <c r="X202" s="6"/>
      <c r="Y202" s="6"/>
      <c r="Z202" s="6"/>
      <c r="AA202" s="162"/>
      <c r="AB202" s="6"/>
      <c r="AC202" s="6"/>
      <c r="AE202" s="283">
        <f ca="1">$AE$1-Table4[[#This Row],[Date Captured]]</f>
        <v>40990</v>
      </c>
      <c r="AF202" s="58" t="b">
        <f>IFERROR(OR(Table4[[#This Row],[Status]]="02. Open &amp; Assigned",Table4[[#This Row],[Status]]="01. Open",Table4[[#This Row],[Status]]="03. Action/Mitigation Plan Defined",Table4[[#This Row],[Status]]="04. Action Plan Completed",Table4[[#This Row],[Status]]="08. Blank"),"")</f>
        <v>0</v>
      </c>
      <c r="AG202" s="58" t="str">
        <f>IF(Table4[[#This Row],[Required Risk Resolution Date]]="","FALSE",IF($AE$1&gt;Table4[[#This Row],[Required Risk Resolution Date]],TRUE,FALSE))</f>
        <v>FALSE</v>
      </c>
      <c r="AH202" s="58" t="b">
        <f t="shared" ca="1" si="12"/>
        <v>0</v>
      </c>
      <c r="AI202" s="58" t="b">
        <f t="shared" ca="1" si="13"/>
        <v>0</v>
      </c>
      <c r="AJ202" s="58" t="b">
        <f t="shared" ca="1" si="14"/>
        <v>1</v>
      </c>
      <c r="AK202" s="58" t="b">
        <f>OR(Table4[[#This Row],[Priority]]="Critical",Table4[[#This Row],[Priority]]="High")</f>
        <v>0</v>
      </c>
      <c r="AL202" s="283">
        <f ca="1">Table4[[#This Row],[Required Risk Resolution Date]]-$AE$1</f>
        <v>-40990</v>
      </c>
      <c r="AM202" s="58" t="b">
        <f t="shared" ca="1" si="15"/>
        <v>0</v>
      </c>
      <c r="AN202" s="59" t="b">
        <f>OR(Table4[[#This Row],[Priority]]="Critical",Table4[[#This Row],[Priority]]="High",Table4[[#This Row],[Priority]]="Moderate")</f>
        <v>0</v>
      </c>
    </row>
    <row r="203" spans="1:40">
      <c r="A203" s="60"/>
      <c r="B203" s="60"/>
      <c r="C203" s="60"/>
      <c r="D203" s="60"/>
      <c r="E203" s="6"/>
      <c r="F203" s="6"/>
      <c r="G203" s="6"/>
      <c r="H203" s="6"/>
      <c r="I203" s="323"/>
      <c r="J203" s="6"/>
      <c r="K203" s="6"/>
      <c r="L203" s="6"/>
      <c r="M203" s="6"/>
      <c r="N203" s="6"/>
      <c r="O203" s="6"/>
      <c r="P203" s="6"/>
      <c r="Q203" s="6"/>
      <c r="R203" s="6"/>
      <c r="S203" s="6"/>
      <c r="T203" s="6"/>
      <c r="U203" s="6"/>
      <c r="V203" s="6"/>
      <c r="W203" s="6"/>
      <c r="X203" s="6"/>
      <c r="Y203" s="6"/>
      <c r="Z203" s="6"/>
      <c r="AA203" s="162"/>
      <c r="AB203" s="6"/>
      <c r="AC203" s="6"/>
      <c r="AE203" s="283">
        <f ca="1">$AE$1-Table4[[#This Row],[Date Captured]]</f>
        <v>40990</v>
      </c>
      <c r="AF203" s="58" t="b">
        <f>IFERROR(OR(Table4[[#This Row],[Status]]="02. Open &amp; Assigned",Table4[[#This Row],[Status]]="01. Open",Table4[[#This Row],[Status]]="03. Action/Mitigation Plan Defined",Table4[[#This Row],[Status]]="04. Action Plan Completed",Table4[[#This Row],[Status]]="08. Blank"),"")</f>
        <v>0</v>
      </c>
      <c r="AG203" s="58" t="str">
        <f>IF(Table4[[#This Row],[Required Risk Resolution Date]]="","FALSE",IF($AE$1&gt;Table4[[#This Row],[Required Risk Resolution Date]],TRUE,FALSE))</f>
        <v>FALSE</v>
      </c>
      <c r="AH203" s="58" t="b">
        <f t="shared" ca="1" si="12"/>
        <v>0</v>
      </c>
      <c r="AI203" s="58" t="b">
        <f t="shared" ca="1" si="13"/>
        <v>0</v>
      </c>
      <c r="AJ203" s="58" t="b">
        <f t="shared" ca="1" si="14"/>
        <v>1</v>
      </c>
      <c r="AK203" s="58" t="b">
        <f>OR(Table4[[#This Row],[Priority]]="Critical",Table4[[#This Row],[Priority]]="High")</f>
        <v>0</v>
      </c>
      <c r="AL203" s="283">
        <f ca="1">Table4[[#This Row],[Required Risk Resolution Date]]-$AE$1</f>
        <v>-40990</v>
      </c>
      <c r="AM203" s="58" t="b">
        <f t="shared" ca="1" si="15"/>
        <v>0</v>
      </c>
      <c r="AN203" s="59" t="b">
        <f>OR(Table4[[#This Row],[Priority]]="Critical",Table4[[#This Row],[Priority]]="High",Table4[[#This Row],[Priority]]="Moderate")</f>
        <v>0</v>
      </c>
    </row>
    <row r="204" spans="1:40">
      <c r="A204" s="60"/>
      <c r="B204" s="60"/>
      <c r="C204" s="60"/>
      <c r="D204" s="60"/>
      <c r="E204" s="6"/>
      <c r="F204" s="6"/>
      <c r="G204" s="6"/>
      <c r="H204" s="6"/>
      <c r="I204" s="323"/>
      <c r="J204" s="6"/>
      <c r="K204" s="6"/>
      <c r="L204" s="6"/>
      <c r="M204" s="6"/>
      <c r="N204" s="6"/>
      <c r="O204" s="6"/>
      <c r="P204" s="6"/>
      <c r="Q204" s="6"/>
      <c r="R204" s="6"/>
      <c r="S204" s="6"/>
      <c r="T204" s="6"/>
      <c r="U204" s="6"/>
      <c r="V204" s="6"/>
      <c r="W204" s="6"/>
      <c r="X204" s="6"/>
      <c r="Y204" s="6"/>
      <c r="Z204" s="6"/>
      <c r="AA204" s="162"/>
      <c r="AB204" s="6"/>
      <c r="AC204" s="6"/>
      <c r="AE204" s="283">
        <f ca="1">$AE$1-Table4[[#This Row],[Date Captured]]</f>
        <v>40990</v>
      </c>
      <c r="AF204" s="58" t="b">
        <f>IFERROR(OR(Table4[[#This Row],[Status]]="02. Open &amp; Assigned",Table4[[#This Row],[Status]]="01. Open",Table4[[#This Row],[Status]]="03. Action/Mitigation Plan Defined",Table4[[#This Row],[Status]]="04. Action Plan Completed",Table4[[#This Row],[Status]]="08. Blank"),"")</f>
        <v>0</v>
      </c>
      <c r="AG204" s="58" t="str">
        <f>IF(Table4[[#This Row],[Required Risk Resolution Date]]="","FALSE",IF($AE$1&gt;Table4[[#This Row],[Required Risk Resolution Date]],TRUE,FALSE))</f>
        <v>FALSE</v>
      </c>
      <c r="AH204" s="58" t="b">
        <f t="shared" ca="1" si="12"/>
        <v>0</v>
      </c>
      <c r="AI204" s="58" t="b">
        <f t="shared" ca="1" si="13"/>
        <v>0</v>
      </c>
      <c r="AJ204" s="58" t="b">
        <f t="shared" ca="1" si="14"/>
        <v>1</v>
      </c>
      <c r="AK204" s="58" t="b">
        <f>OR(Table4[[#This Row],[Priority]]="Critical",Table4[[#This Row],[Priority]]="High")</f>
        <v>0</v>
      </c>
      <c r="AL204" s="283">
        <f ca="1">Table4[[#This Row],[Required Risk Resolution Date]]-$AE$1</f>
        <v>-40990</v>
      </c>
      <c r="AM204" s="58" t="b">
        <f t="shared" ca="1" si="15"/>
        <v>0</v>
      </c>
      <c r="AN204" s="59" t="b">
        <f>OR(Table4[[#This Row],[Priority]]="Critical",Table4[[#This Row],[Priority]]="High",Table4[[#This Row],[Priority]]="Moderate")</f>
        <v>0</v>
      </c>
    </row>
    <row r="205" spans="1:40">
      <c r="A205" s="60"/>
      <c r="B205" s="60"/>
      <c r="C205" s="60"/>
      <c r="D205" s="60"/>
      <c r="E205" s="6"/>
      <c r="F205" s="6"/>
      <c r="G205" s="6"/>
      <c r="H205" s="6"/>
      <c r="I205" s="323"/>
      <c r="J205" s="6"/>
      <c r="K205" s="6"/>
      <c r="L205" s="6"/>
      <c r="M205" s="6"/>
      <c r="N205" s="6"/>
      <c r="O205" s="6"/>
      <c r="P205" s="6"/>
      <c r="Q205" s="6"/>
      <c r="R205" s="6"/>
      <c r="S205" s="6"/>
      <c r="T205" s="6"/>
      <c r="U205" s="6"/>
      <c r="V205" s="6"/>
      <c r="W205" s="6"/>
      <c r="X205" s="6"/>
      <c r="Y205" s="6"/>
      <c r="Z205" s="6"/>
      <c r="AA205" s="162"/>
      <c r="AB205" s="6"/>
      <c r="AC205" s="6"/>
      <c r="AE205" s="283">
        <f ca="1">$AE$1-Table4[[#This Row],[Date Captured]]</f>
        <v>40990</v>
      </c>
      <c r="AF205" s="58" t="b">
        <f>IFERROR(OR(Table4[[#This Row],[Status]]="02. Open &amp; Assigned",Table4[[#This Row],[Status]]="01. Open",Table4[[#This Row],[Status]]="03. Action/Mitigation Plan Defined",Table4[[#This Row],[Status]]="04. Action Plan Completed",Table4[[#This Row],[Status]]="08. Blank"),"")</f>
        <v>0</v>
      </c>
      <c r="AG205" s="58" t="str">
        <f>IF(Table4[[#This Row],[Required Risk Resolution Date]]="","FALSE",IF($AE$1&gt;Table4[[#This Row],[Required Risk Resolution Date]],TRUE,FALSE))</f>
        <v>FALSE</v>
      </c>
      <c r="AH205" s="58" t="b">
        <f t="shared" ca="1" si="12"/>
        <v>0</v>
      </c>
      <c r="AI205" s="58" t="b">
        <f t="shared" ca="1" si="13"/>
        <v>0</v>
      </c>
      <c r="AJ205" s="58" t="b">
        <f t="shared" ca="1" si="14"/>
        <v>1</v>
      </c>
      <c r="AK205" s="58" t="b">
        <f>OR(Table4[[#This Row],[Priority]]="Critical",Table4[[#This Row],[Priority]]="High")</f>
        <v>0</v>
      </c>
      <c r="AL205" s="283">
        <f ca="1">Table4[[#This Row],[Required Risk Resolution Date]]-$AE$1</f>
        <v>-40990</v>
      </c>
      <c r="AM205" s="58" t="b">
        <f t="shared" ca="1" si="15"/>
        <v>0</v>
      </c>
      <c r="AN205" s="59" t="b">
        <f>OR(Table4[[#This Row],[Priority]]="Critical",Table4[[#This Row],[Priority]]="High",Table4[[#This Row],[Priority]]="Moderate")</f>
        <v>0</v>
      </c>
    </row>
    <row r="206" spans="1:40">
      <c r="A206" s="60"/>
      <c r="B206" s="60"/>
      <c r="C206" s="60"/>
      <c r="D206" s="60"/>
      <c r="E206" s="6"/>
      <c r="F206" s="6"/>
      <c r="G206" s="6"/>
      <c r="H206" s="6"/>
      <c r="I206" s="323"/>
      <c r="J206" s="6"/>
      <c r="K206" s="6"/>
      <c r="L206" s="6"/>
      <c r="M206" s="6"/>
      <c r="N206" s="6"/>
      <c r="O206" s="6"/>
      <c r="P206" s="6"/>
      <c r="Q206" s="6"/>
      <c r="R206" s="6"/>
      <c r="S206" s="6"/>
      <c r="T206" s="6"/>
      <c r="U206" s="6"/>
      <c r="V206" s="6"/>
      <c r="W206" s="6"/>
      <c r="X206" s="6"/>
      <c r="Y206" s="6"/>
      <c r="Z206" s="6"/>
      <c r="AA206" s="162"/>
      <c r="AB206" s="6"/>
      <c r="AC206" s="6"/>
      <c r="AE206" s="283">
        <f ca="1">$AE$1-Table4[[#This Row],[Date Captured]]</f>
        <v>40990</v>
      </c>
      <c r="AF206" s="58" t="b">
        <f>IFERROR(OR(Table4[[#This Row],[Status]]="02. Open &amp; Assigned",Table4[[#This Row],[Status]]="01. Open",Table4[[#This Row],[Status]]="03. Action/Mitigation Plan Defined",Table4[[#This Row],[Status]]="04. Action Plan Completed",Table4[[#This Row],[Status]]="08. Blank"),"")</f>
        <v>0</v>
      </c>
      <c r="AG206" s="58" t="str">
        <f>IF(Table4[[#This Row],[Required Risk Resolution Date]]="","FALSE",IF($AE$1&gt;Table4[[#This Row],[Required Risk Resolution Date]],TRUE,FALSE))</f>
        <v>FALSE</v>
      </c>
      <c r="AH206" s="58" t="b">
        <f t="shared" ca="1" si="12"/>
        <v>0</v>
      </c>
      <c r="AI206" s="58" t="b">
        <f t="shared" ca="1" si="13"/>
        <v>0</v>
      </c>
      <c r="AJ206" s="58" t="b">
        <f t="shared" ca="1" si="14"/>
        <v>1</v>
      </c>
      <c r="AK206" s="58" t="b">
        <f>OR(Table4[[#This Row],[Priority]]="Critical",Table4[[#This Row],[Priority]]="High")</f>
        <v>0</v>
      </c>
      <c r="AL206" s="283">
        <f ca="1">Table4[[#This Row],[Required Risk Resolution Date]]-$AE$1</f>
        <v>-40990</v>
      </c>
      <c r="AM206" s="58" t="b">
        <f t="shared" ca="1" si="15"/>
        <v>0</v>
      </c>
      <c r="AN206" s="59" t="b">
        <f>OR(Table4[[#This Row],[Priority]]="Critical",Table4[[#This Row],[Priority]]="High",Table4[[#This Row],[Priority]]="Moderate")</f>
        <v>0</v>
      </c>
    </row>
    <row r="207" spans="1:40">
      <c r="A207" s="60"/>
      <c r="B207" s="60"/>
      <c r="C207" s="60"/>
      <c r="D207" s="60"/>
      <c r="E207" s="6"/>
      <c r="F207" s="6"/>
      <c r="G207" s="6"/>
      <c r="H207" s="6"/>
      <c r="I207" s="323"/>
      <c r="J207" s="6"/>
      <c r="K207" s="6"/>
      <c r="L207" s="6"/>
      <c r="M207" s="6"/>
      <c r="N207" s="6"/>
      <c r="O207" s="6"/>
      <c r="P207" s="6"/>
      <c r="Q207" s="6"/>
      <c r="R207" s="6"/>
      <c r="S207" s="6"/>
      <c r="T207" s="6"/>
      <c r="U207" s="6"/>
      <c r="V207" s="6"/>
      <c r="W207" s="6"/>
      <c r="X207" s="6"/>
      <c r="Y207" s="6"/>
      <c r="Z207" s="6"/>
      <c r="AA207" s="162"/>
      <c r="AB207" s="6"/>
      <c r="AC207" s="6"/>
      <c r="AE207" s="283">
        <f ca="1">$AE$1-Table4[[#This Row],[Date Captured]]</f>
        <v>40990</v>
      </c>
      <c r="AF207" s="58" t="b">
        <f>IFERROR(OR(Table4[[#This Row],[Status]]="02. Open &amp; Assigned",Table4[[#This Row],[Status]]="01. Open",Table4[[#This Row],[Status]]="03. Action/Mitigation Plan Defined",Table4[[#This Row],[Status]]="04. Action Plan Completed",Table4[[#This Row],[Status]]="08. Blank"),"")</f>
        <v>0</v>
      </c>
      <c r="AG207" s="58" t="str">
        <f>IF(Table4[[#This Row],[Required Risk Resolution Date]]="","FALSE",IF($AE$1&gt;Table4[[#This Row],[Required Risk Resolution Date]],TRUE,FALSE))</f>
        <v>FALSE</v>
      </c>
      <c r="AH207" s="58" t="b">
        <f t="shared" ca="1" si="12"/>
        <v>0</v>
      </c>
      <c r="AI207" s="58" t="b">
        <f t="shared" ca="1" si="13"/>
        <v>0</v>
      </c>
      <c r="AJ207" s="58" t="b">
        <f t="shared" ca="1" si="14"/>
        <v>1</v>
      </c>
      <c r="AK207" s="58" t="b">
        <f>OR(Table4[[#This Row],[Priority]]="Critical",Table4[[#This Row],[Priority]]="High")</f>
        <v>0</v>
      </c>
      <c r="AL207" s="283">
        <f ca="1">Table4[[#This Row],[Required Risk Resolution Date]]-$AE$1</f>
        <v>-40990</v>
      </c>
      <c r="AM207" s="58" t="b">
        <f t="shared" ca="1" si="15"/>
        <v>0</v>
      </c>
      <c r="AN207" s="59" t="b">
        <f>OR(Table4[[#This Row],[Priority]]="Critical",Table4[[#This Row],[Priority]]="High",Table4[[#This Row],[Priority]]="Moderate")</f>
        <v>0</v>
      </c>
    </row>
    <row r="208" spans="1:40">
      <c r="A208" s="60"/>
      <c r="B208" s="60"/>
      <c r="C208" s="60"/>
      <c r="D208" s="60"/>
      <c r="E208" s="6"/>
      <c r="F208" s="6"/>
      <c r="G208" s="6"/>
      <c r="H208" s="6"/>
      <c r="I208" s="323"/>
      <c r="J208" s="6"/>
      <c r="K208" s="6"/>
      <c r="L208" s="6"/>
      <c r="M208" s="6"/>
      <c r="N208" s="6"/>
      <c r="O208" s="6"/>
      <c r="P208" s="6"/>
      <c r="Q208" s="6"/>
      <c r="R208" s="6"/>
      <c r="S208" s="6"/>
      <c r="T208" s="6"/>
      <c r="U208" s="6"/>
      <c r="V208" s="6"/>
      <c r="W208" s="6"/>
      <c r="X208" s="6"/>
      <c r="Y208" s="6"/>
      <c r="Z208" s="6"/>
      <c r="AA208" s="162"/>
      <c r="AB208" s="6"/>
      <c r="AC208" s="6"/>
      <c r="AE208" s="283">
        <f ca="1">$AE$1-Table4[[#This Row],[Date Captured]]</f>
        <v>40990</v>
      </c>
      <c r="AF208" s="58" t="b">
        <f>IFERROR(OR(Table4[[#This Row],[Status]]="02. Open &amp; Assigned",Table4[[#This Row],[Status]]="01. Open",Table4[[#This Row],[Status]]="03. Action/Mitigation Plan Defined",Table4[[#This Row],[Status]]="04. Action Plan Completed",Table4[[#This Row],[Status]]="08. Blank"),"")</f>
        <v>0</v>
      </c>
      <c r="AG208" s="58" t="str">
        <f>IF(Table4[[#This Row],[Required Risk Resolution Date]]="","FALSE",IF($AE$1&gt;Table4[[#This Row],[Required Risk Resolution Date]],TRUE,FALSE))</f>
        <v>FALSE</v>
      </c>
      <c r="AH208" s="58" t="b">
        <f t="shared" ca="1" si="12"/>
        <v>0</v>
      </c>
      <c r="AI208" s="58" t="b">
        <f t="shared" ca="1" si="13"/>
        <v>0</v>
      </c>
      <c r="AJ208" s="58" t="b">
        <f t="shared" ca="1" si="14"/>
        <v>1</v>
      </c>
      <c r="AK208" s="58" t="b">
        <f>OR(Table4[[#This Row],[Priority]]="Critical",Table4[[#This Row],[Priority]]="High")</f>
        <v>0</v>
      </c>
      <c r="AL208" s="283">
        <f ca="1">Table4[[#This Row],[Required Risk Resolution Date]]-$AE$1</f>
        <v>-40990</v>
      </c>
      <c r="AM208" s="58" t="b">
        <f t="shared" ca="1" si="15"/>
        <v>0</v>
      </c>
      <c r="AN208" s="59" t="b">
        <f>OR(Table4[[#This Row],[Priority]]="Critical",Table4[[#This Row],[Priority]]="High",Table4[[#This Row],[Priority]]="Moderate")</f>
        <v>0</v>
      </c>
    </row>
    <row r="209" spans="1:40">
      <c r="A209" s="60"/>
      <c r="B209" s="60"/>
      <c r="C209" s="60"/>
      <c r="D209" s="60"/>
      <c r="E209" s="6"/>
      <c r="F209" s="6"/>
      <c r="G209" s="6"/>
      <c r="H209" s="6"/>
      <c r="I209" s="323"/>
      <c r="J209" s="6"/>
      <c r="K209" s="6"/>
      <c r="L209" s="6"/>
      <c r="M209" s="6"/>
      <c r="N209" s="6"/>
      <c r="O209" s="6"/>
      <c r="P209" s="6"/>
      <c r="Q209" s="6"/>
      <c r="R209" s="6"/>
      <c r="S209" s="6"/>
      <c r="T209" s="6"/>
      <c r="U209" s="6"/>
      <c r="V209" s="6"/>
      <c r="W209" s="6"/>
      <c r="X209" s="6"/>
      <c r="Y209" s="6"/>
      <c r="Z209" s="6"/>
      <c r="AA209" s="162"/>
      <c r="AB209" s="6"/>
      <c r="AC209" s="6"/>
      <c r="AE209" s="283">
        <f ca="1">$AE$1-Table4[[#This Row],[Date Captured]]</f>
        <v>40990</v>
      </c>
      <c r="AF209" s="58" t="b">
        <f>IFERROR(OR(Table4[[#This Row],[Status]]="02. Open &amp; Assigned",Table4[[#This Row],[Status]]="01. Open",Table4[[#This Row],[Status]]="03. Action/Mitigation Plan Defined",Table4[[#This Row],[Status]]="04. Action Plan Completed",Table4[[#This Row],[Status]]="08. Blank"),"")</f>
        <v>0</v>
      </c>
      <c r="AG209" s="58" t="str">
        <f>IF(Table4[[#This Row],[Required Risk Resolution Date]]="","FALSE",IF($AE$1&gt;Table4[[#This Row],[Required Risk Resolution Date]],TRUE,FALSE))</f>
        <v>FALSE</v>
      </c>
      <c r="AH209" s="58" t="b">
        <f t="shared" ca="1" si="12"/>
        <v>0</v>
      </c>
      <c r="AI209" s="58" t="b">
        <f t="shared" ca="1" si="13"/>
        <v>0</v>
      </c>
      <c r="AJ209" s="58" t="b">
        <f t="shared" ca="1" si="14"/>
        <v>1</v>
      </c>
      <c r="AK209" s="58" t="b">
        <f>OR(Table4[[#This Row],[Priority]]="Critical",Table4[[#This Row],[Priority]]="High")</f>
        <v>0</v>
      </c>
      <c r="AL209" s="283">
        <f ca="1">Table4[[#This Row],[Required Risk Resolution Date]]-$AE$1</f>
        <v>-40990</v>
      </c>
      <c r="AM209" s="58" t="b">
        <f t="shared" ca="1" si="15"/>
        <v>0</v>
      </c>
      <c r="AN209" s="59" t="b">
        <f>OR(Table4[[#This Row],[Priority]]="Critical",Table4[[#This Row],[Priority]]="High",Table4[[#This Row],[Priority]]="Moderate")</f>
        <v>0</v>
      </c>
    </row>
    <row r="210" spans="1:40">
      <c r="A210" s="60"/>
      <c r="B210" s="60"/>
      <c r="C210" s="60"/>
      <c r="D210" s="60"/>
      <c r="E210" s="6"/>
      <c r="F210" s="6"/>
      <c r="G210" s="6"/>
      <c r="H210" s="6"/>
      <c r="I210" s="323"/>
      <c r="J210" s="6"/>
      <c r="K210" s="6"/>
      <c r="L210" s="6"/>
      <c r="M210" s="6"/>
      <c r="N210" s="6"/>
      <c r="O210" s="6"/>
      <c r="P210" s="6"/>
      <c r="Q210" s="6"/>
      <c r="R210" s="6"/>
      <c r="S210" s="6"/>
      <c r="T210" s="6"/>
      <c r="U210" s="6"/>
      <c r="V210" s="6"/>
      <c r="W210" s="6"/>
      <c r="X210" s="6"/>
      <c r="Y210" s="6"/>
      <c r="Z210" s="6"/>
      <c r="AA210" s="162"/>
      <c r="AB210" s="6"/>
      <c r="AC210" s="6"/>
      <c r="AE210" s="283">
        <f ca="1">$AE$1-Table4[[#This Row],[Date Captured]]</f>
        <v>40990</v>
      </c>
      <c r="AF210" s="58" t="b">
        <f>IFERROR(OR(Table4[[#This Row],[Status]]="02. Open &amp; Assigned",Table4[[#This Row],[Status]]="01. Open",Table4[[#This Row],[Status]]="03. Action/Mitigation Plan Defined",Table4[[#This Row],[Status]]="04. Action Plan Completed",Table4[[#This Row],[Status]]="08. Blank"),"")</f>
        <v>0</v>
      </c>
      <c r="AG210" s="58" t="str">
        <f>IF(Table4[[#This Row],[Required Risk Resolution Date]]="","FALSE",IF($AE$1&gt;Table4[[#This Row],[Required Risk Resolution Date]],TRUE,FALSE))</f>
        <v>FALSE</v>
      </c>
      <c r="AH210" s="58" t="b">
        <f t="shared" ca="1" si="12"/>
        <v>0</v>
      </c>
      <c r="AI210" s="58" t="b">
        <f t="shared" ca="1" si="13"/>
        <v>0</v>
      </c>
      <c r="AJ210" s="58" t="b">
        <f t="shared" ca="1" si="14"/>
        <v>1</v>
      </c>
      <c r="AK210" s="58" t="b">
        <f>OR(Table4[[#This Row],[Priority]]="Critical",Table4[[#This Row],[Priority]]="High")</f>
        <v>0</v>
      </c>
      <c r="AL210" s="283">
        <f ca="1">Table4[[#This Row],[Required Risk Resolution Date]]-$AE$1</f>
        <v>-40990</v>
      </c>
      <c r="AM210" s="58" t="b">
        <f t="shared" ca="1" si="15"/>
        <v>0</v>
      </c>
      <c r="AN210" s="59" t="b">
        <f>OR(Table4[[#This Row],[Priority]]="Critical",Table4[[#This Row],[Priority]]="High",Table4[[#This Row],[Priority]]="Moderate")</f>
        <v>0</v>
      </c>
    </row>
    <row r="211" spans="1:40">
      <c r="A211" s="60"/>
      <c r="B211" s="60"/>
      <c r="C211" s="60"/>
      <c r="D211" s="60"/>
      <c r="E211" s="6"/>
      <c r="F211" s="6"/>
      <c r="G211" s="6"/>
      <c r="H211" s="6"/>
      <c r="I211" s="323"/>
      <c r="J211" s="6"/>
      <c r="K211" s="6"/>
      <c r="L211" s="6"/>
      <c r="M211" s="6"/>
      <c r="N211" s="6"/>
      <c r="O211" s="6"/>
      <c r="P211" s="6"/>
      <c r="Q211" s="6"/>
      <c r="R211" s="6"/>
      <c r="S211" s="6"/>
      <c r="T211" s="6"/>
      <c r="U211" s="6"/>
      <c r="V211" s="6"/>
      <c r="W211" s="6"/>
      <c r="X211" s="6"/>
      <c r="Y211" s="6"/>
      <c r="Z211" s="6"/>
      <c r="AA211" s="162"/>
      <c r="AB211" s="6"/>
      <c r="AC211" s="6"/>
      <c r="AE211" s="283">
        <f ca="1">$AE$1-Table4[[#This Row],[Date Captured]]</f>
        <v>40990</v>
      </c>
      <c r="AF211" s="58" t="b">
        <f>IFERROR(OR(Table4[[#This Row],[Status]]="02. Open &amp; Assigned",Table4[[#This Row],[Status]]="01. Open",Table4[[#This Row],[Status]]="03. Action/Mitigation Plan Defined",Table4[[#This Row],[Status]]="04. Action Plan Completed",Table4[[#This Row],[Status]]="08. Blank"),"")</f>
        <v>0</v>
      </c>
      <c r="AG211" s="58" t="str">
        <f>IF(Table4[[#This Row],[Required Risk Resolution Date]]="","FALSE",IF($AE$1&gt;Table4[[#This Row],[Required Risk Resolution Date]],TRUE,FALSE))</f>
        <v>FALSE</v>
      </c>
      <c r="AH211" s="58" t="b">
        <f t="shared" ca="1" si="12"/>
        <v>0</v>
      </c>
      <c r="AI211" s="58" t="b">
        <f t="shared" ca="1" si="13"/>
        <v>0</v>
      </c>
      <c r="AJ211" s="58" t="b">
        <f t="shared" ca="1" si="14"/>
        <v>1</v>
      </c>
      <c r="AK211" s="58" t="b">
        <f>OR(Table4[[#This Row],[Priority]]="Critical",Table4[[#This Row],[Priority]]="High")</f>
        <v>0</v>
      </c>
      <c r="AL211" s="283">
        <f ca="1">Table4[[#This Row],[Required Risk Resolution Date]]-$AE$1</f>
        <v>-40990</v>
      </c>
      <c r="AM211" s="58" t="b">
        <f t="shared" ca="1" si="15"/>
        <v>0</v>
      </c>
      <c r="AN211" s="59" t="b">
        <f>OR(Table4[[#This Row],[Priority]]="Critical",Table4[[#This Row],[Priority]]="High",Table4[[#This Row],[Priority]]="Moderate")</f>
        <v>0</v>
      </c>
    </row>
    <row r="212" spans="1:40">
      <c r="A212" s="60"/>
      <c r="B212" s="60"/>
      <c r="C212" s="60"/>
      <c r="D212" s="60"/>
      <c r="E212" s="6"/>
      <c r="F212" s="6"/>
      <c r="G212" s="6"/>
      <c r="H212" s="6"/>
      <c r="I212" s="323"/>
      <c r="J212" s="6"/>
      <c r="K212" s="6"/>
      <c r="L212" s="6"/>
      <c r="M212" s="6"/>
      <c r="N212" s="6"/>
      <c r="O212" s="6"/>
      <c r="P212" s="6"/>
      <c r="Q212" s="6"/>
      <c r="R212" s="6"/>
      <c r="S212" s="6"/>
      <c r="T212" s="6"/>
      <c r="U212" s="6"/>
      <c r="V212" s="6"/>
      <c r="W212" s="6"/>
      <c r="X212" s="6"/>
      <c r="Y212" s="6"/>
      <c r="Z212" s="6"/>
      <c r="AA212" s="162"/>
      <c r="AB212" s="6"/>
      <c r="AC212" s="6"/>
      <c r="AE212" s="283">
        <f ca="1">$AE$1-Table4[[#This Row],[Date Captured]]</f>
        <v>40990</v>
      </c>
      <c r="AF212" s="58" t="b">
        <f>IFERROR(OR(Table4[[#This Row],[Status]]="02. Open &amp; Assigned",Table4[[#This Row],[Status]]="01. Open",Table4[[#This Row],[Status]]="03. Action/Mitigation Plan Defined",Table4[[#This Row],[Status]]="04. Action Plan Completed",Table4[[#This Row],[Status]]="08. Blank"),"")</f>
        <v>0</v>
      </c>
      <c r="AG212" s="58" t="str">
        <f>IF(Table4[[#This Row],[Required Risk Resolution Date]]="","FALSE",IF($AE$1&gt;Table4[[#This Row],[Required Risk Resolution Date]],TRUE,FALSE))</f>
        <v>FALSE</v>
      </c>
      <c r="AH212" s="58" t="b">
        <f t="shared" ca="1" si="12"/>
        <v>0</v>
      </c>
      <c r="AI212" s="58" t="b">
        <f t="shared" ca="1" si="13"/>
        <v>0</v>
      </c>
      <c r="AJ212" s="58" t="b">
        <f t="shared" ca="1" si="14"/>
        <v>1</v>
      </c>
      <c r="AK212" s="58" t="b">
        <f>OR(Table4[[#This Row],[Priority]]="Critical",Table4[[#This Row],[Priority]]="High")</f>
        <v>0</v>
      </c>
      <c r="AL212" s="283">
        <f ca="1">Table4[[#This Row],[Required Risk Resolution Date]]-$AE$1</f>
        <v>-40990</v>
      </c>
      <c r="AM212" s="58" t="b">
        <f t="shared" ca="1" si="15"/>
        <v>0</v>
      </c>
      <c r="AN212" s="59" t="b">
        <f>OR(Table4[[#This Row],[Priority]]="Critical",Table4[[#This Row],[Priority]]="High",Table4[[#This Row],[Priority]]="Moderate")</f>
        <v>0</v>
      </c>
    </row>
    <row r="213" spans="1:40">
      <c r="A213" s="60"/>
      <c r="B213" s="60"/>
      <c r="C213" s="60"/>
      <c r="D213" s="60"/>
      <c r="E213" s="6"/>
      <c r="F213" s="6"/>
      <c r="G213" s="6"/>
      <c r="H213" s="6"/>
      <c r="I213" s="323"/>
      <c r="J213" s="6"/>
      <c r="K213" s="6"/>
      <c r="L213" s="6"/>
      <c r="M213" s="6"/>
      <c r="N213" s="6"/>
      <c r="O213" s="6"/>
      <c r="P213" s="6"/>
      <c r="Q213" s="6"/>
      <c r="R213" s="6"/>
      <c r="S213" s="6"/>
      <c r="T213" s="6"/>
      <c r="U213" s="6"/>
      <c r="V213" s="6"/>
      <c r="W213" s="6"/>
      <c r="X213" s="6"/>
      <c r="Y213" s="6"/>
      <c r="Z213" s="6"/>
      <c r="AA213" s="162"/>
      <c r="AB213" s="6"/>
      <c r="AC213" s="6"/>
      <c r="AE213" s="283">
        <f ca="1">$AE$1-Table4[[#This Row],[Date Captured]]</f>
        <v>40990</v>
      </c>
      <c r="AF213" s="58" t="b">
        <f>IFERROR(OR(Table4[[#This Row],[Status]]="02. Open &amp; Assigned",Table4[[#This Row],[Status]]="01. Open",Table4[[#This Row],[Status]]="03. Action/Mitigation Plan Defined",Table4[[#This Row],[Status]]="04. Action Plan Completed",Table4[[#This Row],[Status]]="08. Blank"),"")</f>
        <v>0</v>
      </c>
      <c r="AG213" s="58" t="str">
        <f>IF(Table4[[#This Row],[Required Risk Resolution Date]]="","FALSE",IF($AE$1&gt;Table4[[#This Row],[Required Risk Resolution Date]],TRUE,FALSE))</f>
        <v>FALSE</v>
      </c>
      <c r="AH213" s="58" t="b">
        <f t="shared" ca="1" si="12"/>
        <v>0</v>
      </c>
      <c r="AI213" s="58" t="b">
        <f t="shared" ca="1" si="13"/>
        <v>0</v>
      </c>
      <c r="AJ213" s="58" t="b">
        <f t="shared" ca="1" si="14"/>
        <v>1</v>
      </c>
      <c r="AK213" s="58" t="b">
        <f>OR(Table4[[#This Row],[Priority]]="Critical",Table4[[#This Row],[Priority]]="High")</f>
        <v>0</v>
      </c>
      <c r="AL213" s="283">
        <f ca="1">Table4[[#This Row],[Required Risk Resolution Date]]-$AE$1</f>
        <v>-40990</v>
      </c>
      <c r="AM213" s="58" t="b">
        <f t="shared" ca="1" si="15"/>
        <v>0</v>
      </c>
      <c r="AN213" s="59" t="b">
        <f>OR(Table4[[#This Row],[Priority]]="Critical",Table4[[#This Row],[Priority]]="High",Table4[[#This Row],[Priority]]="Moderate")</f>
        <v>0</v>
      </c>
    </row>
    <row r="214" spans="1:40">
      <c r="A214" s="60"/>
      <c r="B214" s="60"/>
      <c r="C214" s="60"/>
      <c r="D214" s="60"/>
      <c r="E214" s="6"/>
      <c r="F214" s="6"/>
      <c r="G214" s="6"/>
      <c r="H214" s="6"/>
      <c r="I214" s="323"/>
      <c r="J214" s="6"/>
      <c r="K214" s="6"/>
      <c r="L214" s="6"/>
      <c r="M214" s="6"/>
      <c r="N214" s="6"/>
      <c r="O214" s="6"/>
      <c r="P214" s="6"/>
      <c r="Q214" s="6"/>
      <c r="R214" s="6"/>
      <c r="S214" s="6"/>
      <c r="T214" s="6"/>
      <c r="U214" s="6"/>
      <c r="V214" s="6"/>
      <c r="W214" s="6"/>
      <c r="X214" s="6"/>
      <c r="Y214" s="6"/>
      <c r="Z214" s="6"/>
      <c r="AA214" s="162"/>
      <c r="AB214" s="6"/>
      <c r="AC214" s="6"/>
      <c r="AE214" s="283">
        <f ca="1">$AE$1-Table4[[#This Row],[Date Captured]]</f>
        <v>40990</v>
      </c>
      <c r="AF214" s="58" t="b">
        <f>IFERROR(OR(Table4[[#This Row],[Status]]="02. Open &amp; Assigned",Table4[[#This Row],[Status]]="01. Open",Table4[[#This Row],[Status]]="03. Action/Mitigation Plan Defined",Table4[[#This Row],[Status]]="04. Action Plan Completed",Table4[[#This Row],[Status]]="08. Blank"),"")</f>
        <v>0</v>
      </c>
      <c r="AG214" s="58" t="str">
        <f>IF(Table4[[#This Row],[Required Risk Resolution Date]]="","FALSE",IF($AE$1&gt;Table4[[#This Row],[Required Risk Resolution Date]],TRUE,FALSE))</f>
        <v>FALSE</v>
      </c>
      <c r="AH214" s="58" t="b">
        <f t="shared" ca="1" si="12"/>
        <v>0</v>
      </c>
      <c r="AI214" s="58" t="b">
        <f t="shared" ca="1" si="13"/>
        <v>0</v>
      </c>
      <c r="AJ214" s="58" t="b">
        <f t="shared" ca="1" si="14"/>
        <v>1</v>
      </c>
      <c r="AK214" s="58" t="b">
        <f>OR(Table4[[#This Row],[Priority]]="Critical",Table4[[#This Row],[Priority]]="High")</f>
        <v>0</v>
      </c>
      <c r="AL214" s="283">
        <f ca="1">Table4[[#This Row],[Required Risk Resolution Date]]-$AE$1</f>
        <v>-40990</v>
      </c>
      <c r="AM214" s="58" t="b">
        <f t="shared" ca="1" si="15"/>
        <v>0</v>
      </c>
      <c r="AN214" s="59" t="b">
        <f>OR(Table4[[#This Row],[Priority]]="Critical",Table4[[#This Row],[Priority]]="High",Table4[[#This Row],[Priority]]="Moderate")</f>
        <v>0</v>
      </c>
    </row>
    <row r="215" spans="1:40">
      <c r="A215" s="60"/>
      <c r="B215" s="60"/>
      <c r="C215" s="60"/>
      <c r="D215" s="60"/>
      <c r="E215" s="6"/>
      <c r="F215" s="6"/>
      <c r="G215" s="6"/>
      <c r="H215" s="6"/>
      <c r="I215" s="323"/>
      <c r="J215" s="6"/>
      <c r="K215" s="6"/>
      <c r="L215" s="6"/>
      <c r="M215" s="6"/>
      <c r="N215" s="6"/>
      <c r="O215" s="6"/>
      <c r="P215" s="6"/>
      <c r="Q215" s="6"/>
      <c r="R215" s="6"/>
      <c r="S215" s="6"/>
      <c r="T215" s="6"/>
      <c r="U215" s="6"/>
      <c r="V215" s="6"/>
      <c r="W215" s="6"/>
      <c r="X215" s="6"/>
      <c r="Y215" s="6"/>
      <c r="Z215" s="6"/>
      <c r="AA215" s="162"/>
      <c r="AB215" s="6"/>
      <c r="AC215" s="6"/>
      <c r="AE215" s="283">
        <f ca="1">$AE$1-Table4[[#This Row],[Date Captured]]</f>
        <v>40990</v>
      </c>
      <c r="AF215" s="58" t="b">
        <f>IFERROR(OR(Table4[[#This Row],[Status]]="02. Open &amp; Assigned",Table4[[#This Row],[Status]]="01. Open",Table4[[#This Row],[Status]]="03. Action/Mitigation Plan Defined",Table4[[#This Row],[Status]]="04. Action Plan Completed",Table4[[#This Row],[Status]]="08. Blank"),"")</f>
        <v>0</v>
      </c>
      <c r="AG215" s="58" t="str">
        <f>IF(Table4[[#This Row],[Required Risk Resolution Date]]="","FALSE",IF($AE$1&gt;Table4[[#This Row],[Required Risk Resolution Date]],TRUE,FALSE))</f>
        <v>FALSE</v>
      </c>
      <c r="AH215" s="58" t="b">
        <f t="shared" ca="1" si="12"/>
        <v>0</v>
      </c>
      <c r="AI215" s="58" t="b">
        <f t="shared" ca="1" si="13"/>
        <v>0</v>
      </c>
      <c r="AJ215" s="58" t="b">
        <f t="shared" ca="1" si="14"/>
        <v>1</v>
      </c>
      <c r="AK215" s="58" t="b">
        <f>OR(Table4[[#This Row],[Priority]]="Critical",Table4[[#This Row],[Priority]]="High")</f>
        <v>0</v>
      </c>
      <c r="AL215" s="283">
        <f ca="1">Table4[[#This Row],[Required Risk Resolution Date]]-$AE$1</f>
        <v>-40990</v>
      </c>
      <c r="AM215" s="58" t="b">
        <f t="shared" ca="1" si="15"/>
        <v>0</v>
      </c>
      <c r="AN215" s="59" t="b">
        <f>OR(Table4[[#This Row],[Priority]]="Critical",Table4[[#This Row],[Priority]]="High",Table4[[#This Row],[Priority]]="Moderate")</f>
        <v>0</v>
      </c>
    </row>
    <row r="216" spans="1:40">
      <c r="A216" s="60"/>
      <c r="B216" s="60"/>
      <c r="C216" s="60"/>
      <c r="D216" s="60"/>
      <c r="E216" s="6"/>
      <c r="F216" s="6"/>
      <c r="G216" s="6"/>
      <c r="H216" s="6"/>
      <c r="I216" s="323"/>
      <c r="J216" s="6"/>
      <c r="K216" s="6"/>
      <c r="L216" s="6"/>
      <c r="M216" s="6"/>
      <c r="N216" s="6"/>
      <c r="O216" s="6"/>
      <c r="P216" s="6"/>
      <c r="Q216" s="6"/>
      <c r="R216" s="6"/>
      <c r="S216" s="6"/>
      <c r="T216" s="6"/>
      <c r="U216" s="6"/>
      <c r="V216" s="6"/>
      <c r="W216" s="6"/>
      <c r="X216" s="6"/>
      <c r="Y216" s="6"/>
      <c r="Z216" s="6"/>
      <c r="AA216" s="162"/>
      <c r="AB216" s="6"/>
      <c r="AC216" s="6"/>
      <c r="AE216" s="283">
        <f ca="1">$AE$1-Table4[[#This Row],[Date Captured]]</f>
        <v>40990</v>
      </c>
      <c r="AF216" s="58" t="b">
        <f>IFERROR(OR(Table4[[#This Row],[Status]]="02. Open &amp; Assigned",Table4[[#This Row],[Status]]="01. Open",Table4[[#This Row],[Status]]="03. Action/Mitigation Plan Defined",Table4[[#This Row],[Status]]="04. Action Plan Completed",Table4[[#This Row],[Status]]="08. Blank"),"")</f>
        <v>0</v>
      </c>
      <c r="AG216" s="58" t="str">
        <f>IF(Table4[[#This Row],[Required Risk Resolution Date]]="","FALSE",IF($AE$1&gt;Table4[[#This Row],[Required Risk Resolution Date]],TRUE,FALSE))</f>
        <v>FALSE</v>
      </c>
      <c r="AH216" s="58" t="b">
        <f t="shared" ca="1" si="12"/>
        <v>0</v>
      </c>
      <c r="AI216" s="58" t="b">
        <f t="shared" ca="1" si="13"/>
        <v>0</v>
      </c>
      <c r="AJ216" s="58" t="b">
        <f t="shared" ca="1" si="14"/>
        <v>1</v>
      </c>
      <c r="AK216" s="58" t="b">
        <f>OR(Table4[[#This Row],[Priority]]="Critical",Table4[[#This Row],[Priority]]="High")</f>
        <v>0</v>
      </c>
      <c r="AL216" s="283">
        <f ca="1">Table4[[#This Row],[Required Risk Resolution Date]]-$AE$1</f>
        <v>-40990</v>
      </c>
      <c r="AM216" s="58" t="b">
        <f t="shared" ca="1" si="15"/>
        <v>0</v>
      </c>
      <c r="AN216" s="59" t="b">
        <f>OR(Table4[[#This Row],[Priority]]="Critical",Table4[[#This Row],[Priority]]="High",Table4[[#This Row],[Priority]]="Moderate")</f>
        <v>0</v>
      </c>
    </row>
    <row r="217" spans="1:40">
      <c r="A217" s="60"/>
      <c r="B217" s="60"/>
      <c r="C217" s="60"/>
      <c r="D217" s="60"/>
      <c r="E217" s="6"/>
      <c r="F217" s="6"/>
      <c r="G217" s="6"/>
      <c r="H217" s="6"/>
      <c r="I217" s="323"/>
      <c r="J217" s="6"/>
      <c r="K217" s="6"/>
      <c r="L217" s="6"/>
      <c r="M217" s="6"/>
      <c r="N217" s="6"/>
      <c r="O217" s="6"/>
      <c r="P217" s="6"/>
      <c r="Q217" s="6"/>
      <c r="R217" s="6"/>
      <c r="S217" s="6"/>
      <c r="T217" s="6"/>
      <c r="U217" s="6"/>
      <c r="V217" s="6"/>
      <c r="W217" s="6"/>
      <c r="X217" s="6"/>
      <c r="Y217" s="6"/>
      <c r="Z217" s="6"/>
      <c r="AA217" s="162"/>
      <c r="AB217" s="6"/>
      <c r="AC217" s="6"/>
      <c r="AE217" s="283">
        <f ca="1">$AE$1-Table4[[#This Row],[Date Captured]]</f>
        <v>40990</v>
      </c>
      <c r="AF217" s="58" t="b">
        <f>IFERROR(OR(Table4[[#This Row],[Status]]="02. Open &amp; Assigned",Table4[[#This Row],[Status]]="01. Open",Table4[[#This Row],[Status]]="03. Action/Mitigation Plan Defined",Table4[[#This Row],[Status]]="04. Action Plan Completed",Table4[[#This Row],[Status]]="08. Blank"),"")</f>
        <v>0</v>
      </c>
      <c r="AG217" s="58" t="str">
        <f>IF(Table4[[#This Row],[Required Risk Resolution Date]]="","FALSE",IF($AE$1&gt;Table4[[#This Row],[Required Risk Resolution Date]],TRUE,FALSE))</f>
        <v>FALSE</v>
      </c>
      <c r="AH217" s="58" t="b">
        <f t="shared" ca="1" si="12"/>
        <v>0</v>
      </c>
      <c r="AI217" s="58" t="b">
        <f t="shared" ca="1" si="13"/>
        <v>0</v>
      </c>
      <c r="AJ217" s="58" t="b">
        <f t="shared" ca="1" si="14"/>
        <v>1</v>
      </c>
      <c r="AK217" s="58" t="b">
        <f>OR(Table4[[#This Row],[Priority]]="Critical",Table4[[#This Row],[Priority]]="High")</f>
        <v>0</v>
      </c>
      <c r="AL217" s="283">
        <f ca="1">Table4[[#This Row],[Required Risk Resolution Date]]-$AE$1</f>
        <v>-40990</v>
      </c>
      <c r="AM217" s="58" t="b">
        <f t="shared" ca="1" si="15"/>
        <v>0</v>
      </c>
      <c r="AN217" s="59" t="b">
        <f>OR(Table4[[#This Row],[Priority]]="Critical",Table4[[#This Row],[Priority]]="High",Table4[[#This Row],[Priority]]="Moderate")</f>
        <v>0</v>
      </c>
    </row>
    <row r="218" spans="1:40">
      <c r="A218" s="60"/>
      <c r="B218" s="60"/>
      <c r="C218" s="60"/>
      <c r="D218" s="60"/>
      <c r="E218" s="6"/>
      <c r="F218" s="6"/>
      <c r="G218" s="6"/>
      <c r="H218" s="6"/>
      <c r="I218" s="323"/>
      <c r="J218" s="6"/>
      <c r="K218" s="6"/>
      <c r="L218" s="6"/>
      <c r="M218" s="6"/>
      <c r="N218" s="6"/>
      <c r="O218" s="6"/>
      <c r="P218" s="6"/>
      <c r="Q218" s="6"/>
      <c r="R218" s="6"/>
      <c r="S218" s="6"/>
      <c r="T218" s="6"/>
      <c r="U218" s="6"/>
      <c r="V218" s="6"/>
      <c r="W218" s="6"/>
      <c r="X218" s="6"/>
      <c r="Y218" s="6"/>
      <c r="Z218" s="6"/>
      <c r="AA218" s="162"/>
      <c r="AB218" s="6"/>
      <c r="AC218" s="6"/>
      <c r="AE218" s="283">
        <f ca="1">$AE$1-Table4[[#This Row],[Date Captured]]</f>
        <v>40990</v>
      </c>
      <c r="AF218" s="58" t="b">
        <f>IFERROR(OR(Table4[[#This Row],[Status]]="02. Open &amp; Assigned",Table4[[#This Row],[Status]]="01. Open",Table4[[#This Row],[Status]]="03. Action/Mitigation Plan Defined",Table4[[#This Row],[Status]]="04. Action Plan Completed",Table4[[#This Row],[Status]]="08. Blank"),"")</f>
        <v>0</v>
      </c>
      <c r="AG218" s="58" t="str">
        <f>IF(Table4[[#This Row],[Required Risk Resolution Date]]="","FALSE",IF($AE$1&gt;Table4[[#This Row],[Required Risk Resolution Date]],TRUE,FALSE))</f>
        <v>FALSE</v>
      </c>
      <c r="AH218" s="58" t="b">
        <f t="shared" ca="1" si="12"/>
        <v>0</v>
      </c>
      <c r="AI218" s="58" t="b">
        <f t="shared" ca="1" si="13"/>
        <v>0</v>
      </c>
      <c r="AJ218" s="58" t="b">
        <f t="shared" ca="1" si="14"/>
        <v>1</v>
      </c>
      <c r="AK218" s="58" t="b">
        <f>OR(Table4[[#This Row],[Priority]]="Critical",Table4[[#This Row],[Priority]]="High")</f>
        <v>0</v>
      </c>
      <c r="AL218" s="283">
        <f ca="1">Table4[[#This Row],[Required Risk Resolution Date]]-$AE$1</f>
        <v>-40990</v>
      </c>
      <c r="AM218" s="58" t="b">
        <f t="shared" ca="1" si="15"/>
        <v>0</v>
      </c>
      <c r="AN218" s="59" t="b">
        <f>OR(Table4[[#This Row],[Priority]]="Critical",Table4[[#This Row],[Priority]]="High",Table4[[#This Row],[Priority]]="Moderate")</f>
        <v>0</v>
      </c>
    </row>
    <row r="219" spans="1:40">
      <c r="A219" s="60"/>
      <c r="B219" s="60"/>
      <c r="C219" s="60"/>
      <c r="D219" s="60"/>
      <c r="E219" s="6"/>
      <c r="F219" s="6"/>
      <c r="G219" s="6"/>
      <c r="H219" s="6"/>
      <c r="I219" s="323"/>
      <c r="J219" s="6"/>
      <c r="K219" s="6"/>
      <c r="L219" s="6"/>
      <c r="M219" s="6"/>
      <c r="N219" s="6"/>
      <c r="O219" s="6"/>
      <c r="P219" s="6"/>
      <c r="Q219" s="6"/>
      <c r="R219" s="6"/>
      <c r="S219" s="6"/>
      <c r="T219" s="6"/>
      <c r="U219" s="6"/>
      <c r="V219" s="6"/>
      <c r="W219" s="6"/>
      <c r="X219" s="6"/>
      <c r="Y219" s="6"/>
      <c r="Z219" s="6"/>
      <c r="AA219" s="162"/>
      <c r="AB219" s="6"/>
      <c r="AC219" s="6"/>
      <c r="AE219" s="283">
        <f ca="1">$AE$1-Table4[[#This Row],[Date Captured]]</f>
        <v>40990</v>
      </c>
      <c r="AF219" s="58" t="b">
        <f>IFERROR(OR(Table4[[#This Row],[Status]]="02. Open &amp; Assigned",Table4[[#This Row],[Status]]="01. Open",Table4[[#This Row],[Status]]="03. Action/Mitigation Plan Defined",Table4[[#This Row],[Status]]="04. Action Plan Completed",Table4[[#This Row],[Status]]="08. Blank"),"")</f>
        <v>0</v>
      </c>
      <c r="AG219" s="58" t="str">
        <f>IF(Table4[[#This Row],[Required Risk Resolution Date]]="","FALSE",IF($AE$1&gt;Table4[[#This Row],[Required Risk Resolution Date]],TRUE,FALSE))</f>
        <v>FALSE</v>
      </c>
      <c r="AH219" s="58" t="b">
        <f t="shared" ca="1" si="12"/>
        <v>0</v>
      </c>
      <c r="AI219" s="58" t="b">
        <f t="shared" ca="1" si="13"/>
        <v>0</v>
      </c>
      <c r="AJ219" s="58" t="b">
        <f t="shared" ca="1" si="14"/>
        <v>1</v>
      </c>
      <c r="AK219" s="58" t="b">
        <f>OR(Table4[[#This Row],[Priority]]="Critical",Table4[[#This Row],[Priority]]="High")</f>
        <v>0</v>
      </c>
      <c r="AL219" s="283">
        <f ca="1">Table4[[#This Row],[Required Risk Resolution Date]]-$AE$1</f>
        <v>-40990</v>
      </c>
      <c r="AM219" s="58" t="b">
        <f t="shared" ca="1" si="15"/>
        <v>0</v>
      </c>
      <c r="AN219" s="59" t="b">
        <f>OR(Table4[[#This Row],[Priority]]="Critical",Table4[[#This Row],[Priority]]="High",Table4[[#This Row],[Priority]]="Moderate")</f>
        <v>0</v>
      </c>
    </row>
    <row r="220" spans="1:40">
      <c r="A220" s="60"/>
      <c r="B220" s="60"/>
      <c r="C220" s="60"/>
      <c r="D220" s="60"/>
      <c r="E220" s="6"/>
      <c r="F220" s="6"/>
      <c r="G220" s="6"/>
      <c r="H220" s="6"/>
      <c r="I220" s="323"/>
      <c r="J220" s="6"/>
      <c r="K220" s="6"/>
      <c r="L220" s="6"/>
      <c r="M220" s="6"/>
      <c r="N220" s="6"/>
      <c r="O220" s="6"/>
      <c r="P220" s="6"/>
      <c r="Q220" s="6"/>
      <c r="R220" s="6"/>
      <c r="S220" s="6"/>
      <c r="T220" s="6"/>
      <c r="U220" s="6"/>
      <c r="V220" s="6"/>
      <c r="W220" s="6"/>
      <c r="X220" s="6"/>
      <c r="Y220" s="6"/>
      <c r="Z220" s="6"/>
      <c r="AA220" s="162"/>
      <c r="AB220" s="6"/>
      <c r="AC220" s="6"/>
      <c r="AE220" s="283">
        <f ca="1">$AE$1-Table4[[#This Row],[Date Captured]]</f>
        <v>40990</v>
      </c>
      <c r="AF220" s="58" t="b">
        <f>IFERROR(OR(Table4[[#This Row],[Status]]="02. Open &amp; Assigned",Table4[[#This Row],[Status]]="01. Open",Table4[[#This Row],[Status]]="03. Action/Mitigation Plan Defined",Table4[[#This Row],[Status]]="04. Action Plan Completed",Table4[[#This Row],[Status]]="08. Blank"),"")</f>
        <v>0</v>
      </c>
      <c r="AG220" s="58" t="str">
        <f>IF(Table4[[#This Row],[Required Risk Resolution Date]]="","FALSE",IF($AE$1&gt;Table4[[#This Row],[Required Risk Resolution Date]],TRUE,FALSE))</f>
        <v>FALSE</v>
      </c>
      <c r="AH220" s="58" t="b">
        <f t="shared" ca="1" si="12"/>
        <v>0</v>
      </c>
      <c r="AI220" s="58" t="b">
        <f t="shared" ca="1" si="13"/>
        <v>0</v>
      </c>
      <c r="AJ220" s="58" t="b">
        <f t="shared" ca="1" si="14"/>
        <v>1</v>
      </c>
      <c r="AK220" s="58" t="b">
        <f>OR(Table4[[#This Row],[Priority]]="Critical",Table4[[#This Row],[Priority]]="High")</f>
        <v>0</v>
      </c>
      <c r="AL220" s="283">
        <f ca="1">Table4[[#This Row],[Required Risk Resolution Date]]-$AE$1</f>
        <v>-40990</v>
      </c>
      <c r="AM220" s="58" t="b">
        <f t="shared" ca="1" si="15"/>
        <v>0</v>
      </c>
      <c r="AN220" s="59" t="b">
        <f>OR(Table4[[#This Row],[Priority]]="Critical",Table4[[#This Row],[Priority]]="High",Table4[[#This Row],[Priority]]="Moderate")</f>
        <v>0</v>
      </c>
    </row>
    <row r="221" spans="1:40">
      <c r="A221" s="60"/>
      <c r="B221" s="60"/>
      <c r="C221" s="60"/>
      <c r="D221" s="60"/>
      <c r="E221" s="6"/>
      <c r="F221" s="6"/>
      <c r="G221" s="6"/>
      <c r="H221" s="6"/>
      <c r="I221" s="323"/>
      <c r="J221" s="6"/>
      <c r="K221" s="6"/>
      <c r="L221" s="6"/>
      <c r="M221" s="6"/>
      <c r="N221" s="6"/>
      <c r="O221" s="6"/>
      <c r="P221" s="6"/>
      <c r="Q221" s="6"/>
      <c r="R221" s="6"/>
      <c r="S221" s="6"/>
      <c r="T221" s="6"/>
      <c r="U221" s="6"/>
      <c r="V221" s="6"/>
      <c r="W221" s="6"/>
      <c r="X221" s="6"/>
      <c r="Y221" s="6"/>
      <c r="Z221" s="6"/>
      <c r="AA221" s="162"/>
      <c r="AB221" s="6"/>
      <c r="AC221" s="6"/>
      <c r="AE221" s="283">
        <f ca="1">$AE$1-Table4[[#This Row],[Date Captured]]</f>
        <v>40990</v>
      </c>
      <c r="AF221" s="58" t="b">
        <f>IFERROR(OR(Table4[[#This Row],[Status]]="02. Open &amp; Assigned",Table4[[#This Row],[Status]]="01. Open",Table4[[#This Row],[Status]]="03. Action/Mitigation Plan Defined",Table4[[#This Row],[Status]]="04. Action Plan Completed",Table4[[#This Row],[Status]]="08. Blank"),"")</f>
        <v>0</v>
      </c>
      <c r="AG221" s="58" t="str">
        <f>IF(Table4[[#This Row],[Required Risk Resolution Date]]="","FALSE",IF($AE$1&gt;Table4[[#This Row],[Required Risk Resolution Date]],TRUE,FALSE))</f>
        <v>FALSE</v>
      </c>
      <c r="AH221" s="58" t="b">
        <f t="shared" ca="1" si="12"/>
        <v>0</v>
      </c>
      <c r="AI221" s="58" t="b">
        <f t="shared" ca="1" si="13"/>
        <v>0</v>
      </c>
      <c r="AJ221" s="58" t="b">
        <f t="shared" ca="1" si="14"/>
        <v>1</v>
      </c>
      <c r="AK221" s="58" t="b">
        <f>OR(Table4[[#This Row],[Priority]]="Critical",Table4[[#This Row],[Priority]]="High")</f>
        <v>0</v>
      </c>
      <c r="AL221" s="283">
        <f ca="1">Table4[[#This Row],[Required Risk Resolution Date]]-$AE$1</f>
        <v>-40990</v>
      </c>
      <c r="AM221" s="58" t="b">
        <f t="shared" ca="1" si="15"/>
        <v>0</v>
      </c>
      <c r="AN221" s="59" t="b">
        <f>OR(Table4[[#This Row],[Priority]]="Critical",Table4[[#This Row],[Priority]]="High",Table4[[#This Row],[Priority]]="Moderate")</f>
        <v>0</v>
      </c>
    </row>
    <row r="222" spans="1:40">
      <c r="A222" s="60"/>
      <c r="B222" s="60"/>
      <c r="C222" s="60"/>
      <c r="D222" s="60"/>
      <c r="E222" s="6"/>
      <c r="F222" s="6"/>
      <c r="G222" s="6"/>
      <c r="H222" s="6"/>
      <c r="I222" s="323"/>
      <c r="J222" s="6"/>
      <c r="K222" s="6"/>
      <c r="L222" s="6"/>
      <c r="M222" s="6"/>
      <c r="N222" s="6"/>
      <c r="O222" s="6"/>
      <c r="P222" s="6"/>
      <c r="Q222" s="6"/>
      <c r="R222" s="6"/>
      <c r="S222" s="6"/>
      <c r="T222" s="6"/>
      <c r="U222" s="6"/>
      <c r="V222" s="6"/>
      <c r="W222" s="6"/>
      <c r="X222" s="6"/>
      <c r="Y222" s="6"/>
      <c r="Z222" s="6"/>
      <c r="AA222" s="162"/>
      <c r="AB222" s="6"/>
      <c r="AC222" s="6"/>
      <c r="AE222" s="283">
        <f ca="1">$AE$1-Table4[[#This Row],[Date Captured]]</f>
        <v>40990</v>
      </c>
      <c r="AF222" s="58" t="b">
        <f>IFERROR(OR(Table4[[#This Row],[Status]]="02. Open &amp; Assigned",Table4[[#This Row],[Status]]="01. Open",Table4[[#This Row],[Status]]="03. Action/Mitigation Plan Defined",Table4[[#This Row],[Status]]="04. Action Plan Completed",Table4[[#This Row],[Status]]="08. Blank"),"")</f>
        <v>0</v>
      </c>
      <c r="AG222" s="58" t="str">
        <f>IF(Table4[[#This Row],[Required Risk Resolution Date]]="","FALSE",IF($AE$1&gt;Table4[[#This Row],[Required Risk Resolution Date]],TRUE,FALSE))</f>
        <v>FALSE</v>
      </c>
      <c r="AH222" s="58" t="b">
        <f t="shared" ca="1" si="12"/>
        <v>0</v>
      </c>
      <c r="AI222" s="58" t="b">
        <f t="shared" ca="1" si="13"/>
        <v>0</v>
      </c>
      <c r="AJ222" s="58" t="b">
        <f t="shared" ca="1" si="14"/>
        <v>1</v>
      </c>
      <c r="AK222" s="58" t="b">
        <f>OR(Table4[[#This Row],[Priority]]="Critical",Table4[[#This Row],[Priority]]="High")</f>
        <v>0</v>
      </c>
      <c r="AL222" s="283">
        <f ca="1">Table4[[#This Row],[Required Risk Resolution Date]]-$AE$1</f>
        <v>-40990</v>
      </c>
      <c r="AM222" s="58" t="b">
        <f t="shared" ca="1" si="15"/>
        <v>0</v>
      </c>
      <c r="AN222" s="59" t="b">
        <f>OR(Table4[[#This Row],[Priority]]="Critical",Table4[[#This Row],[Priority]]="High",Table4[[#This Row],[Priority]]="Moderate")</f>
        <v>0</v>
      </c>
    </row>
    <row r="223" spans="1:40">
      <c r="A223" s="60"/>
      <c r="B223" s="60"/>
      <c r="C223" s="60"/>
      <c r="D223" s="60"/>
      <c r="E223" s="6"/>
      <c r="F223" s="6"/>
      <c r="G223" s="6"/>
      <c r="H223" s="6"/>
      <c r="I223" s="323"/>
      <c r="J223" s="6"/>
      <c r="K223" s="6"/>
      <c r="L223" s="6"/>
      <c r="M223" s="6"/>
      <c r="N223" s="6"/>
      <c r="O223" s="6"/>
      <c r="P223" s="6"/>
      <c r="Q223" s="6"/>
      <c r="R223" s="6"/>
      <c r="S223" s="6"/>
      <c r="T223" s="6"/>
      <c r="U223" s="6"/>
      <c r="V223" s="6"/>
      <c r="W223" s="6"/>
      <c r="X223" s="6"/>
      <c r="Y223" s="6"/>
      <c r="Z223" s="6"/>
      <c r="AA223" s="162"/>
      <c r="AB223" s="6"/>
      <c r="AC223" s="6"/>
      <c r="AE223" s="283">
        <f ca="1">$AE$1-Table4[[#This Row],[Date Captured]]</f>
        <v>40990</v>
      </c>
      <c r="AF223" s="58" t="b">
        <f>IFERROR(OR(Table4[[#This Row],[Status]]="02. Open &amp; Assigned",Table4[[#This Row],[Status]]="01. Open",Table4[[#This Row],[Status]]="03. Action/Mitigation Plan Defined",Table4[[#This Row],[Status]]="04. Action Plan Completed",Table4[[#This Row],[Status]]="08. Blank"),"")</f>
        <v>0</v>
      </c>
      <c r="AG223" s="58" t="str">
        <f>IF(Table4[[#This Row],[Required Risk Resolution Date]]="","FALSE",IF($AE$1&gt;Table4[[#This Row],[Required Risk Resolution Date]],TRUE,FALSE))</f>
        <v>FALSE</v>
      </c>
      <c r="AH223" s="58" t="b">
        <f t="shared" ca="1" si="12"/>
        <v>0</v>
      </c>
      <c r="AI223" s="58" t="b">
        <f t="shared" ca="1" si="13"/>
        <v>0</v>
      </c>
      <c r="AJ223" s="58" t="b">
        <f t="shared" ca="1" si="14"/>
        <v>1</v>
      </c>
      <c r="AK223" s="58" t="b">
        <f>OR(Table4[[#This Row],[Priority]]="Critical",Table4[[#This Row],[Priority]]="High")</f>
        <v>0</v>
      </c>
      <c r="AL223" s="283">
        <f ca="1">Table4[[#This Row],[Required Risk Resolution Date]]-$AE$1</f>
        <v>-40990</v>
      </c>
      <c r="AM223" s="58" t="b">
        <f t="shared" ca="1" si="15"/>
        <v>0</v>
      </c>
      <c r="AN223" s="59" t="b">
        <f>OR(Table4[[#This Row],[Priority]]="Critical",Table4[[#This Row],[Priority]]="High",Table4[[#This Row],[Priority]]="Moderate")</f>
        <v>0</v>
      </c>
    </row>
    <row r="224" spans="1:40">
      <c r="A224" s="60"/>
      <c r="B224" s="60"/>
      <c r="C224" s="60"/>
      <c r="D224" s="60"/>
      <c r="E224" s="6"/>
      <c r="F224" s="6"/>
      <c r="G224" s="6"/>
      <c r="H224" s="6"/>
      <c r="I224" s="323"/>
      <c r="J224" s="6"/>
      <c r="K224" s="6"/>
      <c r="L224" s="6"/>
      <c r="M224" s="6"/>
      <c r="N224" s="6"/>
      <c r="O224" s="6"/>
      <c r="P224" s="6"/>
      <c r="Q224" s="6"/>
      <c r="R224" s="6"/>
      <c r="S224" s="6"/>
      <c r="T224" s="6"/>
      <c r="U224" s="6"/>
      <c r="V224" s="6"/>
      <c r="W224" s="6"/>
      <c r="X224" s="6"/>
      <c r="Y224" s="6"/>
      <c r="Z224" s="6"/>
      <c r="AA224" s="162"/>
      <c r="AB224" s="6"/>
      <c r="AC224" s="6"/>
      <c r="AE224" s="283">
        <f ca="1">$AE$1-Table4[[#This Row],[Date Captured]]</f>
        <v>40990</v>
      </c>
      <c r="AF224" s="58" t="b">
        <f>IFERROR(OR(Table4[[#This Row],[Status]]="02. Open &amp; Assigned",Table4[[#This Row],[Status]]="01. Open",Table4[[#This Row],[Status]]="03. Action/Mitigation Plan Defined",Table4[[#This Row],[Status]]="04. Action Plan Completed",Table4[[#This Row],[Status]]="08. Blank"),"")</f>
        <v>0</v>
      </c>
      <c r="AG224" s="58" t="str">
        <f>IF(Table4[[#This Row],[Required Risk Resolution Date]]="","FALSE",IF($AE$1&gt;Table4[[#This Row],[Required Risk Resolution Date]],TRUE,FALSE))</f>
        <v>FALSE</v>
      </c>
      <c r="AH224" s="58" t="b">
        <f t="shared" ca="1" si="12"/>
        <v>0</v>
      </c>
      <c r="AI224" s="58" t="b">
        <f t="shared" ca="1" si="13"/>
        <v>0</v>
      </c>
      <c r="AJ224" s="58" t="b">
        <f t="shared" ca="1" si="14"/>
        <v>1</v>
      </c>
      <c r="AK224" s="58" t="b">
        <f>OR(Table4[[#This Row],[Priority]]="Critical",Table4[[#This Row],[Priority]]="High")</f>
        <v>0</v>
      </c>
      <c r="AL224" s="283">
        <f ca="1">Table4[[#This Row],[Required Risk Resolution Date]]-$AE$1</f>
        <v>-40990</v>
      </c>
      <c r="AM224" s="58" t="b">
        <f t="shared" ca="1" si="15"/>
        <v>0</v>
      </c>
      <c r="AN224" s="59" t="b">
        <f>OR(Table4[[#This Row],[Priority]]="Critical",Table4[[#This Row],[Priority]]="High",Table4[[#This Row],[Priority]]="Moderate")</f>
        <v>0</v>
      </c>
    </row>
    <row r="225" spans="1:40">
      <c r="A225" s="60"/>
      <c r="B225" s="60"/>
      <c r="C225" s="60"/>
      <c r="D225" s="60"/>
      <c r="E225" s="6"/>
      <c r="F225" s="6"/>
      <c r="G225" s="6"/>
      <c r="H225" s="6"/>
      <c r="I225" s="323"/>
      <c r="J225" s="6"/>
      <c r="K225" s="6"/>
      <c r="L225" s="6"/>
      <c r="M225" s="6"/>
      <c r="N225" s="6"/>
      <c r="O225" s="6"/>
      <c r="P225" s="6"/>
      <c r="Q225" s="6"/>
      <c r="R225" s="6"/>
      <c r="S225" s="6"/>
      <c r="T225" s="6"/>
      <c r="U225" s="6"/>
      <c r="V225" s="6"/>
      <c r="W225" s="6"/>
      <c r="X225" s="6"/>
      <c r="Y225" s="6"/>
      <c r="Z225" s="6"/>
      <c r="AA225" s="162"/>
      <c r="AB225" s="6"/>
      <c r="AC225" s="6"/>
      <c r="AE225" s="283">
        <f ca="1">$AE$1-Table4[[#This Row],[Date Captured]]</f>
        <v>40990</v>
      </c>
      <c r="AF225" s="58" t="b">
        <f>IFERROR(OR(Table4[[#This Row],[Status]]="02. Open &amp; Assigned",Table4[[#This Row],[Status]]="01. Open",Table4[[#This Row],[Status]]="03. Action/Mitigation Plan Defined",Table4[[#This Row],[Status]]="04. Action Plan Completed",Table4[[#This Row],[Status]]="08. Blank"),"")</f>
        <v>0</v>
      </c>
      <c r="AG225" s="58" t="str">
        <f>IF(Table4[[#This Row],[Required Risk Resolution Date]]="","FALSE",IF($AE$1&gt;Table4[[#This Row],[Required Risk Resolution Date]],TRUE,FALSE))</f>
        <v>FALSE</v>
      </c>
      <c r="AH225" s="58" t="b">
        <f t="shared" ca="1" si="12"/>
        <v>0</v>
      </c>
      <c r="AI225" s="58" t="b">
        <f t="shared" ca="1" si="13"/>
        <v>0</v>
      </c>
      <c r="AJ225" s="58" t="b">
        <f t="shared" ca="1" si="14"/>
        <v>1</v>
      </c>
      <c r="AK225" s="58" t="b">
        <f>OR(Table4[[#This Row],[Priority]]="Critical",Table4[[#This Row],[Priority]]="High")</f>
        <v>0</v>
      </c>
      <c r="AL225" s="283">
        <f ca="1">Table4[[#This Row],[Required Risk Resolution Date]]-$AE$1</f>
        <v>-40990</v>
      </c>
      <c r="AM225" s="58" t="b">
        <f t="shared" ca="1" si="15"/>
        <v>0</v>
      </c>
      <c r="AN225" s="59" t="b">
        <f>OR(Table4[[#This Row],[Priority]]="Critical",Table4[[#This Row],[Priority]]="High",Table4[[#This Row],[Priority]]="Moderate")</f>
        <v>0</v>
      </c>
    </row>
    <row r="226" spans="1:40">
      <c r="A226" s="60"/>
      <c r="B226" s="60"/>
      <c r="C226" s="60"/>
      <c r="D226" s="60"/>
      <c r="E226" s="6"/>
      <c r="F226" s="6"/>
      <c r="G226" s="6"/>
      <c r="H226" s="6"/>
      <c r="I226" s="323"/>
      <c r="J226" s="6"/>
      <c r="K226" s="6"/>
      <c r="L226" s="6"/>
      <c r="M226" s="6"/>
      <c r="N226" s="6"/>
      <c r="O226" s="6"/>
      <c r="P226" s="6"/>
      <c r="Q226" s="6"/>
      <c r="R226" s="6"/>
      <c r="S226" s="6"/>
      <c r="T226" s="6"/>
      <c r="U226" s="6"/>
      <c r="V226" s="6"/>
      <c r="W226" s="6"/>
      <c r="X226" s="6"/>
      <c r="Y226" s="6"/>
      <c r="Z226" s="6"/>
      <c r="AA226" s="162"/>
      <c r="AB226" s="6"/>
      <c r="AC226" s="6"/>
      <c r="AE226" s="283">
        <f ca="1">$AE$1-Table4[[#This Row],[Date Captured]]</f>
        <v>40990</v>
      </c>
      <c r="AF226" s="58" t="b">
        <f>IFERROR(OR(Table4[[#This Row],[Status]]="02. Open &amp; Assigned",Table4[[#This Row],[Status]]="01. Open",Table4[[#This Row],[Status]]="03. Action/Mitigation Plan Defined",Table4[[#This Row],[Status]]="04. Action Plan Completed",Table4[[#This Row],[Status]]="08. Blank"),"")</f>
        <v>0</v>
      </c>
      <c r="AG226" s="58" t="str">
        <f>IF(Table4[[#This Row],[Required Risk Resolution Date]]="","FALSE",IF($AE$1&gt;Table4[[#This Row],[Required Risk Resolution Date]],TRUE,FALSE))</f>
        <v>FALSE</v>
      </c>
      <c r="AH226" s="58" t="b">
        <f t="shared" ca="1" si="12"/>
        <v>0</v>
      </c>
      <c r="AI226" s="58" t="b">
        <f t="shared" ca="1" si="13"/>
        <v>0</v>
      </c>
      <c r="AJ226" s="58" t="b">
        <f t="shared" ca="1" si="14"/>
        <v>1</v>
      </c>
      <c r="AK226" s="58" t="b">
        <f>OR(Table4[[#This Row],[Priority]]="Critical",Table4[[#This Row],[Priority]]="High")</f>
        <v>0</v>
      </c>
      <c r="AL226" s="283">
        <f ca="1">Table4[[#This Row],[Required Risk Resolution Date]]-$AE$1</f>
        <v>-40990</v>
      </c>
      <c r="AM226" s="58" t="b">
        <f t="shared" ca="1" si="15"/>
        <v>0</v>
      </c>
      <c r="AN226" s="59" t="b">
        <f>OR(Table4[[#This Row],[Priority]]="Critical",Table4[[#This Row],[Priority]]="High",Table4[[#This Row],[Priority]]="Moderate")</f>
        <v>0</v>
      </c>
    </row>
    <row r="227" spans="1:40">
      <c r="A227" s="60"/>
      <c r="B227" s="60"/>
      <c r="C227" s="60"/>
      <c r="D227" s="60"/>
      <c r="E227" s="6"/>
      <c r="F227" s="6"/>
      <c r="G227" s="6"/>
      <c r="H227" s="6"/>
      <c r="I227" s="323"/>
      <c r="J227" s="6"/>
      <c r="K227" s="6"/>
      <c r="L227" s="6"/>
      <c r="M227" s="6"/>
      <c r="N227" s="6"/>
      <c r="O227" s="6"/>
      <c r="P227" s="6"/>
      <c r="Q227" s="6"/>
      <c r="R227" s="6"/>
      <c r="S227" s="6"/>
      <c r="T227" s="6"/>
      <c r="U227" s="6"/>
      <c r="V227" s="6"/>
      <c r="W227" s="6"/>
      <c r="X227" s="6"/>
      <c r="Y227" s="6"/>
      <c r="Z227" s="6"/>
      <c r="AA227" s="162"/>
      <c r="AB227" s="6"/>
      <c r="AC227" s="6"/>
      <c r="AE227" s="283">
        <f ca="1">$AE$1-Table4[[#This Row],[Date Captured]]</f>
        <v>40990</v>
      </c>
      <c r="AF227" s="58" t="b">
        <f>IFERROR(OR(Table4[[#This Row],[Status]]="02. Open &amp; Assigned",Table4[[#This Row],[Status]]="01. Open",Table4[[#This Row],[Status]]="03. Action/Mitigation Plan Defined",Table4[[#This Row],[Status]]="04. Action Plan Completed",Table4[[#This Row],[Status]]="08. Blank"),"")</f>
        <v>0</v>
      </c>
      <c r="AG227" s="58" t="str">
        <f>IF(Table4[[#This Row],[Required Risk Resolution Date]]="","FALSE",IF($AE$1&gt;Table4[[#This Row],[Required Risk Resolution Date]],TRUE,FALSE))</f>
        <v>FALSE</v>
      </c>
      <c r="AH227" s="58" t="b">
        <f t="shared" ca="1" si="12"/>
        <v>0</v>
      </c>
      <c r="AI227" s="58" t="b">
        <f t="shared" ca="1" si="13"/>
        <v>0</v>
      </c>
      <c r="AJ227" s="58" t="b">
        <f t="shared" ca="1" si="14"/>
        <v>1</v>
      </c>
      <c r="AK227" s="58" t="b">
        <f>OR(Table4[[#This Row],[Priority]]="Critical",Table4[[#This Row],[Priority]]="High")</f>
        <v>0</v>
      </c>
      <c r="AL227" s="283">
        <f ca="1">Table4[[#This Row],[Required Risk Resolution Date]]-$AE$1</f>
        <v>-40990</v>
      </c>
      <c r="AM227" s="58" t="b">
        <f t="shared" ca="1" si="15"/>
        <v>0</v>
      </c>
      <c r="AN227" s="59" t="b">
        <f>OR(Table4[[#This Row],[Priority]]="Critical",Table4[[#This Row],[Priority]]="High",Table4[[#This Row],[Priority]]="Moderate")</f>
        <v>0</v>
      </c>
    </row>
    <row r="228" spans="1:40">
      <c r="A228" s="60"/>
      <c r="B228" s="60"/>
      <c r="C228" s="60"/>
      <c r="D228" s="60"/>
      <c r="E228" s="6"/>
      <c r="F228" s="6"/>
      <c r="G228" s="6"/>
      <c r="H228" s="6"/>
      <c r="I228" s="323"/>
      <c r="J228" s="6"/>
      <c r="K228" s="6"/>
      <c r="L228" s="6"/>
      <c r="M228" s="6"/>
      <c r="N228" s="6"/>
      <c r="O228" s="6"/>
      <c r="P228" s="6"/>
      <c r="Q228" s="6"/>
      <c r="R228" s="6"/>
      <c r="S228" s="6"/>
      <c r="T228" s="6"/>
      <c r="U228" s="6"/>
      <c r="V228" s="6"/>
      <c r="W228" s="6"/>
      <c r="X228" s="6"/>
      <c r="Y228" s="6"/>
      <c r="Z228" s="6"/>
      <c r="AA228" s="162"/>
      <c r="AB228" s="6"/>
      <c r="AC228" s="6"/>
      <c r="AE228" s="283">
        <f ca="1">$AE$1-Table4[[#This Row],[Date Captured]]</f>
        <v>40990</v>
      </c>
      <c r="AF228" s="58" t="b">
        <f>IFERROR(OR(Table4[[#This Row],[Status]]="02. Open &amp; Assigned",Table4[[#This Row],[Status]]="01. Open",Table4[[#This Row],[Status]]="03. Action/Mitigation Plan Defined",Table4[[#This Row],[Status]]="04. Action Plan Completed",Table4[[#This Row],[Status]]="08. Blank"),"")</f>
        <v>0</v>
      </c>
      <c r="AG228" s="58" t="str">
        <f>IF(Table4[[#This Row],[Required Risk Resolution Date]]="","FALSE",IF($AE$1&gt;Table4[[#This Row],[Required Risk Resolution Date]],TRUE,FALSE))</f>
        <v>FALSE</v>
      </c>
      <c r="AH228" s="58" t="b">
        <f t="shared" ca="1" si="12"/>
        <v>0</v>
      </c>
      <c r="AI228" s="58" t="b">
        <f t="shared" ca="1" si="13"/>
        <v>0</v>
      </c>
      <c r="AJ228" s="58" t="b">
        <f t="shared" ca="1" si="14"/>
        <v>1</v>
      </c>
      <c r="AK228" s="58" t="b">
        <f>OR(Table4[[#This Row],[Priority]]="Critical",Table4[[#This Row],[Priority]]="High")</f>
        <v>0</v>
      </c>
      <c r="AL228" s="283">
        <f ca="1">Table4[[#This Row],[Required Risk Resolution Date]]-$AE$1</f>
        <v>-40990</v>
      </c>
      <c r="AM228" s="58" t="b">
        <f t="shared" ca="1" si="15"/>
        <v>0</v>
      </c>
      <c r="AN228" s="59" t="b">
        <f>OR(Table4[[#This Row],[Priority]]="Critical",Table4[[#This Row],[Priority]]="High",Table4[[#This Row],[Priority]]="Moderate")</f>
        <v>0</v>
      </c>
    </row>
    <row r="229" spans="1:40">
      <c r="A229" s="60"/>
      <c r="B229" s="60"/>
      <c r="C229" s="60"/>
      <c r="D229" s="60"/>
      <c r="E229" s="6"/>
      <c r="F229" s="6"/>
      <c r="G229" s="6"/>
      <c r="H229" s="6"/>
      <c r="I229" s="323"/>
      <c r="J229" s="6"/>
      <c r="K229" s="6"/>
      <c r="L229" s="6"/>
      <c r="M229" s="6"/>
      <c r="N229" s="6"/>
      <c r="O229" s="6"/>
      <c r="P229" s="6"/>
      <c r="Q229" s="6"/>
      <c r="R229" s="6"/>
      <c r="S229" s="6"/>
      <c r="T229" s="6"/>
      <c r="U229" s="6"/>
      <c r="V229" s="6"/>
      <c r="W229" s="6"/>
      <c r="X229" s="6"/>
      <c r="Y229" s="6"/>
      <c r="Z229" s="6"/>
      <c r="AA229" s="162"/>
      <c r="AB229" s="6"/>
      <c r="AC229" s="6"/>
      <c r="AE229" s="283">
        <f ca="1">$AE$1-Table4[[#This Row],[Date Captured]]</f>
        <v>40990</v>
      </c>
      <c r="AF229" s="58" t="b">
        <f>IFERROR(OR(Table4[[#This Row],[Status]]="02. Open &amp; Assigned",Table4[[#This Row],[Status]]="01. Open",Table4[[#This Row],[Status]]="03. Action/Mitigation Plan Defined",Table4[[#This Row],[Status]]="04. Action Plan Completed",Table4[[#This Row],[Status]]="08. Blank"),"")</f>
        <v>0</v>
      </c>
      <c r="AG229" s="58" t="str">
        <f>IF(Table4[[#This Row],[Required Risk Resolution Date]]="","FALSE",IF($AE$1&gt;Table4[[#This Row],[Required Risk Resolution Date]],TRUE,FALSE))</f>
        <v>FALSE</v>
      </c>
      <c r="AH229" s="58" t="b">
        <f t="shared" ca="1" si="12"/>
        <v>0</v>
      </c>
      <c r="AI229" s="58" t="b">
        <f t="shared" ca="1" si="13"/>
        <v>0</v>
      </c>
      <c r="AJ229" s="58" t="b">
        <f t="shared" ca="1" si="14"/>
        <v>1</v>
      </c>
      <c r="AK229" s="58" t="b">
        <f>OR(Table4[[#This Row],[Priority]]="Critical",Table4[[#This Row],[Priority]]="High")</f>
        <v>0</v>
      </c>
      <c r="AL229" s="283">
        <f ca="1">Table4[[#This Row],[Required Risk Resolution Date]]-$AE$1</f>
        <v>-40990</v>
      </c>
      <c r="AM229" s="58" t="b">
        <f t="shared" ca="1" si="15"/>
        <v>0</v>
      </c>
      <c r="AN229" s="59" t="b">
        <f>OR(Table4[[#This Row],[Priority]]="Critical",Table4[[#This Row],[Priority]]="High",Table4[[#This Row],[Priority]]="Moderate")</f>
        <v>0</v>
      </c>
    </row>
    <row r="230" spans="1:40">
      <c r="A230" s="60"/>
      <c r="B230" s="60"/>
      <c r="C230" s="60"/>
      <c r="D230" s="60"/>
      <c r="E230" s="6"/>
      <c r="F230" s="6"/>
      <c r="G230" s="6"/>
      <c r="H230" s="6"/>
      <c r="I230" s="323"/>
      <c r="J230" s="6"/>
      <c r="K230" s="6"/>
      <c r="L230" s="6"/>
      <c r="M230" s="6"/>
      <c r="N230" s="6"/>
      <c r="O230" s="6"/>
      <c r="P230" s="6"/>
      <c r="Q230" s="6"/>
      <c r="R230" s="6"/>
      <c r="S230" s="6"/>
      <c r="T230" s="6"/>
      <c r="U230" s="6"/>
      <c r="V230" s="6"/>
      <c r="W230" s="6"/>
      <c r="X230" s="6"/>
      <c r="Y230" s="6"/>
      <c r="Z230" s="6"/>
      <c r="AA230" s="162"/>
      <c r="AB230" s="6"/>
      <c r="AC230" s="6"/>
      <c r="AE230" s="283">
        <f ca="1">$AE$1-Table4[[#This Row],[Date Captured]]</f>
        <v>40990</v>
      </c>
      <c r="AF230" s="58" t="b">
        <f>IFERROR(OR(Table4[[#This Row],[Status]]="02. Open &amp; Assigned",Table4[[#This Row],[Status]]="01. Open",Table4[[#This Row],[Status]]="03. Action/Mitigation Plan Defined",Table4[[#This Row],[Status]]="04. Action Plan Completed",Table4[[#This Row],[Status]]="08. Blank"),"")</f>
        <v>0</v>
      </c>
      <c r="AG230" s="58" t="str">
        <f>IF(Table4[[#This Row],[Required Risk Resolution Date]]="","FALSE",IF($AE$1&gt;Table4[[#This Row],[Required Risk Resolution Date]],TRUE,FALSE))</f>
        <v>FALSE</v>
      </c>
      <c r="AH230" s="58" t="b">
        <f t="shared" ca="1" si="12"/>
        <v>0</v>
      </c>
      <c r="AI230" s="58" t="b">
        <f t="shared" ca="1" si="13"/>
        <v>0</v>
      </c>
      <c r="AJ230" s="58" t="b">
        <f t="shared" ca="1" si="14"/>
        <v>1</v>
      </c>
      <c r="AK230" s="58" t="b">
        <f>OR(Table4[[#This Row],[Priority]]="Critical",Table4[[#This Row],[Priority]]="High")</f>
        <v>0</v>
      </c>
      <c r="AL230" s="283">
        <f ca="1">Table4[[#This Row],[Required Risk Resolution Date]]-$AE$1</f>
        <v>-40990</v>
      </c>
      <c r="AM230" s="58" t="b">
        <f t="shared" ca="1" si="15"/>
        <v>0</v>
      </c>
      <c r="AN230" s="59" t="b">
        <f>OR(Table4[[#This Row],[Priority]]="Critical",Table4[[#This Row],[Priority]]="High",Table4[[#This Row],[Priority]]="Moderate")</f>
        <v>0</v>
      </c>
    </row>
    <row r="231" spans="1:40">
      <c r="A231" s="60"/>
      <c r="B231" s="60"/>
      <c r="C231" s="60"/>
      <c r="D231" s="60"/>
      <c r="E231" s="6"/>
      <c r="F231" s="6"/>
      <c r="G231" s="6"/>
      <c r="H231" s="6"/>
      <c r="I231" s="323"/>
      <c r="J231" s="6"/>
      <c r="K231" s="6"/>
      <c r="L231" s="6"/>
      <c r="M231" s="6"/>
      <c r="N231" s="6"/>
      <c r="O231" s="6"/>
      <c r="P231" s="6"/>
      <c r="Q231" s="6"/>
      <c r="R231" s="6"/>
      <c r="S231" s="6"/>
      <c r="T231" s="6"/>
      <c r="U231" s="6"/>
      <c r="V231" s="6"/>
      <c r="W231" s="6"/>
      <c r="X231" s="6"/>
      <c r="Y231" s="6"/>
      <c r="Z231" s="6"/>
      <c r="AA231" s="162"/>
      <c r="AB231" s="6"/>
      <c r="AC231" s="6"/>
      <c r="AE231" s="283">
        <f ca="1">$AE$1-Table4[[#This Row],[Date Captured]]</f>
        <v>40990</v>
      </c>
      <c r="AF231" s="58" t="b">
        <f>IFERROR(OR(Table4[[#This Row],[Status]]="02. Open &amp; Assigned",Table4[[#This Row],[Status]]="01. Open",Table4[[#This Row],[Status]]="03. Action/Mitigation Plan Defined",Table4[[#This Row],[Status]]="04. Action Plan Completed",Table4[[#This Row],[Status]]="08. Blank"),"")</f>
        <v>0</v>
      </c>
      <c r="AG231" s="58" t="str">
        <f>IF(Table4[[#This Row],[Required Risk Resolution Date]]="","FALSE",IF($AE$1&gt;Table4[[#This Row],[Required Risk Resolution Date]],TRUE,FALSE))</f>
        <v>FALSE</v>
      </c>
      <c r="AH231" s="58" t="b">
        <f t="shared" ca="1" si="12"/>
        <v>0</v>
      </c>
      <c r="AI231" s="58" t="b">
        <f t="shared" ca="1" si="13"/>
        <v>0</v>
      </c>
      <c r="AJ231" s="58" t="b">
        <f t="shared" ca="1" si="14"/>
        <v>1</v>
      </c>
      <c r="AK231" s="58" t="b">
        <f>OR(Table4[[#This Row],[Priority]]="Critical",Table4[[#This Row],[Priority]]="High")</f>
        <v>0</v>
      </c>
      <c r="AL231" s="283">
        <f ca="1">Table4[[#This Row],[Required Risk Resolution Date]]-$AE$1</f>
        <v>-40990</v>
      </c>
      <c r="AM231" s="58" t="b">
        <f t="shared" ca="1" si="15"/>
        <v>0</v>
      </c>
      <c r="AN231" s="59" t="b">
        <f>OR(Table4[[#This Row],[Priority]]="Critical",Table4[[#This Row],[Priority]]="High",Table4[[#This Row],[Priority]]="Moderate")</f>
        <v>0</v>
      </c>
    </row>
    <row r="232" spans="1:40">
      <c r="A232" s="60"/>
      <c r="B232" s="60"/>
      <c r="C232" s="60"/>
      <c r="D232" s="60"/>
      <c r="E232" s="6"/>
      <c r="F232" s="6"/>
      <c r="G232" s="6"/>
      <c r="H232" s="6"/>
      <c r="I232" s="323"/>
      <c r="J232" s="6"/>
      <c r="K232" s="6"/>
      <c r="L232" s="6"/>
      <c r="M232" s="6"/>
      <c r="N232" s="6"/>
      <c r="O232" s="6"/>
      <c r="P232" s="6"/>
      <c r="Q232" s="6"/>
      <c r="R232" s="6"/>
      <c r="S232" s="6"/>
      <c r="T232" s="6"/>
      <c r="U232" s="6"/>
      <c r="V232" s="6"/>
      <c r="W232" s="6"/>
      <c r="X232" s="6"/>
      <c r="Y232" s="6"/>
      <c r="Z232" s="6"/>
      <c r="AA232" s="162"/>
      <c r="AB232" s="6"/>
      <c r="AC232" s="6"/>
      <c r="AE232" s="283">
        <f ca="1">$AE$1-Table4[[#This Row],[Date Captured]]</f>
        <v>40990</v>
      </c>
      <c r="AF232" s="58" t="b">
        <f>IFERROR(OR(Table4[[#This Row],[Status]]="02. Open &amp; Assigned",Table4[[#This Row],[Status]]="01. Open",Table4[[#This Row],[Status]]="03. Action/Mitigation Plan Defined",Table4[[#This Row],[Status]]="04. Action Plan Completed",Table4[[#This Row],[Status]]="08. Blank"),"")</f>
        <v>0</v>
      </c>
      <c r="AG232" s="58" t="str">
        <f>IF(Table4[[#This Row],[Required Risk Resolution Date]]="","FALSE",IF($AE$1&gt;Table4[[#This Row],[Required Risk Resolution Date]],TRUE,FALSE))</f>
        <v>FALSE</v>
      </c>
      <c r="AH232" s="58" t="b">
        <f t="shared" ca="1" si="12"/>
        <v>0</v>
      </c>
      <c r="AI232" s="58" t="b">
        <f t="shared" ca="1" si="13"/>
        <v>0</v>
      </c>
      <c r="AJ232" s="58" t="b">
        <f t="shared" ca="1" si="14"/>
        <v>1</v>
      </c>
      <c r="AK232" s="58" t="b">
        <f>OR(Table4[[#This Row],[Priority]]="Critical",Table4[[#This Row],[Priority]]="High")</f>
        <v>0</v>
      </c>
      <c r="AL232" s="283">
        <f ca="1">Table4[[#This Row],[Required Risk Resolution Date]]-$AE$1</f>
        <v>-40990</v>
      </c>
      <c r="AM232" s="58" t="b">
        <f t="shared" ca="1" si="15"/>
        <v>0</v>
      </c>
      <c r="AN232" s="59" t="b">
        <f>OR(Table4[[#This Row],[Priority]]="Critical",Table4[[#This Row],[Priority]]="High",Table4[[#This Row],[Priority]]="Moderate")</f>
        <v>0</v>
      </c>
    </row>
    <row r="233" spans="1:40">
      <c r="A233" s="60"/>
      <c r="B233" s="60"/>
      <c r="C233" s="60"/>
      <c r="D233" s="60"/>
      <c r="E233" s="6"/>
      <c r="F233" s="6"/>
      <c r="G233" s="6"/>
      <c r="H233" s="6"/>
      <c r="I233" s="323"/>
      <c r="J233" s="6"/>
      <c r="K233" s="6"/>
      <c r="L233" s="6"/>
      <c r="M233" s="6"/>
      <c r="N233" s="6"/>
      <c r="O233" s="6"/>
      <c r="P233" s="6"/>
      <c r="Q233" s="6"/>
      <c r="R233" s="6"/>
      <c r="S233" s="6"/>
      <c r="T233" s="6"/>
      <c r="U233" s="6"/>
      <c r="V233" s="6"/>
      <c r="W233" s="6"/>
      <c r="X233" s="6"/>
      <c r="Y233" s="6"/>
      <c r="Z233" s="6"/>
      <c r="AA233" s="162"/>
      <c r="AB233" s="6"/>
      <c r="AC233" s="6"/>
      <c r="AE233" s="283">
        <f ca="1">$AE$1-Table4[[#This Row],[Date Captured]]</f>
        <v>40990</v>
      </c>
      <c r="AF233" s="58" t="b">
        <f>IFERROR(OR(Table4[[#This Row],[Status]]="02. Open &amp; Assigned",Table4[[#This Row],[Status]]="01. Open",Table4[[#This Row],[Status]]="03. Action/Mitigation Plan Defined",Table4[[#This Row],[Status]]="04. Action Plan Completed",Table4[[#This Row],[Status]]="08. Blank"),"")</f>
        <v>0</v>
      </c>
      <c r="AG233" s="58" t="str">
        <f>IF(Table4[[#This Row],[Required Risk Resolution Date]]="","FALSE",IF($AE$1&gt;Table4[[#This Row],[Required Risk Resolution Date]],TRUE,FALSE))</f>
        <v>FALSE</v>
      </c>
      <c r="AH233" s="58" t="b">
        <f t="shared" ca="1" si="12"/>
        <v>0</v>
      </c>
      <c r="AI233" s="58" t="b">
        <f t="shared" ca="1" si="13"/>
        <v>0</v>
      </c>
      <c r="AJ233" s="58" t="b">
        <f t="shared" ca="1" si="14"/>
        <v>1</v>
      </c>
      <c r="AK233" s="58" t="b">
        <f>OR(Table4[[#This Row],[Priority]]="Critical",Table4[[#This Row],[Priority]]="High")</f>
        <v>0</v>
      </c>
      <c r="AL233" s="283">
        <f ca="1">Table4[[#This Row],[Required Risk Resolution Date]]-$AE$1</f>
        <v>-40990</v>
      </c>
      <c r="AM233" s="58" t="b">
        <f t="shared" ca="1" si="15"/>
        <v>0</v>
      </c>
      <c r="AN233" s="59" t="b">
        <f>OR(Table4[[#This Row],[Priority]]="Critical",Table4[[#This Row],[Priority]]="High",Table4[[#This Row],[Priority]]="Moderate")</f>
        <v>0</v>
      </c>
    </row>
    <row r="234" spans="1:40">
      <c r="A234" s="60"/>
      <c r="B234" s="60"/>
      <c r="C234" s="60"/>
      <c r="D234" s="60"/>
      <c r="E234" s="6"/>
      <c r="F234" s="6"/>
      <c r="G234" s="6"/>
      <c r="H234" s="6"/>
      <c r="I234" s="323"/>
      <c r="J234" s="6"/>
      <c r="K234" s="6"/>
      <c r="L234" s="6"/>
      <c r="M234" s="6"/>
      <c r="N234" s="6"/>
      <c r="O234" s="6"/>
      <c r="P234" s="6"/>
      <c r="Q234" s="6"/>
      <c r="R234" s="6"/>
      <c r="S234" s="6"/>
      <c r="T234" s="6"/>
      <c r="U234" s="6"/>
      <c r="V234" s="6"/>
      <c r="W234" s="6"/>
      <c r="X234" s="6"/>
      <c r="Y234" s="6"/>
      <c r="Z234" s="6"/>
      <c r="AA234" s="162"/>
      <c r="AB234" s="6"/>
      <c r="AC234" s="6"/>
      <c r="AE234" s="283">
        <f ca="1">$AE$1-Table4[[#This Row],[Date Captured]]</f>
        <v>40990</v>
      </c>
      <c r="AF234" s="58" t="b">
        <f>IFERROR(OR(Table4[[#This Row],[Status]]="02. Open &amp; Assigned",Table4[[#This Row],[Status]]="01. Open",Table4[[#This Row],[Status]]="03. Action/Mitigation Plan Defined",Table4[[#This Row],[Status]]="04. Action Plan Completed",Table4[[#This Row],[Status]]="08. Blank"),"")</f>
        <v>0</v>
      </c>
      <c r="AG234" s="58" t="str">
        <f>IF(Table4[[#This Row],[Required Risk Resolution Date]]="","FALSE",IF($AE$1&gt;Table4[[#This Row],[Required Risk Resolution Date]],TRUE,FALSE))</f>
        <v>FALSE</v>
      </c>
      <c r="AH234" s="58" t="b">
        <f t="shared" ca="1" si="12"/>
        <v>0</v>
      </c>
      <c r="AI234" s="58" t="b">
        <f t="shared" ca="1" si="13"/>
        <v>0</v>
      </c>
      <c r="AJ234" s="58" t="b">
        <f t="shared" ca="1" si="14"/>
        <v>1</v>
      </c>
      <c r="AK234" s="58" t="b">
        <f>OR(Table4[[#This Row],[Priority]]="Critical",Table4[[#This Row],[Priority]]="High")</f>
        <v>0</v>
      </c>
      <c r="AL234" s="283">
        <f ca="1">Table4[[#This Row],[Required Risk Resolution Date]]-$AE$1</f>
        <v>-40990</v>
      </c>
      <c r="AM234" s="58" t="b">
        <f t="shared" ca="1" si="15"/>
        <v>0</v>
      </c>
      <c r="AN234" s="59" t="b">
        <f>OR(Table4[[#This Row],[Priority]]="Critical",Table4[[#This Row],[Priority]]="High",Table4[[#This Row],[Priority]]="Moderate")</f>
        <v>0</v>
      </c>
    </row>
    <row r="235" spans="1:40">
      <c r="A235" s="60"/>
      <c r="B235" s="60"/>
      <c r="C235" s="60"/>
      <c r="D235" s="60"/>
      <c r="E235" s="6"/>
      <c r="F235" s="6"/>
      <c r="G235" s="6"/>
      <c r="H235" s="6"/>
      <c r="I235" s="323"/>
      <c r="J235" s="6"/>
      <c r="K235" s="6"/>
      <c r="L235" s="6"/>
      <c r="M235" s="6"/>
      <c r="N235" s="6"/>
      <c r="O235" s="6"/>
      <c r="P235" s="6"/>
      <c r="Q235" s="6"/>
      <c r="R235" s="6"/>
      <c r="S235" s="6"/>
      <c r="T235" s="6"/>
      <c r="U235" s="6"/>
      <c r="V235" s="6"/>
      <c r="W235" s="6"/>
      <c r="X235" s="6"/>
      <c r="Y235" s="6"/>
      <c r="Z235" s="6"/>
      <c r="AA235" s="162"/>
      <c r="AB235" s="6"/>
      <c r="AC235" s="6"/>
      <c r="AE235" s="283">
        <f ca="1">$AE$1-Table4[[#This Row],[Date Captured]]</f>
        <v>40990</v>
      </c>
      <c r="AF235" s="58" t="b">
        <f>IFERROR(OR(Table4[[#This Row],[Status]]="02. Open &amp; Assigned",Table4[[#This Row],[Status]]="01. Open",Table4[[#This Row],[Status]]="03. Action/Mitigation Plan Defined",Table4[[#This Row],[Status]]="04. Action Plan Completed",Table4[[#This Row],[Status]]="08. Blank"),"")</f>
        <v>0</v>
      </c>
      <c r="AG235" s="58" t="str">
        <f>IF(Table4[[#This Row],[Required Risk Resolution Date]]="","FALSE",IF($AE$1&gt;Table4[[#This Row],[Required Risk Resolution Date]],TRUE,FALSE))</f>
        <v>FALSE</v>
      </c>
      <c r="AH235" s="58" t="b">
        <f t="shared" ca="1" si="12"/>
        <v>0</v>
      </c>
      <c r="AI235" s="58" t="b">
        <f t="shared" ca="1" si="13"/>
        <v>0</v>
      </c>
      <c r="AJ235" s="58" t="b">
        <f t="shared" ca="1" si="14"/>
        <v>1</v>
      </c>
      <c r="AK235" s="58" t="b">
        <f>OR(Table4[[#This Row],[Priority]]="Critical",Table4[[#This Row],[Priority]]="High")</f>
        <v>0</v>
      </c>
      <c r="AL235" s="283">
        <f ca="1">Table4[[#This Row],[Required Risk Resolution Date]]-$AE$1</f>
        <v>-40990</v>
      </c>
      <c r="AM235" s="58" t="b">
        <f t="shared" ca="1" si="15"/>
        <v>0</v>
      </c>
      <c r="AN235" s="59" t="b">
        <f>OR(Table4[[#This Row],[Priority]]="Critical",Table4[[#This Row],[Priority]]="High",Table4[[#This Row],[Priority]]="Moderate")</f>
        <v>0</v>
      </c>
    </row>
    <row r="236" spans="1:40">
      <c r="A236" s="60"/>
      <c r="B236" s="60"/>
      <c r="C236" s="60"/>
      <c r="D236" s="60"/>
      <c r="E236" s="6"/>
      <c r="F236" s="6"/>
      <c r="G236" s="6"/>
      <c r="H236" s="6"/>
      <c r="I236" s="323"/>
      <c r="J236" s="6"/>
      <c r="K236" s="6"/>
      <c r="L236" s="6"/>
      <c r="M236" s="6"/>
      <c r="N236" s="6"/>
      <c r="O236" s="6"/>
      <c r="P236" s="6"/>
      <c r="Q236" s="6"/>
      <c r="R236" s="6"/>
      <c r="S236" s="6"/>
      <c r="T236" s="6"/>
      <c r="U236" s="6"/>
      <c r="V236" s="6"/>
      <c r="W236" s="6"/>
      <c r="X236" s="6"/>
      <c r="Y236" s="6"/>
      <c r="Z236" s="6"/>
      <c r="AA236" s="162"/>
      <c r="AB236" s="6"/>
      <c r="AC236" s="6"/>
      <c r="AE236" s="283">
        <f ca="1">$AE$1-Table4[[#This Row],[Date Captured]]</f>
        <v>40990</v>
      </c>
      <c r="AF236" s="58" t="b">
        <f>IFERROR(OR(Table4[[#This Row],[Status]]="02. Open &amp; Assigned",Table4[[#This Row],[Status]]="01. Open",Table4[[#This Row],[Status]]="03. Action/Mitigation Plan Defined",Table4[[#This Row],[Status]]="04. Action Plan Completed",Table4[[#This Row],[Status]]="08. Blank"),"")</f>
        <v>0</v>
      </c>
      <c r="AG236" s="58" t="str">
        <f>IF(Table4[[#This Row],[Required Risk Resolution Date]]="","FALSE",IF($AE$1&gt;Table4[[#This Row],[Required Risk Resolution Date]],TRUE,FALSE))</f>
        <v>FALSE</v>
      </c>
      <c r="AH236" s="58" t="b">
        <f t="shared" ca="1" si="12"/>
        <v>0</v>
      </c>
      <c r="AI236" s="58" t="b">
        <f t="shared" ca="1" si="13"/>
        <v>0</v>
      </c>
      <c r="AJ236" s="58" t="b">
        <f t="shared" ca="1" si="14"/>
        <v>1</v>
      </c>
      <c r="AK236" s="58" t="b">
        <f>OR(Table4[[#This Row],[Priority]]="Critical",Table4[[#This Row],[Priority]]="High")</f>
        <v>0</v>
      </c>
      <c r="AL236" s="283">
        <f ca="1">Table4[[#This Row],[Required Risk Resolution Date]]-$AE$1</f>
        <v>-40990</v>
      </c>
      <c r="AM236" s="58" t="b">
        <f t="shared" ca="1" si="15"/>
        <v>0</v>
      </c>
      <c r="AN236" s="59" t="b">
        <f>OR(Table4[[#This Row],[Priority]]="Critical",Table4[[#This Row],[Priority]]="High",Table4[[#This Row],[Priority]]="Moderate")</f>
        <v>0</v>
      </c>
    </row>
    <row r="237" spans="1:40">
      <c r="A237" s="60"/>
      <c r="B237" s="60"/>
      <c r="C237" s="60"/>
      <c r="D237" s="60"/>
      <c r="E237" s="6"/>
      <c r="F237" s="6"/>
      <c r="G237" s="6"/>
      <c r="H237" s="6"/>
      <c r="I237" s="323"/>
      <c r="J237" s="6"/>
      <c r="K237" s="6"/>
      <c r="L237" s="6"/>
      <c r="M237" s="6"/>
      <c r="N237" s="6"/>
      <c r="O237" s="6"/>
      <c r="P237" s="6"/>
      <c r="Q237" s="6"/>
      <c r="R237" s="6"/>
      <c r="S237" s="6"/>
      <c r="T237" s="6"/>
      <c r="U237" s="6"/>
      <c r="V237" s="6"/>
      <c r="W237" s="6"/>
      <c r="X237" s="6"/>
      <c r="Y237" s="6"/>
      <c r="Z237" s="6"/>
      <c r="AA237" s="162"/>
      <c r="AB237" s="6"/>
      <c r="AC237" s="6"/>
      <c r="AE237" s="283">
        <f ca="1">$AE$1-Table4[[#This Row],[Date Captured]]</f>
        <v>40990</v>
      </c>
      <c r="AF237" s="58" t="b">
        <f>IFERROR(OR(Table4[[#This Row],[Status]]="02. Open &amp; Assigned",Table4[[#This Row],[Status]]="01. Open",Table4[[#This Row],[Status]]="03. Action/Mitigation Plan Defined",Table4[[#This Row],[Status]]="04. Action Plan Completed",Table4[[#This Row],[Status]]="08. Blank"),"")</f>
        <v>0</v>
      </c>
      <c r="AG237" s="58" t="str">
        <f>IF(Table4[[#This Row],[Required Risk Resolution Date]]="","FALSE",IF($AE$1&gt;Table4[[#This Row],[Required Risk Resolution Date]],TRUE,FALSE))</f>
        <v>FALSE</v>
      </c>
      <c r="AH237" s="58" t="b">
        <f t="shared" ca="1" si="12"/>
        <v>0</v>
      </c>
      <c r="AI237" s="58" t="b">
        <f t="shared" ca="1" si="13"/>
        <v>0</v>
      </c>
      <c r="AJ237" s="58" t="b">
        <f t="shared" ca="1" si="14"/>
        <v>1</v>
      </c>
      <c r="AK237" s="58" t="b">
        <f>OR(Table4[[#This Row],[Priority]]="Critical",Table4[[#This Row],[Priority]]="High")</f>
        <v>0</v>
      </c>
      <c r="AL237" s="283">
        <f ca="1">Table4[[#This Row],[Required Risk Resolution Date]]-$AE$1</f>
        <v>-40990</v>
      </c>
      <c r="AM237" s="58" t="b">
        <f t="shared" ca="1" si="15"/>
        <v>0</v>
      </c>
      <c r="AN237" s="59" t="b">
        <f>OR(Table4[[#This Row],[Priority]]="Critical",Table4[[#This Row],[Priority]]="High",Table4[[#This Row],[Priority]]="Moderate")</f>
        <v>0</v>
      </c>
    </row>
    <row r="238" spans="1:40">
      <c r="A238" s="60"/>
      <c r="B238" s="60"/>
      <c r="C238" s="60"/>
      <c r="D238" s="60"/>
      <c r="E238" s="6"/>
      <c r="F238" s="6"/>
      <c r="G238" s="6"/>
      <c r="H238" s="6"/>
      <c r="I238" s="323"/>
      <c r="J238" s="6"/>
      <c r="K238" s="6"/>
      <c r="L238" s="6"/>
      <c r="M238" s="6"/>
      <c r="N238" s="6"/>
      <c r="O238" s="6"/>
      <c r="P238" s="6"/>
      <c r="Q238" s="6"/>
      <c r="R238" s="6"/>
      <c r="S238" s="6"/>
      <c r="T238" s="6"/>
      <c r="U238" s="6"/>
      <c r="V238" s="6"/>
      <c r="W238" s="6"/>
      <c r="X238" s="6"/>
      <c r="Y238" s="6"/>
      <c r="Z238" s="6"/>
      <c r="AA238" s="162"/>
      <c r="AB238" s="6"/>
      <c r="AC238" s="6"/>
      <c r="AE238" s="283">
        <f ca="1">$AE$1-Table4[[#This Row],[Date Captured]]</f>
        <v>40990</v>
      </c>
      <c r="AF238" s="58" t="b">
        <f>IFERROR(OR(Table4[[#This Row],[Status]]="02. Open &amp; Assigned",Table4[[#This Row],[Status]]="01. Open",Table4[[#This Row],[Status]]="03. Action/Mitigation Plan Defined",Table4[[#This Row],[Status]]="04. Action Plan Completed",Table4[[#This Row],[Status]]="08. Blank"),"")</f>
        <v>0</v>
      </c>
      <c r="AG238" s="58" t="str">
        <f>IF(Table4[[#This Row],[Required Risk Resolution Date]]="","FALSE",IF($AE$1&gt;Table4[[#This Row],[Required Risk Resolution Date]],TRUE,FALSE))</f>
        <v>FALSE</v>
      </c>
      <c r="AH238" s="58" t="b">
        <f t="shared" ca="1" si="12"/>
        <v>0</v>
      </c>
      <c r="AI238" s="58" t="b">
        <f t="shared" ca="1" si="13"/>
        <v>0</v>
      </c>
      <c r="AJ238" s="58" t="b">
        <f t="shared" ca="1" si="14"/>
        <v>1</v>
      </c>
      <c r="AK238" s="58" t="b">
        <f>OR(Table4[[#This Row],[Priority]]="Critical",Table4[[#This Row],[Priority]]="High")</f>
        <v>0</v>
      </c>
      <c r="AL238" s="283">
        <f ca="1">Table4[[#This Row],[Required Risk Resolution Date]]-$AE$1</f>
        <v>-40990</v>
      </c>
      <c r="AM238" s="58" t="b">
        <f t="shared" ca="1" si="15"/>
        <v>0</v>
      </c>
      <c r="AN238" s="59" t="b">
        <f>OR(Table4[[#This Row],[Priority]]="Critical",Table4[[#This Row],[Priority]]="High",Table4[[#This Row],[Priority]]="Moderate")</f>
        <v>0</v>
      </c>
    </row>
    <row r="239" spans="1:40">
      <c r="A239" s="60"/>
      <c r="B239" s="60"/>
      <c r="C239" s="60"/>
      <c r="D239" s="60"/>
      <c r="E239" s="6"/>
      <c r="F239" s="6"/>
      <c r="G239" s="6"/>
      <c r="H239" s="6"/>
      <c r="I239" s="323"/>
      <c r="J239" s="6"/>
      <c r="K239" s="6"/>
      <c r="L239" s="6"/>
      <c r="M239" s="6"/>
      <c r="N239" s="6"/>
      <c r="O239" s="6"/>
      <c r="P239" s="6"/>
      <c r="Q239" s="6"/>
      <c r="R239" s="6"/>
      <c r="S239" s="6"/>
      <c r="T239" s="6"/>
      <c r="U239" s="6"/>
      <c r="V239" s="6"/>
      <c r="W239" s="6"/>
      <c r="X239" s="6"/>
      <c r="Y239" s="6"/>
      <c r="Z239" s="6"/>
      <c r="AA239" s="162"/>
      <c r="AB239" s="6"/>
      <c r="AC239" s="6"/>
      <c r="AE239" s="283">
        <f ca="1">$AE$1-Table4[[#This Row],[Date Captured]]</f>
        <v>40990</v>
      </c>
      <c r="AF239" s="58" t="b">
        <f>IFERROR(OR(Table4[[#This Row],[Status]]="02. Open &amp; Assigned",Table4[[#This Row],[Status]]="01. Open",Table4[[#This Row],[Status]]="03. Action/Mitigation Plan Defined",Table4[[#This Row],[Status]]="04. Action Plan Completed",Table4[[#This Row],[Status]]="08. Blank"),"")</f>
        <v>0</v>
      </c>
      <c r="AG239" s="58" t="str">
        <f>IF(Table4[[#This Row],[Required Risk Resolution Date]]="","FALSE",IF($AE$1&gt;Table4[[#This Row],[Required Risk Resolution Date]],TRUE,FALSE))</f>
        <v>FALSE</v>
      </c>
      <c r="AH239" s="58" t="b">
        <f t="shared" ca="1" si="12"/>
        <v>0</v>
      </c>
      <c r="AI239" s="58" t="b">
        <f t="shared" ca="1" si="13"/>
        <v>0</v>
      </c>
      <c r="AJ239" s="58" t="b">
        <f t="shared" ca="1" si="14"/>
        <v>1</v>
      </c>
      <c r="AK239" s="58" t="b">
        <f>OR(Table4[[#This Row],[Priority]]="Critical",Table4[[#This Row],[Priority]]="High")</f>
        <v>0</v>
      </c>
      <c r="AL239" s="283">
        <f ca="1">Table4[[#This Row],[Required Risk Resolution Date]]-$AE$1</f>
        <v>-40990</v>
      </c>
      <c r="AM239" s="58" t="b">
        <f t="shared" ca="1" si="15"/>
        <v>0</v>
      </c>
      <c r="AN239" s="59" t="b">
        <f>OR(Table4[[#This Row],[Priority]]="Critical",Table4[[#This Row],[Priority]]="High",Table4[[#This Row],[Priority]]="Moderate")</f>
        <v>0</v>
      </c>
    </row>
    <row r="240" spans="1:40">
      <c r="A240" s="60"/>
      <c r="B240" s="60"/>
      <c r="C240" s="60"/>
      <c r="D240" s="60"/>
      <c r="E240" s="6"/>
      <c r="F240" s="6"/>
      <c r="G240" s="6"/>
      <c r="H240" s="6"/>
      <c r="I240" s="323"/>
      <c r="J240" s="6"/>
      <c r="K240" s="6"/>
      <c r="L240" s="6"/>
      <c r="M240" s="6"/>
      <c r="N240" s="6"/>
      <c r="O240" s="6"/>
      <c r="P240" s="6"/>
      <c r="Q240" s="6"/>
      <c r="R240" s="6"/>
      <c r="S240" s="6"/>
      <c r="T240" s="6"/>
      <c r="U240" s="6"/>
      <c r="V240" s="6"/>
      <c r="W240" s="6"/>
      <c r="X240" s="6"/>
      <c r="Y240" s="6"/>
      <c r="Z240" s="6"/>
      <c r="AA240" s="162"/>
      <c r="AB240" s="6"/>
      <c r="AC240" s="6"/>
      <c r="AE240" s="283">
        <f ca="1">$AE$1-Table4[[#This Row],[Date Captured]]</f>
        <v>40990</v>
      </c>
      <c r="AF240" s="58" t="b">
        <f>IFERROR(OR(Table4[[#This Row],[Status]]="02. Open &amp; Assigned",Table4[[#This Row],[Status]]="01. Open",Table4[[#This Row],[Status]]="03. Action/Mitigation Plan Defined",Table4[[#This Row],[Status]]="04. Action Plan Completed",Table4[[#This Row],[Status]]="08. Blank"),"")</f>
        <v>0</v>
      </c>
      <c r="AG240" s="58" t="str">
        <f>IF(Table4[[#This Row],[Required Risk Resolution Date]]="","FALSE",IF($AE$1&gt;Table4[[#This Row],[Required Risk Resolution Date]],TRUE,FALSE))</f>
        <v>FALSE</v>
      </c>
      <c r="AH240" s="58" t="b">
        <f t="shared" ca="1" si="12"/>
        <v>0</v>
      </c>
      <c r="AI240" s="58" t="b">
        <f t="shared" ca="1" si="13"/>
        <v>0</v>
      </c>
      <c r="AJ240" s="58" t="b">
        <f t="shared" ca="1" si="14"/>
        <v>1</v>
      </c>
      <c r="AK240" s="58" t="b">
        <f>OR(Table4[[#This Row],[Priority]]="Critical",Table4[[#This Row],[Priority]]="High")</f>
        <v>0</v>
      </c>
      <c r="AL240" s="283">
        <f ca="1">Table4[[#This Row],[Required Risk Resolution Date]]-$AE$1</f>
        <v>-40990</v>
      </c>
      <c r="AM240" s="58" t="b">
        <f t="shared" ca="1" si="15"/>
        <v>0</v>
      </c>
      <c r="AN240" s="59" t="b">
        <f>OR(Table4[[#This Row],[Priority]]="Critical",Table4[[#This Row],[Priority]]="High",Table4[[#This Row],[Priority]]="Moderate")</f>
        <v>0</v>
      </c>
    </row>
    <row r="241" spans="1:40">
      <c r="A241" s="60"/>
      <c r="B241" s="60"/>
      <c r="C241" s="60"/>
      <c r="D241" s="60"/>
      <c r="E241" s="6"/>
      <c r="F241" s="6"/>
      <c r="G241" s="6"/>
      <c r="H241" s="6"/>
      <c r="I241" s="323"/>
      <c r="J241" s="6"/>
      <c r="K241" s="6"/>
      <c r="L241" s="6"/>
      <c r="M241" s="6"/>
      <c r="N241" s="6"/>
      <c r="O241" s="6"/>
      <c r="P241" s="6"/>
      <c r="Q241" s="6"/>
      <c r="R241" s="6"/>
      <c r="S241" s="6"/>
      <c r="T241" s="6"/>
      <c r="U241" s="6"/>
      <c r="V241" s="6"/>
      <c r="W241" s="6"/>
      <c r="X241" s="6"/>
      <c r="Y241" s="6"/>
      <c r="Z241" s="6"/>
      <c r="AA241" s="162"/>
      <c r="AB241" s="6"/>
      <c r="AC241" s="6"/>
      <c r="AE241" s="283">
        <f ca="1">$AE$1-Table4[[#This Row],[Date Captured]]</f>
        <v>40990</v>
      </c>
      <c r="AF241" s="58" t="b">
        <f>IFERROR(OR(Table4[[#This Row],[Status]]="02. Open &amp; Assigned",Table4[[#This Row],[Status]]="01. Open",Table4[[#This Row],[Status]]="03. Action/Mitigation Plan Defined",Table4[[#This Row],[Status]]="04. Action Plan Completed",Table4[[#This Row],[Status]]="08. Blank"),"")</f>
        <v>0</v>
      </c>
      <c r="AG241" s="58" t="str">
        <f>IF(Table4[[#This Row],[Required Risk Resolution Date]]="","FALSE",IF($AE$1&gt;Table4[[#This Row],[Required Risk Resolution Date]],TRUE,FALSE))</f>
        <v>FALSE</v>
      </c>
      <c r="AH241" s="58" t="b">
        <f t="shared" ca="1" si="12"/>
        <v>0</v>
      </c>
      <c r="AI241" s="58" t="b">
        <f t="shared" ca="1" si="13"/>
        <v>0</v>
      </c>
      <c r="AJ241" s="58" t="b">
        <f t="shared" ca="1" si="14"/>
        <v>1</v>
      </c>
      <c r="AK241" s="58" t="b">
        <f>OR(Table4[[#This Row],[Priority]]="Critical",Table4[[#This Row],[Priority]]="High")</f>
        <v>0</v>
      </c>
      <c r="AL241" s="283">
        <f ca="1">Table4[[#This Row],[Required Risk Resolution Date]]-$AE$1</f>
        <v>-40990</v>
      </c>
      <c r="AM241" s="58" t="b">
        <f t="shared" ca="1" si="15"/>
        <v>0</v>
      </c>
      <c r="AN241" s="59" t="b">
        <f>OR(Table4[[#This Row],[Priority]]="Critical",Table4[[#This Row],[Priority]]="High",Table4[[#This Row],[Priority]]="Moderate")</f>
        <v>0</v>
      </c>
    </row>
    <row r="242" spans="1:40">
      <c r="A242" s="60"/>
      <c r="B242" s="60"/>
      <c r="C242" s="60"/>
      <c r="D242" s="60"/>
      <c r="E242" s="6"/>
      <c r="F242" s="6"/>
      <c r="G242" s="6"/>
      <c r="H242" s="6"/>
      <c r="I242" s="323"/>
      <c r="J242" s="6"/>
      <c r="K242" s="6"/>
      <c r="L242" s="6"/>
      <c r="M242" s="6"/>
      <c r="N242" s="6"/>
      <c r="O242" s="6"/>
      <c r="P242" s="6"/>
      <c r="Q242" s="6"/>
      <c r="R242" s="6"/>
      <c r="S242" s="6"/>
      <c r="T242" s="6"/>
      <c r="U242" s="6"/>
      <c r="V242" s="6"/>
      <c r="W242" s="6"/>
      <c r="X242" s="6"/>
      <c r="Y242" s="6"/>
      <c r="Z242" s="6"/>
      <c r="AA242" s="162"/>
      <c r="AB242" s="6"/>
      <c r="AC242" s="6"/>
      <c r="AE242" s="283">
        <f ca="1">$AE$1-Table4[[#This Row],[Date Captured]]</f>
        <v>40990</v>
      </c>
      <c r="AF242" s="58" t="b">
        <f>IFERROR(OR(Table4[[#This Row],[Status]]="02. Open &amp; Assigned",Table4[[#This Row],[Status]]="01. Open",Table4[[#This Row],[Status]]="03. Action/Mitigation Plan Defined",Table4[[#This Row],[Status]]="04. Action Plan Completed",Table4[[#This Row],[Status]]="08. Blank"),"")</f>
        <v>0</v>
      </c>
      <c r="AG242" s="58" t="str">
        <f>IF(Table4[[#This Row],[Required Risk Resolution Date]]="","FALSE",IF($AE$1&gt;Table4[[#This Row],[Required Risk Resolution Date]],TRUE,FALSE))</f>
        <v>FALSE</v>
      </c>
      <c r="AH242" s="58" t="b">
        <f t="shared" ca="1" si="12"/>
        <v>0</v>
      </c>
      <c r="AI242" s="58" t="b">
        <f t="shared" ca="1" si="13"/>
        <v>0</v>
      </c>
      <c r="AJ242" s="58" t="b">
        <f t="shared" ca="1" si="14"/>
        <v>1</v>
      </c>
      <c r="AK242" s="58" t="b">
        <f>OR(Table4[[#This Row],[Priority]]="Critical",Table4[[#This Row],[Priority]]="High")</f>
        <v>0</v>
      </c>
      <c r="AL242" s="283">
        <f ca="1">Table4[[#This Row],[Required Risk Resolution Date]]-$AE$1</f>
        <v>-40990</v>
      </c>
      <c r="AM242" s="58" t="b">
        <f t="shared" ca="1" si="15"/>
        <v>0</v>
      </c>
      <c r="AN242" s="59" t="b">
        <f>OR(Table4[[#This Row],[Priority]]="Critical",Table4[[#This Row],[Priority]]="High",Table4[[#This Row],[Priority]]="Moderate")</f>
        <v>0</v>
      </c>
    </row>
    <row r="243" spans="1:40">
      <c r="A243" s="60"/>
      <c r="B243" s="60"/>
      <c r="C243" s="60"/>
      <c r="D243" s="60"/>
      <c r="E243" s="6"/>
      <c r="F243" s="6"/>
      <c r="G243" s="6"/>
      <c r="H243" s="6"/>
      <c r="I243" s="323"/>
      <c r="J243" s="6"/>
      <c r="K243" s="6"/>
      <c r="L243" s="6"/>
      <c r="M243" s="6"/>
      <c r="N243" s="6"/>
      <c r="O243" s="6"/>
      <c r="P243" s="6"/>
      <c r="Q243" s="6"/>
      <c r="R243" s="6"/>
      <c r="S243" s="6"/>
      <c r="T243" s="6"/>
      <c r="U243" s="6"/>
      <c r="V243" s="6"/>
      <c r="W243" s="6"/>
      <c r="X243" s="6"/>
      <c r="Y243" s="6"/>
      <c r="Z243" s="6"/>
      <c r="AA243" s="162"/>
      <c r="AB243" s="6"/>
      <c r="AC243" s="6"/>
      <c r="AE243" s="283">
        <f ca="1">$AE$1-Table4[[#This Row],[Date Captured]]</f>
        <v>40990</v>
      </c>
      <c r="AF243" s="58" t="b">
        <f>IFERROR(OR(Table4[[#This Row],[Status]]="02. Open &amp; Assigned",Table4[[#This Row],[Status]]="01. Open",Table4[[#This Row],[Status]]="03. Action/Mitigation Plan Defined",Table4[[#This Row],[Status]]="04. Action Plan Completed",Table4[[#This Row],[Status]]="08. Blank"),"")</f>
        <v>0</v>
      </c>
      <c r="AG243" s="58" t="str">
        <f>IF(Table4[[#This Row],[Required Risk Resolution Date]]="","FALSE",IF($AE$1&gt;Table4[[#This Row],[Required Risk Resolution Date]],TRUE,FALSE))</f>
        <v>FALSE</v>
      </c>
      <c r="AH243" s="58" t="b">
        <f t="shared" ca="1" si="12"/>
        <v>0</v>
      </c>
      <c r="AI243" s="58" t="b">
        <f t="shared" ca="1" si="13"/>
        <v>0</v>
      </c>
      <c r="AJ243" s="58" t="b">
        <f t="shared" ca="1" si="14"/>
        <v>1</v>
      </c>
      <c r="AK243" s="58" t="b">
        <f>OR(Table4[[#This Row],[Priority]]="Critical",Table4[[#This Row],[Priority]]="High")</f>
        <v>0</v>
      </c>
      <c r="AL243" s="283">
        <f ca="1">Table4[[#This Row],[Required Risk Resolution Date]]-$AE$1</f>
        <v>-40990</v>
      </c>
      <c r="AM243" s="58" t="b">
        <f t="shared" ca="1" si="15"/>
        <v>0</v>
      </c>
      <c r="AN243" s="59" t="b">
        <f>OR(Table4[[#This Row],[Priority]]="Critical",Table4[[#This Row],[Priority]]="High",Table4[[#This Row],[Priority]]="Moderate")</f>
        <v>0</v>
      </c>
    </row>
    <row r="244" spans="1:40">
      <c r="A244" s="60"/>
      <c r="B244" s="60"/>
      <c r="C244" s="60"/>
      <c r="D244" s="60"/>
      <c r="E244" s="6"/>
      <c r="F244" s="6"/>
      <c r="G244" s="6"/>
      <c r="H244" s="6"/>
      <c r="I244" s="323"/>
      <c r="J244" s="6"/>
      <c r="K244" s="6"/>
      <c r="L244" s="6"/>
      <c r="M244" s="6"/>
      <c r="N244" s="6"/>
      <c r="O244" s="6"/>
      <c r="P244" s="6"/>
      <c r="Q244" s="6"/>
      <c r="R244" s="6"/>
      <c r="S244" s="6"/>
      <c r="T244" s="6"/>
      <c r="U244" s="6"/>
      <c r="V244" s="6"/>
      <c r="W244" s="6"/>
      <c r="X244" s="6"/>
      <c r="Y244" s="6"/>
      <c r="Z244" s="6"/>
      <c r="AA244" s="162"/>
      <c r="AB244" s="6"/>
      <c r="AC244" s="6"/>
      <c r="AE244" s="283">
        <f ca="1">$AE$1-Table4[[#This Row],[Date Captured]]</f>
        <v>40990</v>
      </c>
      <c r="AF244" s="58" t="b">
        <f>IFERROR(OR(Table4[[#This Row],[Status]]="02. Open &amp; Assigned",Table4[[#This Row],[Status]]="01. Open",Table4[[#This Row],[Status]]="03. Action/Mitigation Plan Defined",Table4[[#This Row],[Status]]="04. Action Plan Completed",Table4[[#This Row],[Status]]="08. Blank"),"")</f>
        <v>0</v>
      </c>
      <c r="AG244" s="58" t="str">
        <f>IF(Table4[[#This Row],[Required Risk Resolution Date]]="","FALSE",IF($AE$1&gt;Table4[[#This Row],[Required Risk Resolution Date]],TRUE,FALSE))</f>
        <v>FALSE</v>
      </c>
      <c r="AH244" s="58" t="b">
        <f t="shared" ca="1" si="12"/>
        <v>0</v>
      </c>
      <c r="AI244" s="58" t="b">
        <f t="shared" ca="1" si="13"/>
        <v>0</v>
      </c>
      <c r="AJ244" s="58" t="b">
        <f t="shared" ca="1" si="14"/>
        <v>1</v>
      </c>
      <c r="AK244" s="58" t="b">
        <f>OR(Table4[[#This Row],[Priority]]="Critical",Table4[[#This Row],[Priority]]="High")</f>
        <v>0</v>
      </c>
      <c r="AL244" s="283">
        <f ca="1">Table4[[#This Row],[Required Risk Resolution Date]]-$AE$1</f>
        <v>-40990</v>
      </c>
      <c r="AM244" s="58" t="b">
        <f t="shared" ca="1" si="15"/>
        <v>0</v>
      </c>
      <c r="AN244" s="59" t="b">
        <f>OR(Table4[[#This Row],[Priority]]="Critical",Table4[[#This Row],[Priority]]="High",Table4[[#This Row],[Priority]]="Moderate")</f>
        <v>0</v>
      </c>
    </row>
    <row r="245" spans="1:40">
      <c r="A245" s="60"/>
      <c r="B245" s="60"/>
      <c r="C245" s="60"/>
      <c r="D245" s="60"/>
      <c r="E245" s="6"/>
      <c r="F245" s="6"/>
      <c r="G245" s="6"/>
      <c r="H245" s="6"/>
      <c r="I245" s="323"/>
      <c r="J245" s="6"/>
      <c r="K245" s="6"/>
      <c r="L245" s="6"/>
      <c r="M245" s="6"/>
      <c r="N245" s="6"/>
      <c r="O245" s="6"/>
      <c r="P245" s="6"/>
      <c r="Q245" s="6"/>
      <c r="R245" s="6"/>
      <c r="S245" s="6"/>
      <c r="T245" s="6"/>
      <c r="U245" s="6"/>
      <c r="V245" s="6"/>
      <c r="W245" s="6"/>
      <c r="X245" s="6"/>
      <c r="Y245" s="6"/>
      <c r="Z245" s="6"/>
      <c r="AA245" s="162"/>
      <c r="AB245" s="6"/>
      <c r="AC245" s="6"/>
      <c r="AE245" s="283">
        <f ca="1">$AE$1-Table4[[#This Row],[Date Captured]]</f>
        <v>40990</v>
      </c>
      <c r="AF245" s="58" t="b">
        <f>IFERROR(OR(Table4[[#This Row],[Status]]="02. Open &amp; Assigned",Table4[[#This Row],[Status]]="01. Open",Table4[[#This Row],[Status]]="03. Action/Mitigation Plan Defined",Table4[[#This Row],[Status]]="04. Action Plan Completed",Table4[[#This Row],[Status]]="08. Blank"),"")</f>
        <v>0</v>
      </c>
      <c r="AG245" s="58" t="str">
        <f>IF(Table4[[#This Row],[Required Risk Resolution Date]]="","FALSE",IF($AE$1&gt;Table4[[#This Row],[Required Risk Resolution Date]],TRUE,FALSE))</f>
        <v>FALSE</v>
      </c>
      <c r="AH245" s="58" t="b">
        <f t="shared" ca="1" si="12"/>
        <v>0</v>
      </c>
      <c r="AI245" s="58" t="b">
        <f t="shared" ca="1" si="13"/>
        <v>0</v>
      </c>
      <c r="AJ245" s="58" t="b">
        <f t="shared" ca="1" si="14"/>
        <v>1</v>
      </c>
      <c r="AK245" s="58" t="b">
        <f>OR(Table4[[#This Row],[Priority]]="Critical",Table4[[#This Row],[Priority]]="High")</f>
        <v>0</v>
      </c>
      <c r="AL245" s="283">
        <f ca="1">Table4[[#This Row],[Required Risk Resolution Date]]-$AE$1</f>
        <v>-40990</v>
      </c>
      <c r="AM245" s="58" t="b">
        <f t="shared" ca="1" si="15"/>
        <v>0</v>
      </c>
      <c r="AN245" s="59" t="b">
        <f>OR(Table4[[#This Row],[Priority]]="Critical",Table4[[#This Row],[Priority]]="High",Table4[[#This Row],[Priority]]="Moderate")</f>
        <v>0</v>
      </c>
    </row>
    <row r="246" spans="1:40">
      <c r="A246" s="60"/>
      <c r="B246" s="60"/>
      <c r="C246" s="60"/>
      <c r="D246" s="60"/>
      <c r="E246" s="6"/>
      <c r="F246" s="6"/>
      <c r="G246" s="6"/>
      <c r="H246" s="6"/>
      <c r="I246" s="323"/>
      <c r="J246" s="6"/>
      <c r="K246" s="6"/>
      <c r="L246" s="6"/>
      <c r="M246" s="6"/>
      <c r="N246" s="6"/>
      <c r="O246" s="6"/>
      <c r="P246" s="6"/>
      <c r="Q246" s="6"/>
      <c r="R246" s="6"/>
      <c r="S246" s="6"/>
      <c r="T246" s="6"/>
      <c r="U246" s="6"/>
      <c r="V246" s="6"/>
      <c r="W246" s="6"/>
      <c r="X246" s="6"/>
      <c r="Y246" s="6"/>
      <c r="Z246" s="6"/>
      <c r="AA246" s="162"/>
      <c r="AB246" s="6"/>
      <c r="AC246" s="6"/>
      <c r="AE246" s="283">
        <f ca="1">$AE$1-Table4[[#This Row],[Date Captured]]</f>
        <v>40990</v>
      </c>
      <c r="AF246" s="58" t="b">
        <f>IFERROR(OR(Table4[[#This Row],[Status]]="02. Open &amp; Assigned",Table4[[#This Row],[Status]]="01. Open",Table4[[#This Row],[Status]]="03. Action/Mitigation Plan Defined",Table4[[#This Row],[Status]]="04. Action Plan Completed",Table4[[#This Row],[Status]]="08. Blank"),"")</f>
        <v>0</v>
      </c>
      <c r="AG246" s="58" t="str">
        <f>IF(Table4[[#This Row],[Required Risk Resolution Date]]="","FALSE",IF($AE$1&gt;Table4[[#This Row],[Required Risk Resolution Date]],TRUE,FALSE))</f>
        <v>FALSE</v>
      </c>
      <c r="AH246" s="58" t="b">
        <f t="shared" ca="1" si="12"/>
        <v>0</v>
      </c>
      <c r="AI246" s="58" t="b">
        <f t="shared" ca="1" si="13"/>
        <v>0</v>
      </c>
      <c r="AJ246" s="58" t="b">
        <f t="shared" ca="1" si="14"/>
        <v>1</v>
      </c>
      <c r="AK246" s="58" t="b">
        <f>OR(Table4[[#This Row],[Priority]]="Critical",Table4[[#This Row],[Priority]]="High")</f>
        <v>0</v>
      </c>
      <c r="AL246" s="283">
        <f ca="1">Table4[[#This Row],[Required Risk Resolution Date]]-$AE$1</f>
        <v>-40990</v>
      </c>
      <c r="AM246" s="58" t="b">
        <f t="shared" ca="1" si="15"/>
        <v>0</v>
      </c>
      <c r="AN246" s="59" t="b">
        <f>OR(Table4[[#This Row],[Priority]]="Critical",Table4[[#This Row],[Priority]]="High",Table4[[#This Row],[Priority]]="Moderate")</f>
        <v>0</v>
      </c>
    </row>
    <row r="247" spans="1:40">
      <c r="A247" s="60"/>
      <c r="B247" s="60"/>
      <c r="C247" s="60"/>
      <c r="D247" s="60"/>
      <c r="E247" s="6"/>
      <c r="F247" s="6"/>
      <c r="G247" s="6"/>
      <c r="H247" s="6"/>
      <c r="I247" s="323"/>
      <c r="J247" s="6"/>
      <c r="K247" s="6"/>
      <c r="L247" s="6"/>
      <c r="M247" s="6"/>
      <c r="N247" s="6"/>
      <c r="O247" s="6"/>
      <c r="P247" s="6"/>
      <c r="Q247" s="6"/>
      <c r="R247" s="6"/>
      <c r="S247" s="6"/>
      <c r="T247" s="6"/>
      <c r="U247" s="6"/>
      <c r="V247" s="6"/>
      <c r="W247" s="6"/>
      <c r="X247" s="6"/>
      <c r="Y247" s="6"/>
      <c r="Z247" s="6"/>
      <c r="AA247" s="162"/>
      <c r="AB247" s="6"/>
      <c r="AC247" s="6"/>
      <c r="AE247" s="283">
        <f ca="1">$AE$1-Table4[[#This Row],[Date Captured]]</f>
        <v>40990</v>
      </c>
      <c r="AF247" s="58" t="b">
        <f>IFERROR(OR(Table4[[#This Row],[Status]]="02. Open &amp; Assigned",Table4[[#This Row],[Status]]="01. Open",Table4[[#This Row],[Status]]="03. Action/Mitigation Plan Defined",Table4[[#This Row],[Status]]="04. Action Plan Completed",Table4[[#This Row],[Status]]="08. Blank"),"")</f>
        <v>0</v>
      </c>
      <c r="AG247" s="58" t="str">
        <f>IF(Table4[[#This Row],[Required Risk Resolution Date]]="","FALSE",IF($AE$1&gt;Table4[[#This Row],[Required Risk Resolution Date]],TRUE,FALSE))</f>
        <v>FALSE</v>
      </c>
      <c r="AH247" s="58" t="b">
        <f t="shared" ca="1" si="12"/>
        <v>0</v>
      </c>
      <c r="AI247" s="58" t="b">
        <f t="shared" ca="1" si="13"/>
        <v>0</v>
      </c>
      <c r="AJ247" s="58" t="b">
        <f t="shared" ca="1" si="14"/>
        <v>1</v>
      </c>
      <c r="AK247" s="58" t="b">
        <f>OR(Table4[[#This Row],[Priority]]="Critical",Table4[[#This Row],[Priority]]="High")</f>
        <v>0</v>
      </c>
      <c r="AL247" s="283">
        <f ca="1">Table4[[#This Row],[Required Risk Resolution Date]]-$AE$1</f>
        <v>-40990</v>
      </c>
      <c r="AM247" s="58" t="b">
        <f t="shared" ca="1" si="15"/>
        <v>0</v>
      </c>
      <c r="AN247" s="59" t="b">
        <f>OR(Table4[[#This Row],[Priority]]="Critical",Table4[[#This Row],[Priority]]="High",Table4[[#This Row],[Priority]]="Moderate")</f>
        <v>0</v>
      </c>
    </row>
    <row r="248" spans="1:40">
      <c r="A248" s="60"/>
      <c r="B248" s="60"/>
      <c r="C248" s="60"/>
      <c r="D248" s="60"/>
      <c r="E248" s="6"/>
      <c r="F248" s="6"/>
      <c r="G248" s="6"/>
      <c r="H248" s="6"/>
      <c r="I248" s="323"/>
      <c r="J248" s="6"/>
      <c r="K248" s="6"/>
      <c r="L248" s="6"/>
      <c r="M248" s="6"/>
      <c r="N248" s="6"/>
      <c r="O248" s="6"/>
      <c r="P248" s="6"/>
      <c r="Q248" s="6"/>
      <c r="R248" s="6"/>
      <c r="S248" s="6"/>
      <c r="T248" s="6"/>
      <c r="U248" s="6"/>
      <c r="V248" s="6"/>
      <c r="W248" s="6"/>
      <c r="X248" s="6"/>
      <c r="Y248" s="6"/>
      <c r="Z248" s="6"/>
      <c r="AA248" s="162"/>
      <c r="AB248" s="6"/>
      <c r="AC248" s="6"/>
      <c r="AE248" s="283">
        <f ca="1">$AE$1-Table4[[#This Row],[Date Captured]]</f>
        <v>40990</v>
      </c>
      <c r="AF248" s="58" t="b">
        <f>IFERROR(OR(Table4[[#This Row],[Status]]="02. Open &amp; Assigned",Table4[[#This Row],[Status]]="01. Open",Table4[[#This Row],[Status]]="03. Action/Mitigation Plan Defined",Table4[[#This Row],[Status]]="04. Action Plan Completed",Table4[[#This Row],[Status]]="08. Blank"),"")</f>
        <v>0</v>
      </c>
      <c r="AG248" s="58" t="str">
        <f>IF(Table4[[#This Row],[Required Risk Resolution Date]]="","FALSE",IF($AE$1&gt;Table4[[#This Row],[Required Risk Resolution Date]],TRUE,FALSE))</f>
        <v>FALSE</v>
      </c>
      <c r="AH248" s="58" t="b">
        <f t="shared" ca="1" si="12"/>
        <v>0</v>
      </c>
      <c r="AI248" s="58" t="b">
        <f t="shared" ca="1" si="13"/>
        <v>0</v>
      </c>
      <c r="AJ248" s="58" t="b">
        <f t="shared" ca="1" si="14"/>
        <v>1</v>
      </c>
      <c r="AK248" s="58" t="b">
        <f>OR(Table4[[#This Row],[Priority]]="Critical",Table4[[#This Row],[Priority]]="High")</f>
        <v>0</v>
      </c>
      <c r="AL248" s="283">
        <f ca="1">Table4[[#This Row],[Required Risk Resolution Date]]-$AE$1</f>
        <v>-40990</v>
      </c>
      <c r="AM248" s="58" t="b">
        <f t="shared" ca="1" si="15"/>
        <v>0</v>
      </c>
      <c r="AN248" s="59" t="b">
        <f>OR(Table4[[#This Row],[Priority]]="Critical",Table4[[#This Row],[Priority]]="High",Table4[[#This Row],[Priority]]="Moderate")</f>
        <v>0</v>
      </c>
    </row>
    <row r="249" spans="1:40">
      <c r="A249" s="60"/>
      <c r="B249" s="60"/>
      <c r="C249" s="60"/>
      <c r="D249" s="60"/>
      <c r="E249" s="6"/>
      <c r="F249" s="6"/>
      <c r="G249" s="6"/>
      <c r="H249" s="6"/>
      <c r="I249" s="323"/>
      <c r="J249" s="6"/>
      <c r="K249" s="6"/>
      <c r="L249" s="6"/>
      <c r="M249" s="6"/>
      <c r="N249" s="6"/>
      <c r="O249" s="6"/>
      <c r="P249" s="6"/>
      <c r="Q249" s="6"/>
      <c r="R249" s="6"/>
      <c r="S249" s="6"/>
      <c r="T249" s="6"/>
      <c r="U249" s="6"/>
      <c r="V249" s="6"/>
      <c r="W249" s="6"/>
      <c r="X249" s="6"/>
      <c r="Y249" s="6"/>
      <c r="Z249" s="6"/>
      <c r="AA249" s="162"/>
      <c r="AB249" s="6"/>
      <c r="AC249" s="6"/>
      <c r="AE249" s="283">
        <f ca="1">$AE$1-Table4[[#This Row],[Date Captured]]</f>
        <v>40990</v>
      </c>
      <c r="AF249" s="58" t="b">
        <f>IFERROR(OR(Table4[[#This Row],[Status]]="02. Open &amp; Assigned",Table4[[#This Row],[Status]]="01. Open",Table4[[#This Row],[Status]]="03. Action/Mitigation Plan Defined",Table4[[#This Row],[Status]]="04. Action Plan Completed",Table4[[#This Row],[Status]]="08. Blank"),"")</f>
        <v>0</v>
      </c>
      <c r="AG249" s="58" t="str">
        <f>IF(Table4[[#This Row],[Required Risk Resolution Date]]="","FALSE",IF($AE$1&gt;Table4[[#This Row],[Required Risk Resolution Date]],TRUE,FALSE))</f>
        <v>FALSE</v>
      </c>
      <c r="AH249" s="58" t="b">
        <f t="shared" ca="1" si="12"/>
        <v>0</v>
      </c>
      <c r="AI249" s="58" t="b">
        <f t="shared" ca="1" si="13"/>
        <v>0</v>
      </c>
      <c r="AJ249" s="58" t="b">
        <f t="shared" ca="1" si="14"/>
        <v>1</v>
      </c>
      <c r="AK249" s="58" t="b">
        <f>OR(Table4[[#This Row],[Priority]]="Critical",Table4[[#This Row],[Priority]]="High")</f>
        <v>0</v>
      </c>
      <c r="AL249" s="283">
        <f ca="1">Table4[[#This Row],[Required Risk Resolution Date]]-$AE$1</f>
        <v>-40990</v>
      </c>
      <c r="AM249" s="58" t="b">
        <f t="shared" ca="1" si="15"/>
        <v>0</v>
      </c>
      <c r="AN249" s="59" t="b">
        <f>OR(Table4[[#This Row],[Priority]]="Critical",Table4[[#This Row],[Priority]]="High",Table4[[#This Row],[Priority]]="Moderate")</f>
        <v>0</v>
      </c>
    </row>
    <row r="250" spans="1:40">
      <c r="A250" s="60"/>
      <c r="B250" s="60"/>
      <c r="C250" s="60"/>
      <c r="D250" s="60"/>
      <c r="E250" s="6"/>
      <c r="F250" s="6"/>
      <c r="G250" s="6"/>
      <c r="H250" s="6"/>
      <c r="I250" s="323"/>
      <c r="J250" s="6"/>
      <c r="K250" s="6"/>
      <c r="L250" s="6"/>
      <c r="M250" s="6"/>
      <c r="N250" s="6"/>
      <c r="O250" s="6"/>
      <c r="P250" s="6"/>
      <c r="Q250" s="6"/>
      <c r="R250" s="6"/>
      <c r="S250" s="6"/>
      <c r="T250" s="6"/>
      <c r="U250" s="6"/>
      <c r="V250" s="6"/>
      <c r="W250" s="6"/>
      <c r="X250" s="6"/>
      <c r="Y250" s="6"/>
      <c r="Z250" s="6"/>
      <c r="AA250" s="162"/>
      <c r="AB250" s="6"/>
      <c r="AC250" s="6"/>
      <c r="AE250" s="283">
        <f ca="1">$AE$1-Table4[[#This Row],[Date Captured]]</f>
        <v>40990</v>
      </c>
      <c r="AF250" s="58" t="b">
        <f>IFERROR(OR(Table4[[#This Row],[Status]]="02. Open &amp; Assigned",Table4[[#This Row],[Status]]="01. Open",Table4[[#This Row],[Status]]="03. Action/Mitigation Plan Defined",Table4[[#This Row],[Status]]="04. Action Plan Completed",Table4[[#This Row],[Status]]="08. Blank"),"")</f>
        <v>0</v>
      </c>
      <c r="AG250" s="58" t="str">
        <f>IF(Table4[[#This Row],[Required Risk Resolution Date]]="","FALSE",IF($AE$1&gt;Table4[[#This Row],[Required Risk Resolution Date]],TRUE,FALSE))</f>
        <v>FALSE</v>
      </c>
      <c r="AH250" s="58" t="b">
        <f t="shared" ca="1" si="12"/>
        <v>0</v>
      </c>
      <c r="AI250" s="58" t="b">
        <f t="shared" ca="1" si="13"/>
        <v>0</v>
      </c>
      <c r="AJ250" s="58" t="b">
        <f t="shared" ca="1" si="14"/>
        <v>1</v>
      </c>
      <c r="AK250" s="58" t="b">
        <f>OR(Table4[[#This Row],[Priority]]="Critical",Table4[[#This Row],[Priority]]="High")</f>
        <v>0</v>
      </c>
      <c r="AL250" s="283">
        <f ca="1">Table4[[#This Row],[Required Risk Resolution Date]]-$AE$1</f>
        <v>-40990</v>
      </c>
      <c r="AM250" s="58" t="b">
        <f t="shared" ca="1" si="15"/>
        <v>0</v>
      </c>
      <c r="AN250" s="59" t="b">
        <f>OR(Table4[[#This Row],[Priority]]="Critical",Table4[[#This Row],[Priority]]="High",Table4[[#This Row],[Priority]]="Moderate")</f>
        <v>0</v>
      </c>
    </row>
    <row r="251" spans="1:40">
      <c r="A251" s="60"/>
      <c r="B251" s="60"/>
      <c r="C251" s="60"/>
      <c r="D251" s="60"/>
      <c r="E251" s="6"/>
      <c r="F251" s="6"/>
      <c r="G251" s="6"/>
      <c r="H251" s="6"/>
      <c r="I251" s="323"/>
      <c r="J251" s="6"/>
      <c r="K251" s="6"/>
      <c r="L251" s="6"/>
      <c r="M251" s="6"/>
      <c r="N251" s="6"/>
      <c r="O251" s="6"/>
      <c r="P251" s="6"/>
      <c r="Q251" s="6"/>
      <c r="R251" s="6"/>
      <c r="S251" s="6"/>
      <c r="T251" s="6"/>
      <c r="U251" s="6"/>
      <c r="V251" s="6"/>
      <c r="W251" s="6"/>
      <c r="X251" s="6"/>
      <c r="Y251" s="6"/>
      <c r="Z251" s="6"/>
      <c r="AA251" s="162"/>
      <c r="AB251" s="6"/>
      <c r="AC251" s="6"/>
      <c r="AE251" s="283">
        <f ca="1">$AE$1-Table4[[#This Row],[Date Captured]]</f>
        <v>40990</v>
      </c>
      <c r="AF251" s="58" t="b">
        <f>IFERROR(OR(Table4[[#This Row],[Status]]="02. Open &amp; Assigned",Table4[[#This Row],[Status]]="01. Open",Table4[[#This Row],[Status]]="03. Action/Mitigation Plan Defined",Table4[[#This Row],[Status]]="04. Action Plan Completed",Table4[[#This Row],[Status]]="08. Blank"),"")</f>
        <v>0</v>
      </c>
      <c r="AG251" s="58" t="str">
        <f>IF(Table4[[#This Row],[Required Risk Resolution Date]]="","FALSE",IF($AE$1&gt;Table4[[#This Row],[Required Risk Resolution Date]],TRUE,FALSE))</f>
        <v>FALSE</v>
      </c>
      <c r="AH251" s="58" t="b">
        <f t="shared" ca="1" si="12"/>
        <v>0</v>
      </c>
      <c r="AI251" s="58" t="b">
        <f t="shared" ca="1" si="13"/>
        <v>0</v>
      </c>
      <c r="AJ251" s="58" t="b">
        <f t="shared" ca="1" si="14"/>
        <v>1</v>
      </c>
      <c r="AK251" s="58" t="b">
        <f>OR(Table4[[#This Row],[Priority]]="Critical",Table4[[#This Row],[Priority]]="High")</f>
        <v>0</v>
      </c>
      <c r="AL251" s="283">
        <f ca="1">Table4[[#This Row],[Required Risk Resolution Date]]-$AE$1</f>
        <v>-40990</v>
      </c>
      <c r="AM251" s="58" t="b">
        <f t="shared" ca="1" si="15"/>
        <v>0</v>
      </c>
      <c r="AN251" s="59" t="b">
        <f>OR(Table4[[#This Row],[Priority]]="Critical",Table4[[#This Row],[Priority]]="High",Table4[[#This Row],[Priority]]="Moderate")</f>
        <v>0</v>
      </c>
    </row>
    <row r="252" spans="1:40">
      <c r="A252" s="60"/>
      <c r="B252" s="61"/>
      <c r="C252" s="60"/>
      <c r="D252" s="60"/>
      <c r="E252" s="6"/>
      <c r="F252" s="6"/>
      <c r="G252" s="6"/>
      <c r="H252" s="6"/>
      <c r="I252" s="323"/>
      <c r="J252" s="6"/>
      <c r="K252" s="6"/>
      <c r="L252" s="6"/>
      <c r="M252" s="6"/>
      <c r="N252" s="6"/>
      <c r="O252" s="6"/>
      <c r="P252" s="6"/>
      <c r="Q252" s="6"/>
      <c r="R252" s="6"/>
      <c r="S252" s="6"/>
      <c r="T252" s="6"/>
      <c r="U252" s="6"/>
      <c r="V252" s="6"/>
      <c r="W252" s="6"/>
      <c r="X252" s="6"/>
      <c r="Y252" s="6"/>
      <c r="Z252" s="6"/>
      <c r="AA252" s="162"/>
      <c r="AB252" s="6"/>
      <c r="AC252" s="6"/>
      <c r="AE252" s="283">
        <f ca="1">$AE$1-Table4[[#This Row],[Date Captured]]</f>
        <v>40990</v>
      </c>
      <c r="AF252" s="58" t="b">
        <f>IFERROR(OR(Table4[[#This Row],[Status]]="02. Open &amp; Assigned",Table4[[#This Row],[Status]]="01. Open",Table4[[#This Row],[Status]]="03. Action/Mitigation Plan Defined",Table4[[#This Row],[Status]]="04. Action Plan Completed",Table4[[#This Row],[Status]]="08. Blank"),"")</f>
        <v>0</v>
      </c>
      <c r="AG252" s="58" t="str">
        <f>IF(Table4[[#This Row],[Required Risk Resolution Date]]="","FALSE",IF($AE$1&gt;Table4[[#This Row],[Required Risk Resolution Date]],TRUE,FALSE))</f>
        <v>FALSE</v>
      </c>
      <c r="AH252" s="58" t="b">
        <f t="shared" ca="1" si="12"/>
        <v>0</v>
      </c>
      <c r="AI252" s="58" t="b">
        <f t="shared" ca="1" si="13"/>
        <v>0</v>
      </c>
      <c r="AJ252" s="58" t="b">
        <f t="shared" ca="1" si="14"/>
        <v>1</v>
      </c>
      <c r="AK252" s="58" t="b">
        <f>OR(Table4[[#This Row],[Priority]]="Critical",Table4[[#This Row],[Priority]]="High")</f>
        <v>0</v>
      </c>
      <c r="AL252" s="283">
        <f ca="1">Table4[[#This Row],[Required Risk Resolution Date]]-$AE$1</f>
        <v>-40990</v>
      </c>
      <c r="AM252" s="58" t="b">
        <f t="shared" ca="1" si="15"/>
        <v>0</v>
      </c>
      <c r="AN252" s="59" t="b">
        <f>OR(Table4[[#This Row],[Priority]]="Critical",Table4[[#This Row],[Priority]]="High",Table4[[#This Row],[Priority]]="Moderate")</f>
        <v>0</v>
      </c>
    </row>
    <row r="254" spans="1:40">
      <c r="A254" s="216"/>
      <c r="B254" s="61"/>
      <c r="C254" s="60"/>
      <c r="D254" s="60"/>
      <c r="E254" s="6"/>
      <c r="F254" s="6"/>
      <c r="G254" s="6"/>
      <c r="H254" s="6"/>
      <c r="I254" s="323"/>
      <c r="J254" s="6"/>
      <c r="K254" s="6"/>
      <c r="L254" s="6"/>
      <c r="M254" s="6"/>
      <c r="N254" s="6"/>
      <c r="O254" s="6"/>
      <c r="P254" s="6"/>
      <c r="Q254" s="6"/>
      <c r="R254" s="6"/>
      <c r="S254" s="6"/>
      <c r="T254" s="6"/>
      <c r="U254" s="6"/>
      <c r="V254" s="6"/>
      <c r="W254" s="6"/>
      <c r="X254" s="218"/>
      <c r="Y254" s="6"/>
      <c r="Z254" s="6"/>
      <c r="AA254" s="162"/>
      <c r="AB254" s="6"/>
      <c r="AC254" s="217"/>
    </row>
    <row r="255" spans="1:40">
      <c r="A255" s="216"/>
      <c r="B255" s="60"/>
      <c r="C255" s="60"/>
      <c r="D255" s="60"/>
      <c r="E255" s="6"/>
      <c r="F255" s="6"/>
      <c r="G255" s="6"/>
      <c r="H255" s="6"/>
      <c r="I255" s="323"/>
      <c r="J255" s="6"/>
      <c r="K255" s="6"/>
      <c r="L255" s="6"/>
      <c r="M255" s="6"/>
      <c r="N255" s="6"/>
      <c r="O255" s="6"/>
      <c r="P255" s="6"/>
      <c r="Q255" s="6"/>
      <c r="R255" s="6"/>
      <c r="S255" s="6"/>
      <c r="T255" s="6"/>
      <c r="U255" s="6"/>
      <c r="V255" s="6"/>
      <c r="W255" s="6"/>
      <c r="X255" s="6"/>
      <c r="Y255" s="6"/>
      <c r="Z255" s="6"/>
      <c r="AA255" s="162"/>
      <c r="AB255" s="6"/>
      <c r="AC255" s="217"/>
    </row>
    <row r="256" spans="1:40" s="368" customFormat="1">
      <c r="Y256" s="378"/>
      <c r="Z256" s="378"/>
      <c r="AA256" s="378"/>
      <c r="AB256" s="379"/>
      <c r="AC256" s="378"/>
      <c r="AD256" s="367"/>
      <c r="AG256" s="368" t="b">
        <v>1</v>
      </c>
      <c r="AH256" s="368" t="s">
        <v>2172</v>
      </c>
    </row>
    <row r="257" spans="25:34" s="368" customFormat="1">
      <c r="Y257" s="378"/>
      <c r="Z257" s="378"/>
      <c r="AA257" s="378"/>
      <c r="AB257" s="379"/>
      <c r="AC257" s="378"/>
      <c r="AD257" s="367"/>
      <c r="AG257" s="368" t="b">
        <v>1</v>
      </c>
      <c r="AH257" s="368" t="s">
        <v>2172</v>
      </c>
    </row>
    <row r="258" spans="25:34" s="368" customFormat="1">
      <c r="Y258" s="378"/>
      <c r="Z258" s="378"/>
      <c r="AA258" s="378"/>
      <c r="AB258" s="379"/>
      <c r="AC258" s="378"/>
      <c r="AD258" s="367"/>
      <c r="AG258" s="368" t="b">
        <v>1</v>
      </c>
      <c r="AH258" s="368" t="s">
        <v>2172</v>
      </c>
    </row>
    <row r="259" spans="25:34" s="368" customFormat="1">
      <c r="Y259" s="378"/>
      <c r="Z259" s="378"/>
      <c r="AA259" s="378"/>
      <c r="AB259" s="379"/>
      <c r="AC259" s="378"/>
      <c r="AD259" s="367"/>
      <c r="AG259" s="368" t="b">
        <v>1</v>
      </c>
      <c r="AH259" s="368" t="s">
        <v>2172</v>
      </c>
    </row>
  </sheetData>
  <conditionalFormatting sqref="M254 M2:M109 M111:M116 M121:M252">
    <cfRule type="containsText" dxfId="152" priority="137" operator="containsText" text="03. Impacts &gt; 3 Months">
      <formula>NOT(ISERROR(SEARCH("03. Impacts &gt; 3 Months",M2)))</formula>
    </cfRule>
    <cfRule type="containsText" dxfId="151" priority="138" operator="containsText" text="02. Impacts &gt; 4 Weeks &lt; 3 Months ">
      <formula>NOT(ISERROR(SEARCH("02. Impacts &gt; 4 Weeks &lt; 3 Months ",M2)))</formula>
    </cfRule>
    <cfRule type="containsText" dxfId="150" priority="141" operator="containsText" text="01. Impacts &lt; 4 weeks">
      <formula>NOT(ISERROR(SEARCH("01. Impacts &lt; 4 weeks",M2)))</formula>
    </cfRule>
  </conditionalFormatting>
  <conditionalFormatting sqref="N254:S254 L254 N2:S109 L260:L1048576 N111:S116 L1:L252 N121:S252">
    <cfRule type="containsText" dxfId="149" priority="133" operator="containsText" text="05. Critical">
      <formula>NOT(ISERROR(SEARCH("05. Critical",L1)))</formula>
    </cfRule>
  </conditionalFormatting>
  <conditionalFormatting sqref="L254 L1:L109 L111:L252">
    <cfRule type="containsText" dxfId="148" priority="132" operator="containsText" text="02. Low">
      <formula>NOT(ISERROR(SEARCH("02. Low",L1)))</formula>
    </cfRule>
  </conditionalFormatting>
  <conditionalFormatting sqref="B254:D254 F112:T112 F254:T254 X254:XFD255 Y256:XFD1048576 A260:X1048576 V254:W254 A112:D112 F1 Z1 U1:W1 Z5 U4:U12 Z11:Z12 AB1:AB12 Z14:Z16 X1:Y16 G12:G18 V17:V22 U14:U22 Z22 G21:G23 H23:J23 T1:T23 AB14:AB25 G26:G27 B1:B30 J29:J30 X29:X30 Y28:AB30 X37:AA38 X20:Y25 AB37:AB40 B43 G43 T43:V43 Z46 AB46 G47 AA46:AA47 X46:Y47 U48:U49 T46:T49 V54:V55 T54:U57 X60:AB60 J60:J61 B74 X72:AB74 W76 T76:U76 X76:AB84 AA1:AA25 G40 F39:F40 H39:J40 K1:K43 K45:K50 H1:J18 H17:I21 H23:I24 H29:I29 H46:I48 H50:I50 H54:I56 H71:I71 K52:K63 U96:U103 G96:G105 A1:A109 U105:U109 F96:F109 B96:B109 G107:G109 H96:J109 T96:T109 A110:XFD111 L1:S109 AE108:AE252 AH110:AM252 V112:XFD112 A254:A255 K65:K89 K92:K109 G1:G10 C1:E109 V96:AB109 AC1:XFD109 AN4:AN252 A113:XFD252">
    <cfRule type="containsText" dxfId="147" priority="129" operator="containsText" text="04. High">
      <formula>NOT(ISERROR(SEARCH("04. High",A1)))</formula>
    </cfRule>
    <cfRule type="containsText" dxfId="146" priority="130" operator="containsText" text="03. Medium">
      <formula>NOT(ISERROR(SEARCH("03. Medium",A1)))</formula>
    </cfRule>
    <cfRule type="containsText" dxfId="145" priority="131" operator="containsText" text="02. Low">
      <formula>NOT(ISERROR(SEARCH("02. Low",A1)))</formula>
    </cfRule>
  </conditionalFormatting>
  <conditionalFormatting sqref="P254:S254 P2:S109 P111:S116 P121:S252">
    <cfRule type="containsText" dxfId="144" priority="124" operator="containsText" text="04. High">
      <formula>NOT(ISERROR(SEARCH("04. High",P2)))</formula>
    </cfRule>
    <cfRule type="containsText" dxfId="143" priority="125" operator="containsText" text="03. Moderate">
      <formula>NOT(ISERROR(SEARCH("03. Moderate",P2)))</formula>
    </cfRule>
    <cfRule type="containsText" dxfId="142" priority="126" operator="containsText" text="02. Low">
      <formula>NOT(ISERROR(SEARCH("02. Low",P2)))</formula>
    </cfRule>
  </conditionalFormatting>
  <conditionalFormatting sqref="J39">
    <cfRule type="containsText" dxfId="141" priority="118" operator="containsText" text="All">
      <formula>NOT(ISERROR(SEARCH("All",J39)))</formula>
    </cfRule>
    <cfRule type="containsText" dxfId="140" priority="119" operator="containsText" text="Other">
      <formula>NOT(ISERROR(SEARCH("Other",J39)))</formula>
    </cfRule>
    <cfRule type="containsText" dxfId="139" priority="120" operator="containsText" text="Change Management">
      <formula>NOT(ISERROR(SEARCH("Change Management",J39)))</formula>
    </cfRule>
    <cfRule type="containsText" dxfId="138" priority="121" operator="containsText" text="Technology Foundation">
      <formula>NOT(ISERROR(SEARCH("Technology Foundation",J39)))</formula>
    </cfRule>
    <cfRule type="containsText" dxfId="137" priority="122" operator="containsText" text="Unified Communications">
      <formula>NOT(ISERROR(SEARCH("Unified Communications",J39)))</formula>
    </cfRule>
    <cfRule type="containsText" dxfId="136" priority="123" operator="containsText" text="My EY">
      <formula>NOT(ISERROR(SEARCH("My EY",J39)))</formula>
    </cfRule>
  </conditionalFormatting>
  <conditionalFormatting sqref="J39">
    <cfRule type="cellIs" dxfId="135" priority="116" operator="equal">
      <formula>"Application Migration"</formula>
    </cfRule>
    <cfRule type="cellIs" dxfId="134" priority="117" operator="equal">
      <formula>"Application Migration"</formula>
    </cfRule>
  </conditionalFormatting>
  <conditionalFormatting sqref="L260:L1048576 L1:L254">
    <cfRule type="cellIs" dxfId="133" priority="106" operator="equal">
      <formula>"Minor"</formula>
    </cfRule>
    <cfRule type="cellIs" dxfId="132" priority="107" operator="equal">
      <formula>"Moderate"</formula>
    </cfRule>
    <cfRule type="cellIs" dxfId="131" priority="108" operator="equal">
      <formula>"High"</formula>
    </cfRule>
    <cfRule type="cellIs" dxfId="130" priority="109" operator="equal">
      <formula>"Critical"</formula>
    </cfRule>
  </conditionalFormatting>
  <conditionalFormatting sqref="M117:M120">
    <cfRule type="containsText" dxfId="129" priority="74" operator="containsText" text="03. Impacts &gt; 3 Months">
      <formula>NOT(ISERROR(SEARCH("03. Impacts &gt; 3 Months",M117)))</formula>
    </cfRule>
    <cfRule type="containsText" dxfId="128" priority="75" operator="containsText" text="02. Impacts &gt; 4 Weeks &lt; 3 Months ">
      <formula>NOT(ISERROR(SEARCH("02. Impacts &gt; 4 Weeks &lt; 3 Months ",M117)))</formula>
    </cfRule>
    <cfRule type="containsText" dxfId="127" priority="76" operator="containsText" text="01. Impacts &lt; 4 weeks">
      <formula>NOT(ISERROR(SEARCH("01. Impacts &lt; 4 weeks",M117)))</formula>
    </cfRule>
  </conditionalFormatting>
  <conditionalFormatting sqref="N117:S120">
    <cfRule type="containsText" dxfId="126" priority="69" operator="containsText" text="05. Critical">
      <formula>NOT(ISERROR(SEARCH("05. Critical",N117)))</formula>
    </cfRule>
  </conditionalFormatting>
  <conditionalFormatting sqref="P117:S120">
    <cfRule type="containsText" dxfId="125" priority="66" operator="containsText" text="04. High">
      <formula>NOT(ISERROR(SEARCH("04. High",P117)))</formula>
    </cfRule>
    <cfRule type="containsText" dxfId="124" priority="67" operator="containsText" text="03. Moderate">
      <formula>NOT(ISERROR(SEARCH("03. Moderate",P117)))</formula>
    </cfRule>
    <cfRule type="containsText" dxfId="123" priority="68" operator="containsText" text="02. Low">
      <formula>NOT(ISERROR(SEARCH("02. Low",P117)))</formula>
    </cfRule>
  </conditionalFormatting>
  <conditionalFormatting sqref="M122">
    <cfRule type="containsText" dxfId="122" priority="28" operator="containsText" text="03. Impacts &gt; 3 Months">
      <formula>NOT(ISERROR(SEARCH("03. Impacts &gt; 3 Months",M122)))</formula>
    </cfRule>
    <cfRule type="containsText" dxfId="121" priority="29" operator="containsText" text="02. Impacts &gt; 4 Weeks &lt; 3 Months ">
      <formula>NOT(ISERROR(SEARCH("02. Impacts &gt; 4 Weeks &lt; 3 Months ",M122)))</formula>
    </cfRule>
    <cfRule type="containsText" dxfId="120" priority="30" operator="containsText" text="01. Impacts &lt; 4 weeks">
      <formula>NOT(ISERROR(SEARCH("01. Impacts &lt; 4 weeks",M122)))</formula>
    </cfRule>
  </conditionalFormatting>
  <conditionalFormatting sqref="N122:S122">
    <cfRule type="containsText" dxfId="119" priority="27" operator="containsText" text="05. Critical">
      <formula>NOT(ISERROR(SEARCH("05. Critical",N122)))</formula>
    </cfRule>
  </conditionalFormatting>
  <conditionalFormatting sqref="P122:S122">
    <cfRule type="containsText" dxfId="118" priority="24" operator="containsText" text="04. High">
      <formula>NOT(ISERROR(SEARCH("04. High",P122)))</formula>
    </cfRule>
    <cfRule type="containsText" dxfId="117" priority="25" operator="containsText" text="03. Moderate">
      <formula>NOT(ISERROR(SEARCH("03. Moderate",P122)))</formula>
    </cfRule>
    <cfRule type="containsText" dxfId="116" priority="26" operator="containsText" text="02. Low">
      <formula>NOT(ISERROR(SEARCH("02. Low",P122)))</formula>
    </cfRule>
  </conditionalFormatting>
  <conditionalFormatting sqref="M123">
    <cfRule type="containsText" dxfId="115" priority="8" operator="containsText" text="03. Impacts &gt; 3 Months">
      <formula>NOT(ISERROR(SEARCH("03. Impacts &gt; 3 Months",M123)))</formula>
    </cfRule>
    <cfRule type="containsText" dxfId="114" priority="9" operator="containsText" text="02. Impacts &gt; 4 Weeks &lt; 3 Months ">
      <formula>NOT(ISERROR(SEARCH("02. Impacts &gt; 4 Weeks &lt; 3 Months ",M123)))</formula>
    </cfRule>
    <cfRule type="containsText" dxfId="113" priority="10" operator="containsText" text="01. Impacts &lt; 4 weeks">
      <formula>NOT(ISERROR(SEARCH("01. Impacts &lt; 4 weeks",M123)))</formula>
    </cfRule>
  </conditionalFormatting>
  <conditionalFormatting sqref="N123:S123">
    <cfRule type="containsText" dxfId="112" priority="7" operator="containsText" text="05. Critical">
      <formula>NOT(ISERROR(SEARCH("05. Critical",N123)))</formula>
    </cfRule>
  </conditionalFormatting>
  <conditionalFormatting sqref="P123:S123">
    <cfRule type="containsText" dxfId="111" priority="4" operator="containsText" text="04. High">
      <formula>NOT(ISERROR(SEARCH("04. High",P123)))</formula>
    </cfRule>
    <cfRule type="containsText" dxfId="110" priority="5" operator="containsText" text="03. Moderate">
      <formula>NOT(ISERROR(SEARCH("03. Moderate",P123)))</formula>
    </cfRule>
    <cfRule type="containsText" dxfId="109" priority="6" operator="containsText" text="02. Low">
      <formula>NOT(ISERROR(SEARCH("02. Low",P123)))</formula>
    </cfRule>
  </conditionalFormatting>
  <dataValidations count="11">
    <dataValidation type="list" allowBlank="1" showInputMessage="1" showErrorMessage="1" sqref="M2:M109 JJ256:JJ259 TF256:TF259 ADB256:ADB259 AMX256:AMX259 AWT256:AWT259 BGP256:BGP259 BQL256:BQL259 CAH256:CAH259 CKD256:CKD259 CTZ256:CTZ259 DDV256:DDV259 DNR256:DNR259 DXN256:DXN259 EHJ256:EHJ259 ERF256:ERF259 FBB256:FBB259 FKX256:FKX259 FUT256:FUT259 GEP256:GEP259 GOL256:GOL259 GYH256:GYH259 HID256:HID259 HRZ256:HRZ259 IBV256:IBV259 ILR256:ILR259 IVN256:IVN259 JFJ256:JFJ259 JPF256:JPF259 JZB256:JZB259 KIX256:KIX259 KST256:KST259 LCP256:LCP259 LML256:LML259 LWH256:LWH259 MGD256:MGD259 MPZ256:MPZ259 MZV256:MZV259 NJR256:NJR259 NTN256:NTN259 ODJ256:ODJ259 ONF256:ONF259 OXB256:OXB259 PGX256:PGX259 PQT256:PQT259 QAP256:QAP259 QKL256:QKL259 QUH256:QUH259 RED256:RED259 RNZ256:RNZ259 RXV256:RXV259 SHR256:SHR259 SRN256:SRN259 TBJ256:TBJ259 TLF256:TLF259 TVB256:TVB259 UEX256:UEX259 UOT256:UOT259 UYP256:UYP259 VIL256:VIL259 VSH256:VSH259 WCD256:WCD259 WLZ256:WLZ259 WVV256:WVV259 M113:M252">
      <formula1>"01. Impact &lt; 4 weeks, 02. Impact &gt; 4 Weeks &lt; 3 Months, 03. Impact &gt; 3 Months"</formula1>
    </dataValidation>
    <dataValidation type="list" allowBlank="1" showInputMessage="1" showErrorMessage="1" sqref="M260:M1048576 M110:M112 M254 M1">
      <formula1>"01. Impact &lt; 4 weeks, 02. Impact &gt; 4 Weeks &lt; 3 Months , 03. Impact &gt; 3 Months"</formula1>
    </dataValidation>
    <dataValidation type="list" allowBlank="1" showInputMessage="1" showErrorMessage="1" sqref="Y260:Y1048576 Y254:Y255 WWH256:WWH259 Z256:Z259 JV256:JV259 TR256:TR259 ADN256:ADN259 ANJ256:ANJ259 AXF256:AXF259 BHB256:BHB259 BQX256:BQX259 CAT256:CAT259 CKP256:CKP259 CUL256:CUL259 DEH256:DEH259 DOD256:DOD259 DXZ256:DXZ259 EHV256:EHV259 ERR256:ERR259 FBN256:FBN259 FLJ256:FLJ259 FVF256:FVF259 GFB256:GFB259 GOX256:GOX259 GYT256:GYT259 HIP256:HIP259 HSL256:HSL259 ICH256:ICH259 IMD256:IMD259 IVZ256:IVZ259 JFV256:JFV259 JPR256:JPR259 JZN256:JZN259 KJJ256:KJJ259 KTF256:KTF259 LDB256:LDB259 LMX256:LMX259 LWT256:LWT259 MGP256:MGP259 MQL256:MQL259 NAH256:NAH259 NKD256:NKD259 NTZ256:NTZ259 ODV256:ODV259 ONR256:ONR259 OXN256:OXN259 PHJ256:PHJ259 PRF256:PRF259 QBB256:QBB259 QKX256:QKX259 QUT256:QUT259 REP256:REP259 ROL256:ROL259 RYH256:RYH259 SID256:SID259 SRZ256:SRZ259 TBV256:TBV259 TLR256:TLR259 TVN256:TVN259 UFJ256:UFJ259 UPF256:UPF259 UZB256:UZB259 VIX256:VIX259 VST256:VST259 WCP256:WCP259 WML256:WML259 Y1:Y8 Y10:Y252">
      <formula1>"Project Manager, Program Manager, Program Director, Managing Sponsor, Executive Sponsor, Other"</formula1>
    </dataValidation>
    <dataValidation type="list" allowBlank="1" showInputMessage="1" showErrorMessage="1" sqref="T260:T1048576 T254 WWC256:WWC259 JQ256:JQ259 TM256:TM259 ADI256:ADI259 ANE256:ANE259 AXA256:AXA259 BGW256:BGW259 BQS256:BQS259 CAO256:CAO259 CKK256:CKK259 CUG256:CUG259 DEC256:DEC259 DNY256:DNY259 DXU256:DXU259 EHQ256:EHQ259 ERM256:ERM259 FBI256:FBI259 FLE256:FLE259 FVA256:FVA259 GEW256:GEW259 GOS256:GOS259 GYO256:GYO259 HIK256:HIK259 HSG256:HSG259 ICC256:ICC259 ILY256:ILY259 IVU256:IVU259 JFQ256:JFQ259 JPM256:JPM259 JZI256:JZI259 KJE256:KJE259 KTA256:KTA259 LCW256:LCW259 LMS256:LMS259 LWO256:LWO259 MGK256:MGK259 MQG256:MQG259 NAC256:NAC259 NJY256:NJY259 NTU256:NTU259 ODQ256:ODQ259 ONM256:ONM259 OXI256:OXI259 PHE256:PHE259 PRA256:PRA259 QAW256:QAW259 QKS256:QKS259 QUO256:QUO259 REK256:REK259 ROG256:ROG259 RYC256:RYC259 SHY256:SHY259 SRU256:SRU259 TBQ256:TBQ259 TLM256:TLM259 TVI256:TVI259 UFE256:UFE259 UPA256:UPA259 UYW256:UYW259 VIS256:VIS259 VSO256:VSO259 WCK256:WCK259 WMG256:WMG259 T1:T252">
      <formula1>"Undecided, Avoidance, Mitigation, Acceptance"</formula1>
    </dataValidation>
    <dataValidation type="list" allowBlank="1" showInputMessage="1" showErrorMessage="1" sqref="O254:R254 WVX256:WWA259 JL256:JO259 TH256:TK259 ADD256:ADG259 AMZ256:ANC259 AWV256:AWY259 BGR256:BGU259 BQN256:BQQ259 CAJ256:CAM259 CKF256:CKI259 CUB256:CUE259 DDX256:DEA259 DNT256:DNW259 DXP256:DXS259 EHL256:EHO259 ERH256:ERK259 FBD256:FBG259 FKZ256:FLC259 FUV256:FUY259 GER256:GEU259 GON256:GOQ259 GYJ256:GYM259 HIF256:HII259 HSB256:HSE259 IBX256:ICA259 ILT256:ILW259 IVP256:IVS259 JFL256:JFO259 JPH256:JPK259 JZD256:JZG259 KIZ256:KJC259 KSV256:KSY259 LCR256:LCU259 LMN256:LMQ259 LWJ256:LWM259 MGF256:MGI259 MQB256:MQE259 MZX256:NAA259 NJT256:NJW259 NTP256:NTS259 ODL256:ODO259 ONH256:ONK259 OXD256:OXG259 PGZ256:PHC259 PQV256:PQY259 QAR256:QAU259 QKN256:QKQ259 QUJ256:QUM259 REF256:REI259 ROB256:ROE259 RXX256:RYA259 SHT256:SHW259 SRP256:SRS259 TBL256:TBO259 TLH256:TLK259 TVD256:TVG259 UEZ256:UFC259 UOV256:UOY259 UYR256:UYU259 VIN256:VIQ259 VSJ256:VSM259 WCF256:WCI259 WMB256:WME259 O260:R1048576 O1:R252">
      <formula1>"00. Undecided, 01. Low, 02. Medium, 03. High, 04. Critical"</formula1>
    </dataValidation>
    <dataValidation type="list" allowBlank="1" showInputMessage="1" showErrorMessage="1" sqref="D260:D1048576 D254 WVM256:WVM259 JA256:JA259 SW256:SW259 ACS256:ACS259 AMO256:AMO259 AWK256:AWK259 BGG256:BGG259 BQC256:BQC259 BZY256:BZY259 CJU256:CJU259 CTQ256:CTQ259 DDM256:DDM259 DNI256:DNI259 DXE256:DXE259 EHA256:EHA259 EQW256:EQW259 FAS256:FAS259 FKO256:FKO259 FUK256:FUK259 GEG256:GEG259 GOC256:GOC259 GXY256:GXY259 HHU256:HHU259 HRQ256:HRQ259 IBM256:IBM259 ILI256:ILI259 IVE256:IVE259 JFA256:JFA259 JOW256:JOW259 JYS256:JYS259 KIO256:KIO259 KSK256:KSK259 LCG256:LCG259 LMC256:LMC259 LVY256:LVY259 MFU256:MFU259 MPQ256:MPQ259 MZM256:MZM259 NJI256:NJI259 NTE256:NTE259 ODA256:ODA259 OMW256:OMW259 OWS256:OWS259 PGO256:PGO259 PQK256:PQK259 QAG256:QAG259 QKC256:QKC259 QTY256:QTY259 RDU256:RDU259 RNQ256:RNQ259 RXM256:RXM259 SHI256:SHI259 SRE256:SRE259 TBA256:TBA259 TKW256:TKW259 TUS256:TUS259 UEO256:UEO259 UOK256:UOK259 UYG256:UYG259 VIC256:VIC259 VRY256:VRY259 WBU256:WBU259 WLQ256:WLQ259 D1:D252">
      <formula1>"01. Open, 02. Open &amp; Assigned, 03. Action/Mitigation Plan Defined, 04. Action Plan Complete, 05. Risk Closed, 06.  Deferred, 07. Risk has become an Issue, 08. Blank"</formula1>
    </dataValidation>
    <dataValidation type="list" allowBlank="1" showInputMessage="1" showErrorMessage="1" sqref="N260:N1048576 N254 WVW256:WVW259 JK256:JK259 TG256:TG259 ADC256:ADC259 AMY256:AMY259 AWU256:AWU259 BGQ256:BGQ259 BQM256:BQM259 CAI256:CAI259 CKE256:CKE259 CUA256:CUA259 DDW256:DDW259 DNS256:DNS259 DXO256:DXO259 EHK256:EHK259 ERG256:ERG259 FBC256:FBC259 FKY256:FKY259 FUU256:FUU259 GEQ256:GEQ259 GOM256:GOM259 GYI256:GYI259 HIE256:HIE259 HSA256:HSA259 IBW256:IBW259 ILS256:ILS259 IVO256:IVO259 JFK256:JFK259 JPG256:JPG259 JZC256:JZC259 KIY256:KIY259 KSU256:KSU259 LCQ256:LCQ259 LMM256:LMM259 LWI256:LWI259 MGE256:MGE259 MQA256:MQA259 MZW256:MZW259 NJS256:NJS259 NTO256:NTO259 ODK256:ODK259 ONG256:ONG259 OXC256:OXC259 PGY256:PGY259 PQU256:PQU259 QAQ256:QAQ259 QKM256:QKM259 QUI256:QUI259 REE256:REE259 ROA256:ROA259 RXW256:RXW259 SHS256:SHS259 SRO256:SRO259 TBK256:TBK259 TLG256:TLG259 TVC256:TVC259 UEY256:UEY259 UOU256:UOU259 UYQ256:UYQ259 VIM256:VIM259 VSI256:VSI259 WCE256:WCE259 WMA256:WMA259 N1:N252">
      <formula1>"00. Unsure, 01. Slight, 02. Doubtful, 03. Possible, 04. Probable, 05. Certain"</formula1>
    </dataValidation>
    <dataValidation type="list" allowBlank="1" showInputMessage="1" showErrorMessage="1" sqref="WLY256:WLY259 WVU256:WVU259 L254 L260:L1048576 JI256:JI259 TE256:TE259 ADA256:ADA259 AMW256:AMW259 AWS256:AWS259 BGO256:BGO259 BQK256:BQK259 CAG256:CAG259 CKC256:CKC259 CTY256:CTY259 DDU256:DDU259 DNQ256:DNQ259 DXM256:DXM259 EHI256:EHI259 ERE256:ERE259 FBA256:FBA259 FKW256:FKW259 FUS256:FUS259 GEO256:GEO259 GOK256:GOK259 GYG256:GYG259 HIC256:HIC259 HRY256:HRY259 IBU256:IBU259 ILQ256:ILQ259 IVM256:IVM259 JFI256:JFI259 JPE256:JPE259 JZA256:JZA259 KIW256:KIW259 KSS256:KSS259 LCO256:LCO259 LMK256:LMK259 LWG256:LWG259 MGC256:MGC259 MPY256:MPY259 MZU256:MZU259 NJQ256:NJQ259 NTM256:NTM259 ODI256:ODI259 ONE256:ONE259 OXA256:OXA259 PGW256:PGW259 PQS256:PQS259 QAO256:QAO259 QKK256:QKK259 QUG256:QUG259 REC256:REC259 RNY256:RNY259 RXU256:RXU259 SHQ256:SHQ259 SRM256:SRM259 TBI256:TBI259 TLE256:TLE259 TVA256:TVA259 UEW256:UEW259 UOS256:UOS259 UYO256:UYO259 VIK256:VIK259 VSG256:VSG259 WCC256:WCC259 L1:L252">
      <formula1>"Critical, High, Moderate, Minor, Negligible"</formula1>
    </dataValidation>
    <dataValidation type="list" allowBlank="1" showInputMessage="1" showErrorMessage="1" sqref="WBY256:WBY259 WLU256:WLU259 WVQ256:WVQ259 JE256:JE259 TA256:TA259 ACW256:ACW259 AMS256:AMS259 AWO256:AWO259 BGK256:BGK259 BQG256:BQG259 CAC256:CAC259 CJY256:CJY259 CTU256:CTU259 DDQ256:DDQ259 DNM256:DNM259 DXI256:DXI259 EHE256:EHE259 ERA256:ERA259 FAW256:FAW259 FKS256:FKS259 FUO256:FUO259 GEK256:GEK259 GOG256:GOG259 GYC256:GYC259 HHY256:HHY259 HRU256:HRU259 IBQ256:IBQ259 ILM256:ILM259 IVI256:IVI259 JFE256:JFE259 JPA256:JPA259 JYW256:JYW259 KIS256:KIS259 KSO256:KSO259 LCK256:LCK259 LMG256:LMG259 LWC256:LWC259 MFY256:MFY259 MPU256:MPU259 MZQ256:MZQ259 NJM256:NJM259 NTI256:NTI259 ODE256:ODE259 ONA256:ONA259 OWW256:OWW259 PGS256:PGS259 PQO256:PQO259 QAK256:QAK259 QKG256:QKG259 QUC256:QUC259 RDY256:RDY259 RNU256:RNU259 RXQ256:RXQ259 SHM256:SHM259 SRI256:SRI259 TBE256:TBE259 TLA256:TLA259 TUW256:TUW259 UES256:UES259 UOO256:UOO259 UYK256:UYK259 VIG256:VIG259 VSC256:VSC259">
      <formula1>"App and Data Migration, M&amp;C Program, SharePoint, IAM, Technology Foundation, Unified Communications, Change Management"</formula1>
    </dataValidation>
    <dataValidation type="list" allowBlank="1" showInputMessage="1" showErrorMessage="1" sqref="H2:H1048576">
      <formula1>"App and Data Migration, M&amp;C Program, SharePoint, IAM, Technology Foundation, Unified Communications, IT Transition,  Change Management"</formula1>
    </dataValidation>
    <dataValidation type="list" allowBlank="1" showInputMessage="1" showErrorMessage="1" sqref="I1:I1048576">
      <formula1>"TF - Messaging, TF - Lync, TF - SPF, SP - People, SP - Communities, SP - CMS, SP - Metadata Management, SP - Search, SP - Research Tools, SP - Subscribe and Deliver, SP - User Experience"</formula1>
    </dataValidation>
  </dataValidations>
  <pageMargins left="0.46979166666666666" right="0.7" top="0.75" bottom="0.75" header="0.3" footer="0.3"/>
  <pageSetup paperSize="9" scale="10" orientation="landscape" r:id="rId1"/>
  <headerFooter>
    <oddHeader>&amp;L&amp;"EYInterstate Light,Bold"&lt;Project name&gt;
Risk Log&amp;R&amp;"EYInterstate Light,Regular"&amp;9Last Updated: DD-MMM-YYYY</oddHeader>
    <oddFooter>&amp;L&amp;"EYInterstate Light,Regular"&amp;9Template: Blueprint V4.4 - RAID (June 2011)&amp;R&amp;"EYInterstate Light,Regular"&amp;9&amp;P</oddFooter>
  </headerFooter>
  <ignoredErrors>
    <ignoredError sqref="N1:O1 D1 L1 M260:R1048576 P1:R1 M1 Y1 T1 I1" listDataValidatio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03" stopIfTrue="1" id="{EF9B98DA-4A8D-42A5-B147-665EA8538792}">
            <xm:f>NOT(ISERROR(SEARCH("03. Impacts &gt; 3 Months",'[1]Risk Log'!#REF!)))</xm:f>
            <x14:dxf>
              <fill>
                <patternFill>
                  <bgColor indexed="21"/>
                </patternFill>
              </fill>
            </x14:dxf>
          </x14:cfRule>
          <x14:cfRule type="expression" priority="104" stopIfTrue="1" id="{467E1CA7-AFD0-4AC6-9F64-426F1560B74A}">
            <xm:f>NOT(ISERROR(SEARCH("02. Impacts &gt; 4 Weeks &lt; 3 Months ",'[1]Risk Log'!#REF!)))</xm:f>
            <x14:dxf>
              <fill>
                <patternFill>
                  <bgColor indexed="51"/>
                </patternFill>
              </fill>
            </x14:dxf>
          </x14:cfRule>
          <x14:cfRule type="expression" priority="105" stopIfTrue="1" id="{2469DB0D-70F9-45CE-83F7-E495A3AAFD1A}">
            <xm:f>NOT(ISERROR(SEARCH("01. Impacts &lt; 4 weeks",'[1]Risk Log'!#REF!)))</xm:f>
            <x14:dxf>
              <fill>
                <patternFill>
                  <bgColor indexed="10"/>
                </patternFill>
              </fill>
            </x14:dxf>
          </x14:cfRule>
          <xm:sqref>N117:N118 N127</xm:sqref>
        </x14:conditionalFormatting>
        <x14:conditionalFormatting xmlns:xm="http://schemas.microsoft.com/office/excel/2006/main">
          <x14:cfRule type="expression" priority="102" stopIfTrue="1" id="{198AEEB0-C8CA-4E49-AB57-C8C30753F217}">
            <xm:f>NOT(ISERROR(SEARCH("05. Critical",'[1]Risk Log'!#REF!)))</xm:f>
            <x14:dxf>
              <fill>
                <patternFill>
                  <bgColor indexed="10"/>
                </patternFill>
              </fill>
            </x14:dxf>
          </x14:cfRule>
          <xm:sqref>O117:T118 M117:M120 O127:T127 M127</xm:sqref>
        </x14:conditionalFormatting>
        <x14:conditionalFormatting xmlns:xm="http://schemas.microsoft.com/office/excel/2006/main">
          <x14:cfRule type="expression" priority="101" stopIfTrue="1" id="{38AED1F8-CE69-404A-BD14-4CB033FFC117}">
            <xm:f>NOT(ISERROR(SEARCH("02. Low",'[1]Risk Log'!#REF!)))</xm:f>
            <x14:dxf>
              <fill>
                <patternFill>
                  <bgColor indexed="21"/>
                </patternFill>
              </fill>
            </x14:dxf>
          </x14:cfRule>
          <xm:sqref>M117:M120 M127</xm:sqref>
        </x14:conditionalFormatting>
        <x14:conditionalFormatting xmlns:xm="http://schemas.microsoft.com/office/excel/2006/main">
          <x14:cfRule type="expression" priority="98" stopIfTrue="1" id="{B4DB45E6-944E-4BEE-BE9F-AE49A8B552B5}">
            <xm:f>NOT(ISERROR(SEARCH("04. High",'[1]Risk Log'!#REF!)))</xm:f>
            <x14:dxf>
              <fill>
                <patternFill>
                  <bgColor indexed="10"/>
                </patternFill>
              </fill>
            </x14:dxf>
          </x14:cfRule>
          <x14:cfRule type="expression" priority="99" stopIfTrue="1" id="{56F94E1B-C93B-4A9A-9352-069CD4FD7B04}">
            <xm:f>NOT(ISERROR(SEARCH("03. Medium",'[1]Risk Log'!#REF!)))</xm:f>
            <x14:dxf>
              <fill>
                <patternFill>
                  <bgColor indexed="51"/>
                </patternFill>
              </fill>
            </x14:dxf>
          </x14:cfRule>
          <x14:cfRule type="expression" priority="100" stopIfTrue="1" id="{BD6FB8AC-C676-4D84-9384-F3EC958FF44D}">
            <xm:f>NOT(ISERROR(SEARCH("02. Low",'[1]Risk Log'!#REF!)))</xm:f>
            <x14:dxf>
              <fill>
                <patternFill>
                  <bgColor indexed="21"/>
                </patternFill>
              </fill>
            </x14:dxf>
          </x14:cfRule>
          <xm:sqref>A118:A120 M117:M120 A117:X118 A127:U127 Y256:IW259 G119:X120 H128:I131 B128:D132</xm:sqref>
        </x14:conditionalFormatting>
        <x14:conditionalFormatting xmlns:xm="http://schemas.microsoft.com/office/excel/2006/main">
          <x14:cfRule type="expression" priority="95" stopIfTrue="1" id="{2DD48B02-1072-4ED3-8A60-714A076EDACD}">
            <xm:f>NOT(ISERROR(SEARCH("04. High",'[1]Risk Log'!#REF!)))</xm:f>
            <x14:dxf>
              <fill>
                <patternFill>
                  <bgColor indexed="10"/>
                </patternFill>
              </fill>
            </x14:dxf>
          </x14:cfRule>
          <x14:cfRule type="expression" priority="96" stopIfTrue="1" id="{4586213D-0CE7-4EA3-82BF-AA75FA46D1C2}">
            <xm:f>NOT(ISERROR(SEARCH("03. Moderate",'[1]Risk Log'!#REF!)))</xm:f>
            <x14:dxf>
              <fill>
                <patternFill>
                  <bgColor indexed="51"/>
                </patternFill>
              </fill>
            </x14:dxf>
          </x14:cfRule>
          <x14:cfRule type="expression" priority="97" stopIfTrue="1" id="{C1EF8E42-9468-404A-B80C-756F4492B63C}">
            <xm:f>NOT(ISERROR(SEARCH("02. Low",'[1]Risk Log'!#REF!)))</xm:f>
            <x14:dxf>
              <fill>
                <patternFill>
                  <bgColor indexed="21"/>
                </patternFill>
              </fill>
            </x14:dxf>
          </x14:cfRule>
          <xm:sqref>Q117:T118 Q127:T127</xm:sqref>
        </x14:conditionalFormatting>
        <x14:conditionalFormatting xmlns:xm="http://schemas.microsoft.com/office/excel/2006/main">
          <x14:cfRule type="expression" priority="92" stopIfTrue="1" id="{D9795720-2E2E-40EB-9E0D-5F20B314FF42}">
            <xm:f>NOT(ISERROR(SEARCH("03. Impacts &gt; 3 Months",'[1]Risk Log'!#REF!)))</xm:f>
            <x14:dxf>
              <fill>
                <patternFill>
                  <bgColor indexed="21"/>
                </patternFill>
              </fill>
            </x14:dxf>
          </x14:cfRule>
          <x14:cfRule type="expression" priority="93" stopIfTrue="1" id="{E2D570EC-89DD-43A4-BECC-D68E44983E08}">
            <xm:f>NOT(ISERROR(SEARCH("02. Impacts &gt; 4 Weeks &lt; 3 Months ",'[1]Risk Log'!#REF!)))</xm:f>
            <x14:dxf>
              <fill>
                <patternFill>
                  <bgColor indexed="51"/>
                </patternFill>
              </fill>
            </x14:dxf>
          </x14:cfRule>
          <x14:cfRule type="expression" priority="94" stopIfTrue="1" id="{5EE90EF9-D77C-4C18-8D4C-880C80BC8544}">
            <xm:f>NOT(ISERROR(SEARCH("01. Impacts &lt; 4 weeks",'[1]Risk Log'!#REF!)))</xm:f>
            <x14:dxf>
              <fill>
                <patternFill>
                  <bgColor indexed="10"/>
                </patternFill>
              </fill>
            </x14:dxf>
          </x14:cfRule>
          <xm:sqref>N119:N120</xm:sqref>
        </x14:conditionalFormatting>
        <x14:conditionalFormatting xmlns:xm="http://schemas.microsoft.com/office/excel/2006/main">
          <x14:cfRule type="expression" priority="91" stopIfTrue="1" id="{565574B1-F68F-47C9-8812-37EECF3C0EB3}">
            <xm:f>NOT(ISERROR(SEARCH("05. Critical",'[1]Risk Log'!#REF!)))</xm:f>
            <x14:dxf>
              <fill>
                <patternFill>
                  <bgColor indexed="10"/>
                </patternFill>
              </fill>
            </x14:dxf>
          </x14:cfRule>
          <xm:sqref>M119:M120 O119:T120</xm:sqref>
        </x14:conditionalFormatting>
        <x14:conditionalFormatting xmlns:xm="http://schemas.microsoft.com/office/excel/2006/main">
          <x14:cfRule type="expression" priority="90" stopIfTrue="1" id="{33FA61F2-9632-431C-9FDC-A6E8363B3FE1}">
            <xm:f>NOT(ISERROR(SEARCH("02. Low",'[1]Risk Log'!#REF!)))</xm:f>
            <x14:dxf>
              <fill>
                <patternFill>
                  <bgColor indexed="21"/>
                </patternFill>
              </fill>
            </x14:dxf>
          </x14:cfRule>
          <xm:sqref>M119:M120</xm:sqref>
        </x14:conditionalFormatting>
        <x14:conditionalFormatting xmlns:xm="http://schemas.microsoft.com/office/excel/2006/main">
          <x14:cfRule type="expression" priority="87" stopIfTrue="1" id="{CD154CEC-1C11-4235-B385-8E29839ADF31}">
            <xm:f>NOT(ISERROR(SEARCH("04. High",'[1]Risk Log'!#REF!)))</xm:f>
            <x14:dxf>
              <fill>
                <patternFill>
                  <bgColor indexed="10"/>
                </patternFill>
              </fill>
            </x14:dxf>
          </x14:cfRule>
          <x14:cfRule type="expression" priority="88" stopIfTrue="1" id="{4367A60A-3E7C-4107-B5F5-73A0C57CE580}">
            <xm:f>NOT(ISERROR(SEARCH("03. Medium",'[1]Risk Log'!#REF!)))</xm:f>
            <x14:dxf>
              <fill>
                <patternFill>
                  <bgColor indexed="51"/>
                </patternFill>
              </fill>
            </x14:dxf>
          </x14:cfRule>
          <x14:cfRule type="expression" priority="89" stopIfTrue="1" id="{178A8B45-87FD-4E4A-B1D6-E49A6B306241}">
            <xm:f>NOT(ISERROR(SEARCH("02. Low",'[1]Risk Log'!#REF!)))</xm:f>
            <x14:dxf>
              <fill>
                <patternFill>
                  <bgColor indexed="21"/>
                </patternFill>
              </fill>
            </x14:dxf>
          </x14:cfRule>
          <xm:sqref>A119:E120 F119</xm:sqref>
        </x14:conditionalFormatting>
        <x14:conditionalFormatting xmlns:xm="http://schemas.microsoft.com/office/excel/2006/main">
          <x14:cfRule type="expression" priority="84" stopIfTrue="1" id="{3665667F-9474-498F-9133-E10E32D30513}">
            <xm:f>NOT(ISERROR(SEARCH("04. High",'[1]Risk Log'!#REF!)))</xm:f>
            <x14:dxf>
              <fill>
                <patternFill>
                  <bgColor indexed="10"/>
                </patternFill>
              </fill>
            </x14:dxf>
          </x14:cfRule>
          <x14:cfRule type="expression" priority="85" stopIfTrue="1" id="{8A198B88-DA89-4F78-8A8C-5CF21839B39A}">
            <xm:f>NOT(ISERROR(SEARCH("03. Moderate",'[1]Risk Log'!#REF!)))</xm:f>
            <x14:dxf>
              <fill>
                <patternFill>
                  <bgColor indexed="51"/>
                </patternFill>
              </fill>
            </x14:dxf>
          </x14:cfRule>
          <x14:cfRule type="expression" priority="86" stopIfTrue="1" id="{194034A0-1822-4604-8DC4-936CA211A485}">
            <xm:f>NOT(ISERROR(SEARCH("02. Low",'[1]Risk Log'!#REF!)))</xm:f>
            <x14:dxf>
              <fill>
                <patternFill>
                  <bgColor indexed="21"/>
                </patternFill>
              </fill>
            </x14:dxf>
          </x14:cfRule>
          <xm:sqref>Q119:T120</xm:sqref>
        </x14:conditionalFormatting>
        <x14:conditionalFormatting xmlns:xm="http://schemas.microsoft.com/office/excel/2006/main">
          <x14:cfRule type="expression" priority="81" stopIfTrue="1" id="{9C48BB8B-E838-48CE-B803-A965BC43280F}">
            <xm:f>NOT(ISERROR(SEARCH("04. High",'[1]Risk Log'!#REF!)))</xm:f>
            <x14:dxf>
              <fill>
                <patternFill>
                  <bgColor indexed="10"/>
                </patternFill>
              </fill>
            </x14:dxf>
          </x14:cfRule>
          <x14:cfRule type="expression" priority="82" stopIfTrue="1" id="{6D53AEE8-22CC-4268-839B-30C9303F5729}">
            <xm:f>NOT(ISERROR(SEARCH("03. Medium",'[1]Risk Log'!#REF!)))</xm:f>
            <x14:dxf>
              <fill>
                <patternFill>
                  <bgColor indexed="51"/>
                </patternFill>
              </fill>
            </x14:dxf>
          </x14:cfRule>
          <x14:cfRule type="expression" priority="83" stopIfTrue="1" id="{C31B4035-FC35-4070-8983-FD1E7197F82F}">
            <xm:f>NOT(ISERROR(SEARCH("02. Low",'[1]Risk Log'!#REF!)))</xm:f>
            <x14:dxf>
              <fill>
                <patternFill>
                  <bgColor indexed="21"/>
                </patternFill>
              </fill>
            </x14:dxf>
          </x14:cfRule>
          <xm:sqref>F120</xm:sqref>
        </x14:conditionalFormatting>
        <x14:conditionalFormatting xmlns:xm="http://schemas.microsoft.com/office/excel/2006/main">
          <x14:cfRule type="expression" priority="46" stopIfTrue="1" id="{87C5E648-B6AD-4DF7-9986-CF3389F42205}">
            <xm:f>NOT(ISERROR(SEARCH("05. Critical",'[1]Risk Log'!#REF!)))</xm:f>
            <x14:dxf>
              <fill>
                <patternFill>
                  <bgColor indexed="10"/>
                </patternFill>
              </fill>
            </x14:dxf>
          </x14:cfRule>
          <xm:sqref>M122</xm:sqref>
        </x14:conditionalFormatting>
        <x14:conditionalFormatting xmlns:xm="http://schemas.microsoft.com/office/excel/2006/main">
          <x14:cfRule type="expression" priority="45" stopIfTrue="1" id="{B02218CE-7468-4E12-B420-064CF3FDE0C1}">
            <xm:f>NOT(ISERROR(SEARCH("02. Low",'[1]Risk Log'!#REF!)))</xm:f>
            <x14:dxf>
              <fill>
                <patternFill>
                  <bgColor indexed="21"/>
                </patternFill>
              </fill>
            </x14:dxf>
          </x14:cfRule>
          <xm:sqref>M122</xm:sqref>
        </x14:conditionalFormatting>
        <x14:conditionalFormatting xmlns:xm="http://schemas.microsoft.com/office/excel/2006/main">
          <x14:cfRule type="expression" priority="42" stopIfTrue="1" id="{5253F45E-55A0-4D34-BD7F-7F5418091E00}">
            <xm:f>NOT(ISERROR(SEARCH("04. High",'[1]Risk Log'!#REF!)))</xm:f>
            <x14:dxf>
              <fill>
                <patternFill>
                  <bgColor indexed="10"/>
                </patternFill>
              </fill>
            </x14:dxf>
          </x14:cfRule>
          <x14:cfRule type="expression" priority="43" stopIfTrue="1" id="{85C555B8-4BDE-4E52-A2B5-3736F978C54D}">
            <xm:f>NOT(ISERROR(SEARCH("03. Medium",'[1]Risk Log'!#REF!)))</xm:f>
            <x14:dxf>
              <fill>
                <patternFill>
                  <bgColor indexed="51"/>
                </patternFill>
              </fill>
            </x14:dxf>
          </x14:cfRule>
          <x14:cfRule type="expression" priority="44" stopIfTrue="1" id="{E48F00EA-F496-43EE-95D3-A687C00F80C3}">
            <xm:f>NOT(ISERROR(SEARCH("02. Low",'[1]Risk Log'!#REF!)))</xm:f>
            <x14:dxf>
              <fill>
                <patternFill>
                  <bgColor indexed="21"/>
                </patternFill>
              </fill>
            </x14:dxf>
          </x14:cfRule>
          <xm:sqref>G122:X122</xm:sqref>
        </x14:conditionalFormatting>
        <x14:conditionalFormatting xmlns:xm="http://schemas.microsoft.com/office/excel/2006/main">
          <x14:cfRule type="expression" priority="39" stopIfTrue="1" id="{54F3850C-0E4D-47A1-B65E-0C52946F3C36}">
            <xm:f>NOT(ISERROR(SEARCH("03. Impacts &gt; 3 Months",'[1]Risk Log'!#REF!)))</xm:f>
            <x14:dxf>
              <fill>
                <patternFill>
                  <bgColor indexed="21"/>
                </patternFill>
              </fill>
            </x14:dxf>
          </x14:cfRule>
          <x14:cfRule type="expression" priority="40" stopIfTrue="1" id="{2633B649-0FF6-4DA6-8075-1E85584A53D1}">
            <xm:f>NOT(ISERROR(SEARCH("02. Impacts &gt; 4 Weeks &lt; 3 Months ",'[1]Risk Log'!#REF!)))</xm:f>
            <x14:dxf>
              <fill>
                <patternFill>
                  <bgColor indexed="51"/>
                </patternFill>
              </fill>
            </x14:dxf>
          </x14:cfRule>
          <x14:cfRule type="expression" priority="41" stopIfTrue="1" id="{64DF7D9D-18D3-4C5F-A9EE-7DC60ADA5AF2}">
            <xm:f>NOT(ISERROR(SEARCH("01. Impacts &lt; 4 weeks",'[1]Risk Log'!#REF!)))</xm:f>
            <x14:dxf>
              <fill>
                <patternFill>
                  <bgColor indexed="10"/>
                </patternFill>
              </fill>
            </x14:dxf>
          </x14:cfRule>
          <xm:sqref>N122</xm:sqref>
        </x14:conditionalFormatting>
        <x14:conditionalFormatting xmlns:xm="http://schemas.microsoft.com/office/excel/2006/main">
          <x14:cfRule type="expression" priority="38" stopIfTrue="1" id="{DAAEC7B7-7546-486E-A455-DF42FB99A02E}">
            <xm:f>NOT(ISERROR(SEARCH("05. Critical",'[1]Risk Log'!#REF!)))</xm:f>
            <x14:dxf>
              <fill>
                <patternFill>
                  <bgColor indexed="10"/>
                </patternFill>
              </fill>
            </x14:dxf>
          </x14:cfRule>
          <xm:sqref>M122 O122:T122</xm:sqref>
        </x14:conditionalFormatting>
        <x14:conditionalFormatting xmlns:xm="http://schemas.microsoft.com/office/excel/2006/main">
          <x14:cfRule type="expression" priority="37" stopIfTrue="1" id="{EEF4E658-5D3F-4F7E-BEE1-C937D7CE9437}">
            <xm:f>NOT(ISERROR(SEARCH("02. Low",'[1]Risk Log'!#REF!)))</xm:f>
            <x14:dxf>
              <fill>
                <patternFill>
                  <bgColor indexed="21"/>
                </patternFill>
              </fill>
            </x14:dxf>
          </x14:cfRule>
          <xm:sqref>M122</xm:sqref>
        </x14:conditionalFormatting>
        <x14:conditionalFormatting xmlns:xm="http://schemas.microsoft.com/office/excel/2006/main">
          <x14:cfRule type="expression" priority="34" stopIfTrue="1" id="{CBB191D4-6BE2-426D-BF11-12D15BD993A8}">
            <xm:f>NOT(ISERROR(SEARCH("04. High",'[1]Risk Log'!#REF!)))</xm:f>
            <x14:dxf>
              <fill>
                <patternFill>
                  <bgColor indexed="10"/>
                </patternFill>
              </fill>
            </x14:dxf>
          </x14:cfRule>
          <x14:cfRule type="expression" priority="35" stopIfTrue="1" id="{CEB27BDF-CE37-4D2A-A688-7F8BEEF547A4}">
            <xm:f>NOT(ISERROR(SEARCH("03. Medium",'[1]Risk Log'!#REF!)))</xm:f>
            <x14:dxf>
              <fill>
                <patternFill>
                  <bgColor indexed="51"/>
                </patternFill>
              </fill>
            </x14:dxf>
          </x14:cfRule>
          <x14:cfRule type="expression" priority="36" stopIfTrue="1" id="{54727C73-533E-4506-B98C-3F5A4AB4EE05}">
            <xm:f>NOT(ISERROR(SEARCH("02. Low",'[1]Risk Log'!#REF!)))</xm:f>
            <x14:dxf>
              <fill>
                <patternFill>
                  <bgColor indexed="21"/>
                </patternFill>
              </fill>
            </x14:dxf>
          </x14:cfRule>
          <xm:sqref>B122:F122</xm:sqref>
        </x14:conditionalFormatting>
        <x14:conditionalFormatting xmlns:xm="http://schemas.microsoft.com/office/excel/2006/main">
          <x14:cfRule type="expression" priority="31" stopIfTrue="1" id="{9727E156-D4F6-47EB-9E77-8B316F4C18F3}">
            <xm:f>NOT(ISERROR(SEARCH("04. High",'[1]Risk Log'!#REF!)))</xm:f>
            <x14:dxf>
              <fill>
                <patternFill>
                  <bgColor indexed="10"/>
                </patternFill>
              </fill>
            </x14:dxf>
          </x14:cfRule>
          <x14:cfRule type="expression" priority="32" stopIfTrue="1" id="{F34668B0-E685-4F48-A3EA-E1A13D182BA9}">
            <xm:f>NOT(ISERROR(SEARCH("03. Moderate",'[1]Risk Log'!#REF!)))</xm:f>
            <x14:dxf>
              <fill>
                <patternFill>
                  <bgColor indexed="51"/>
                </patternFill>
              </fill>
            </x14:dxf>
          </x14:cfRule>
          <x14:cfRule type="expression" priority="33" stopIfTrue="1" id="{FA8CC19E-CE86-4248-91E0-E8D1C65D94BF}">
            <xm:f>NOT(ISERROR(SEARCH("02. Low",'[1]Risk Log'!#REF!)))</xm:f>
            <x14:dxf>
              <fill>
                <patternFill>
                  <bgColor indexed="21"/>
                </patternFill>
              </fill>
            </x14:dxf>
          </x14:cfRule>
          <xm:sqref>Q122:T122</xm:sqref>
        </x14:conditionalFormatting>
        <x14:conditionalFormatting xmlns:xm="http://schemas.microsoft.com/office/excel/2006/main">
          <x14:cfRule type="expression" priority="23" stopIfTrue="1" id="{DD5B7613-4920-47AD-85F9-1A19A8995E97}">
            <xm:f>NOT(ISERROR(SEARCH("05. Critical",'[1]Risk Log'!#REF!)))</xm:f>
            <x14:dxf>
              <fill>
                <patternFill>
                  <bgColor indexed="10"/>
                </patternFill>
              </fill>
            </x14:dxf>
          </x14:cfRule>
          <xm:sqref>M123</xm:sqref>
        </x14:conditionalFormatting>
        <x14:conditionalFormatting xmlns:xm="http://schemas.microsoft.com/office/excel/2006/main">
          <x14:cfRule type="expression" priority="22" stopIfTrue="1" id="{030EE438-6C76-4722-8C67-066A26FD7F86}">
            <xm:f>NOT(ISERROR(SEARCH("02. Low",'[1]Risk Log'!#REF!)))</xm:f>
            <x14:dxf>
              <fill>
                <patternFill>
                  <bgColor indexed="21"/>
                </patternFill>
              </fill>
            </x14:dxf>
          </x14:cfRule>
          <xm:sqref>M123</xm:sqref>
        </x14:conditionalFormatting>
        <x14:conditionalFormatting xmlns:xm="http://schemas.microsoft.com/office/excel/2006/main">
          <x14:cfRule type="expression" priority="19" stopIfTrue="1" id="{28F5D8CD-185A-432D-94B2-8413BA931DD9}">
            <xm:f>NOT(ISERROR(SEARCH("04. High",'[1]Risk Log'!#REF!)))</xm:f>
            <x14:dxf>
              <fill>
                <patternFill>
                  <bgColor indexed="10"/>
                </patternFill>
              </fill>
            </x14:dxf>
          </x14:cfRule>
          <x14:cfRule type="expression" priority="20" stopIfTrue="1" id="{306A02DC-9DB5-4B85-9123-AA6C7F549B99}">
            <xm:f>NOT(ISERROR(SEARCH("03. Medium",'[1]Risk Log'!#REF!)))</xm:f>
            <x14:dxf>
              <fill>
                <patternFill>
                  <bgColor indexed="51"/>
                </patternFill>
              </fill>
            </x14:dxf>
          </x14:cfRule>
          <x14:cfRule type="expression" priority="21" stopIfTrue="1" id="{7BE9FF7E-928B-4550-8321-09ADBC1DB243}">
            <xm:f>NOT(ISERROR(SEARCH("02. Low",'[1]Risk Log'!#REF!)))</xm:f>
            <x14:dxf>
              <fill>
                <patternFill>
                  <bgColor indexed="21"/>
                </patternFill>
              </fill>
            </x14:dxf>
          </x14:cfRule>
          <xm:sqref>M123:U123</xm:sqref>
        </x14:conditionalFormatting>
        <x14:conditionalFormatting xmlns:xm="http://schemas.microsoft.com/office/excel/2006/main">
          <x14:cfRule type="expression" priority="16" stopIfTrue="1" id="{0043F897-5C63-4C64-A72F-ADD3E4ED46D6}">
            <xm:f>NOT(ISERROR(SEARCH("03. Impacts &gt; 3 Months",'[1]Risk Log'!#REF!)))</xm:f>
            <x14:dxf>
              <fill>
                <patternFill>
                  <bgColor indexed="21"/>
                </patternFill>
              </fill>
            </x14:dxf>
          </x14:cfRule>
          <x14:cfRule type="expression" priority="17" stopIfTrue="1" id="{FF9577A3-7080-4E6B-8FEB-63593DD1C087}">
            <xm:f>NOT(ISERROR(SEARCH("02. Impacts &gt; 4 Weeks &lt; 3 Months ",'[1]Risk Log'!#REF!)))</xm:f>
            <x14:dxf>
              <fill>
                <patternFill>
                  <bgColor indexed="51"/>
                </patternFill>
              </fill>
            </x14:dxf>
          </x14:cfRule>
          <x14:cfRule type="expression" priority="18" stopIfTrue="1" id="{3316495F-66EA-4178-B04A-374F5B3E8A0D}">
            <xm:f>NOT(ISERROR(SEARCH("01. Impacts &lt; 4 weeks",'[1]Risk Log'!#REF!)))</xm:f>
            <x14:dxf>
              <fill>
                <patternFill>
                  <bgColor indexed="10"/>
                </patternFill>
              </fill>
            </x14:dxf>
          </x14:cfRule>
          <xm:sqref>N123</xm:sqref>
        </x14:conditionalFormatting>
        <x14:conditionalFormatting xmlns:xm="http://schemas.microsoft.com/office/excel/2006/main">
          <x14:cfRule type="expression" priority="15" stopIfTrue="1" id="{EAE32F63-A242-46A6-9A7F-F228B559E22E}">
            <xm:f>NOT(ISERROR(SEARCH("05. Critical",'[1]Risk Log'!#REF!)))</xm:f>
            <x14:dxf>
              <fill>
                <patternFill>
                  <bgColor indexed="10"/>
                </patternFill>
              </fill>
            </x14:dxf>
          </x14:cfRule>
          <xm:sqref>M123 O123:T123</xm:sqref>
        </x14:conditionalFormatting>
        <x14:conditionalFormatting xmlns:xm="http://schemas.microsoft.com/office/excel/2006/main">
          <x14:cfRule type="expression" priority="14" stopIfTrue="1" id="{5EBE32D5-5E00-45C4-86B2-4729045AF737}">
            <xm:f>NOT(ISERROR(SEARCH("02. Low",'[1]Risk Log'!#REF!)))</xm:f>
            <x14:dxf>
              <fill>
                <patternFill>
                  <bgColor indexed="21"/>
                </patternFill>
              </fill>
            </x14:dxf>
          </x14:cfRule>
          <xm:sqref>M123</xm:sqref>
        </x14:conditionalFormatting>
        <x14:conditionalFormatting xmlns:xm="http://schemas.microsoft.com/office/excel/2006/main">
          <x14:cfRule type="expression" priority="11" stopIfTrue="1" id="{91B25F63-55D6-44D4-8218-59C3752143D3}">
            <xm:f>NOT(ISERROR(SEARCH("04. High",'[1]Risk Log'!#REF!)))</xm:f>
            <x14:dxf>
              <fill>
                <patternFill>
                  <bgColor indexed="10"/>
                </patternFill>
              </fill>
            </x14:dxf>
          </x14:cfRule>
          <x14:cfRule type="expression" priority="12" stopIfTrue="1" id="{F7150478-BF67-4416-A8C9-7BE1D8267ECD}">
            <xm:f>NOT(ISERROR(SEARCH("03. Moderate",'[1]Risk Log'!#REF!)))</xm:f>
            <x14:dxf>
              <fill>
                <patternFill>
                  <bgColor indexed="51"/>
                </patternFill>
              </fill>
            </x14:dxf>
          </x14:cfRule>
          <x14:cfRule type="expression" priority="13" stopIfTrue="1" id="{DEC69363-12C0-4986-810E-197653CEB3B3}">
            <xm:f>NOT(ISERROR(SEARCH("02. Low",'[1]Risk Log'!#REF!)))</xm:f>
            <x14:dxf>
              <fill>
                <patternFill>
                  <bgColor indexed="21"/>
                </patternFill>
              </fill>
            </x14:dxf>
          </x14:cfRule>
          <xm:sqref>Q123:T123</xm:sqref>
        </x14:conditionalFormatting>
        <x14:conditionalFormatting xmlns:xm="http://schemas.microsoft.com/office/excel/2006/main">
          <x14:cfRule type="expression" priority="1" stopIfTrue="1" id="{5EB599D8-AFE3-4031-AD50-36D868A05CB8}">
            <xm:f>NOT(ISERROR(SEARCH("04. High",'[1]Risk Log'!#REF!)))</xm:f>
            <x14:dxf>
              <fill>
                <patternFill>
                  <bgColor indexed="10"/>
                </patternFill>
              </fill>
            </x14:dxf>
          </x14:cfRule>
          <x14:cfRule type="expression" priority="2" stopIfTrue="1" id="{1A576B31-6CFB-4AC9-8593-1BAE6CAA8653}">
            <xm:f>NOT(ISERROR(SEARCH("03. Medium",'[1]Risk Log'!#REF!)))</xm:f>
            <x14:dxf>
              <fill>
                <patternFill>
                  <bgColor indexed="51"/>
                </patternFill>
              </fill>
            </x14:dxf>
          </x14:cfRule>
          <x14:cfRule type="expression" priority="3" stopIfTrue="1" id="{D2DD795B-E8D0-4F73-BFE8-C710B244B145}">
            <xm:f>NOT(ISERROR(SEARCH("02. Low",'[1]Risk Log'!#REF!)))</xm:f>
            <x14:dxf>
              <fill>
                <patternFill>
                  <bgColor indexed="21"/>
                </patternFill>
              </fill>
            </x14:dxf>
          </x14:cfRule>
          <xm:sqref>C133</xm:sqref>
        </x14:conditionalFormatting>
      </x14:conditionalFormattings>
    </ext>
  </extLst>
</worksheet>
</file>

<file path=xl/worksheets/sheet4.xml><?xml version="1.0" encoding="utf-8"?>
<worksheet xmlns="http://schemas.openxmlformats.org/spreadsheetml/2006/main" xmlns:r="http://schemas.openxmlformats.org/officeDocument/2006/relationships">
  <dimension ref="A1:FO234"/>
  <sheetViews>
    <sheetView zoomScale="90" zoomScaleNormal="90" workbookViewId="0">
      <pane xSplit="1" topLeftCell="B1" activePane="topRight" state="frozen"/>
      <selection pane="topRight" activeCell="A18" sqref="A18"/>
    </sheetView>
  </sheetViews>
  <sheetFormatPr defaultRowHeight="13.5"/>
  <cols>
    <col min="1" max="1" width="5.42578125" style="177" customWidth="1"/>
    <col min="2" max="2" width="12.5703125" style="187" customWidth="1"/>
    <col min="3" max="3" width="14.85546875" style="184" customWidth="1"/>
    <col min="4" max="4" width="10.7109375" style="175" customWidth="1"/>
    <col min="5" max="5" width="9.7109375" style="188" bestFit="1" customWidth="1"/>
    <col min="6" max="6" width="38.85546875" style="177" customWidth="1"/>
    <col min="7" max="7" width="12.28515625" style="188" customWidth="1"/>
    <col min="8" max="8" width="10.140625" style="188" customWidth="1"/>
    <col min="9" max="9" width="11.7109375" style="188" customWidth="1"/>
    <col min="10" max="10" width="11.140625" style="188" customWidth="1"/>
    <col min="11" max="12" width="10.7109375" style="188" customWidth="1"/>
    <col min="13" max="13" width="13.42578125" style="184" customWidth="1"/>
    <col min="14" max="15" width="12" style="196" customWidth="1"/>
    <col min="16" max="16" width="13.28515625" style="175" customWidth="1"/>
    <col min="17" max="17" width="12.42578125" style="187" customWidth="1"/>
    <col min="18" max="18" width="12.140625" style="187" customWidth="1"/>
    <col min="19" max="19" width="52.7109375" style="189" customWidth="1"/>
    <col min="20" max="20" width="14.85546875" style="184" customWidth="1"/>
    <col min="21" max="21" width="18.28515625" style="184" customWidth="1"/>
    <col min="22" max="22" width="11.42578125" style="175" customWidth="1"/>
    <col min="23" max="23" width="9.140625" style="175" customWidth="1"/>
    <col min="24" max="24" width="11" style="175" customWidth="1"/>
    <col min="25" max="25" width="9.140625" style="176"/>
    <col min="26" max="27" width="10.42578125" style="175" bestFit="1" customWidth="1"/>
    <col min="28" max="28" width="9.140625" style="175"/>
    <col min="29" max="29" width="10.42578125" style="175" bestFit="1" customWidth="1"/>
    <col min="30" max="34" width="9.140625" style="175"/>
    <col min="35" max="35" width="20.7109375" style="175" customWidth="1"/>
    <col min="36" max="265" width="9.140625" style="175"/>
    <col min="266" max="266" width="9" style="175" customWidth="1"/>
    <col min="267" max="267" width="21.28515625" style="175" customWidth="1"/>
    <col min="268" max="268" width="12.140625" style="175" customWidth="1"/>
    <col min="269" max="269" width="10.42578125" style="175" customWidth="1"/>
    <col min="270" max="270" width="18" style="175" customWidth="1"/>
    <col min="271" max="271" width="14.7109375" style="175" customWidth="1"/>
    <col min="272" max="272" width="14.85546875" style="175" customWidth="1"/>
    <col min="273" max="273" width="10.42578125" style="175" customWidth="1"/>
    <col min="274" max="274" width="17" style="175" customWidth="1"/>
    <col min="275" max="275" width="12.7109375" style="175" customWidth="1"/>
    <col min="276" max="276" width="34.5703125" style="175" customWidth="1"/>
    <col min="277" max="277" width="15.5703125" style="175" customWidth="1"/>
    <col min="278" max="278" width="40.140625" style="175" customWidth="1"/>
    <col min="279" max="279" width="12.42578125" style="175" customWidth="1"/>
    <col min="280" max="280" width="11" style="175" customWidth="1"/>
    <col min="281" max="521" width="9.140625" style="175"/>
    <col min="522" max="522" width="9" style="175" customWidth="1"/>
    <col min="523" max="523" width="21.28515625" style="175" customWidth="1"/>
    <col min="524" max="524" width="12.140625" style="175" customWidth="1"/>
    <col min="525" max="525" width="10.42578125" style="175" customWidth="1"/>
    <col min="526" max="526" width="18" style="175" customWidth="1"/>
    <col min="527" max="527" width="14.7109375" style="175" customWidth="1"/>
    <col min="528" max="528" width="14.85546875" style="175" customWidth="1"/>
    <col min="529" max="529" width="10.42578125" style="175" customWidth="1"/>
    <col min="530" max="530" width="17" style="175" customWidth="1"/>
    <col min="531" max="531" width="12.7109375" style="175" customWidth="1"/>
    <col min="532" max="532" width="34.5703125" style="175" customWidth="1"/>
    <col min="533" max="533" width="15.5703125" style="175" customWidth="1"/>
    <col min="534" max="534" width="40.140625" style="175" customWidth="1"/>
    <col min="535" max="535" width="12.42578125" style="175" customWidth="1"/>
    <col min="536" max="536" width="11" style="175" customWidth="1"/>
    <col min="537" max="777" width="9.140625" style="175"/>
    <col min="778" max="778" width="9" style="175" customWidth="1"/>
    <col min="779" max="779" width="21.28515625" style="175" customWidth="1"/>
    <col min="780" max="780" width="12.140625" style="175" customWidth="1"/>
    <col min="781" max="781" width="10.42578125" style="175" customWidth="1"/>
    <col min="782" max="782" width="18" style="175" customWidth="1"/>
    <col min="783" max="783" width="14.7109375" style="175" customWidth="1"/>
    <col min="784" max="784" width="14.85546875" style="175" customWidth="1"/>
    <col min="785" max="785" width="10.42578125" style="175" customWidth="1"/>
    <col min="786" max="786" width="17" style="175" customWidth="1"/>
    <col min="787" max="787" width="12.7109375" style="175" customWidth="1"/>
    <col min="788" max="788" width="34.5703125" style="175" customWidth="1"/>
    <col min="789" max="789" width="15.5703125" style="175" customWidth="1"/>
    <col min="790" max="790" width="40.140625" style="175" customWidth="1"/>
    <col min="791" max="791" width="12.42578125" style="175" customWidth="1"/>
    <col min="792" max="792" width="11" style="175" customWidth="1"/>
    <col min="793" max="1033" width="9.140625" style="175"/>
    <col min="1034" max="1034" width="9" style="175" customWidth="1"/>
    <col min="1035" max="1035" width="21.28515625" style="175" customWidth="1"/>
    <col min="1036" max="1036" width="12.140625" style="175" customWidth="1"/>
    <col min="1037" max="1037" width="10.42578125" style="175" customWidth="1"/>
    <col min="1038" max="1038" width="18" style="175" customWidth="1"/>
    <col min="1039" max="1039" width="14.7109375" style="175" customWidth="1"/>
    <col min="1040" max="1040" width="14.85546875" style="175" customWidth="1"/>
    <col min="1041" max="1041" width="10.42578125" style="175" customWidth="1"/>
    <col min="1042" max="1042" width="17" style="175" customWidth="1"/>
    <col min="1043" max="1043" width="12.7109375" style="175" customWidth="1"/>
    <col min="1044" max="1044" width="34.5703125" style="175" customWidth="1"/>
    <col min="1045" max="1045" width="15.5703125" style="175" customWidth="1"/>
    <col min="1046" max="1046" width="40.140625" style="175" customWidth="1"/>
    <col min="1047" max="1047" width="12.42578125" style="175" customWidth="1"/>
    <col min="1048" max="1048" width="11" style="175" customWidth="1"/>
    <col min="1049" max="1289" width="9.140625" style="175"/>
    <col min="1290" max="1290" width="9" style="175" customWidth="1"/>
    <col min="1291" max="1291" width="21.28515625" style="175" customWidth="1"/>
    <col min="1292" max="1292" width="12.140625" style="175" customWidth="1"/>
    <col min="1293" max="1293" width="10.42578125" style="175" customWidth="1"/>
    <col min="1294" max="1294" width="18" style="175" customWidth="1"/>
    <col min="1295" max="1295" width="14.7109375" style="175" customWidth="1"/>
    <col min="1296" max="1296" width="14.85546875" style="175" customWidth="1"/>
    <col min="1297" max="1297" width="10.42578125" style="175" customWidth="1"/>
    <col min="1298" max="1298" width="17" style="175" customWidth="1"/>
    <col min="1299" max="1299" width="12.7109375" style="175" customWidth="1"/>
    <col min="1300" max="1300" width="34.5703125" style="175" customWidth="1"/>
    <col min="1301" max="1301" width="15.5703125" style="175" customWidth="1"/>
    <col min="1302" max="1302" width="40.140625" style="175" customWidth="1"/>
    <col min="1303" max="1303" width="12.42578125" style="175" customWidth="1"/>
    <col min="1304" max="1304" width="11" style="175" customWidth="1"/>
    <col min="1305" max="1545" width="9.140625" style="175"/>
    <col min="1546" max="1546" width="9" style="175" customWidth="1"/>
    <col min="1547" max="1547" width="21.28515625" style="175" customWidth="1"/>
    <col min="1548" max="1548" width="12.140625" style="175" customWidth="1"/>
    <col min="1549" max="1549" width="10.42578125" style="175" customWidth="1"/>
    <col min="1550" max="1550" width="18" style="175" customWidth="1"/>
    <col min="1551" max="1551" width="14.7109375" style="175" customWidth="1"/>
    <col min="1552" max="1552" width="14.85546875" style="175" customWidth="1"/>
    <col min="1553" max="1553" width="10.42578125" style="175" customWidth="1"/>
    <col min="1554" max="1554" width="17" style="175" customWidth="1"/>
    <col min="1555" max="1555" width="12.7109375" style="175" customWidth="1"/>
    <col min="1556" max="1556" width="34.5703125" style="175" customWidth="1"/>
    <col min="1557" max="1557" width="15.5703125" style="175" customWidth="1"/>
    <col min="1558" max="1558" width="40.140625" style="175" customWidth="1"/>
    <col min="1559" max="1559" width="12.42578125" style="175" customWidth="1"/>
    <col min="1560" max="1560" width="11" style="175" customWidth="1"/>
    <col min="1561" max="1801" width="9.140625" style="175"/>
    <col min="1802" max="1802" width="9" style="175" customWidth="1"/>
    <col min="1803" max="1803" width="21.28515625" style="175" customWidth="1"/>
    <col min="1804" max="1804" width="12.140625" style="175" customWidth="1"/>
    <col min="1805" max="1805" width="10.42578125" style="175" customWidth="1"/>
    <col min="1806" max="1806" width="18" style="175" customWidth="1"/>
    <col min="1807" max="1807" width="14.7109375" style="175" customWidth="1"/>
    <col min="1808" max="1808" width="14.85546875" style="175" customWidth="1"/>
    <col min="1809" max="1809" width="10.42578125" style="175" customWidth="1"/>
    <col min="1810" max="1810" width="17" style="175" customWidth="1"/>
    <col min="1811" max="1811" width="12.7109375" style="175" customWidth="1"/>
    <col min="1812" max="1812" width="34.5703125" style="175" customWidth="1"/>
    <col min="1813" max="1813" width="15.5703125" style="175" customWidth="1"/>
    <col min="1814" max="1814" width="40.140625" style="175" customWidth="1"/>
    <col min="1815" max="1815" width="12.42578125" style="175" customWidth="1"/>
    <col min="1816" max="1816" width="11" style="175" customWidth="1"/>
    <col min="1817" max="2057" width="9.140625" style="175"/>
    <col min="2058" max="2058" width="9" style="175" customWidth="1"/>
    <col min="2059" max="2059" width="21.28515625" style="175" customWidth="1"/>
    <col min="2060" max="2060" width="12.140625" style="175" customWidth="1"/>
    <col min="2061" max="2061" width="10.42578125" style="175" customWidth="1"/>
    <col min="2062" max="2062" width="18" style="175" customWidth="1"/>
    <col min="2063" max="2063" width="14.7109375" style="175" customWidth="1"/>
    <col min="2064" max="2064" width="14.85546875" style="175" customWidth="1"/>
    <col min="2065" max="2065" width="10.42578125" style="175" customWidth="1"/>
    <col min="2066" max="2066" width="17" style="175" customWidth="1"/>
    <col min="2067" max="2067" width="12.7109375" style="175" customWidth="1"/>
    <col min="2068" max="2068" width="34.5703125" style="175" customWidth="1"/>
    <col min="2069" max="2069" width="15.5703125" style="175" customWidth="1"/>
    <col min="2070" max="2070" width="40.140625" style="175" customWidth="1"/>
    <col min="2071" max="2071" width="12.42578125" style="175" customWidth="1"/>
    <col min="2072" max="2072" width="11" style="175" customWidth="1"/>
    <col min="2073" max="2313" width="9.140625" style="175"/>
    <col min="2314" max="2314" width="9" style="175" customWidth="1"/>
    <col min="2315" max="2315" width="21.28515625" style="175" customWidth="1"/>
    <col min="2316" max="2316" width="12.140625" style="175" customWidth="1"/>
    <col min="2317" max="2317" width="10.42578125" style="175" customWidth="1"/>
    <col min="2318" max="2318" width="18" style="175" customWidth="1"/>
    <col min="2319" max="2319" width="14.7109375" style="175" customWidth="1"/>
    <col min="2320" max="2320" width="14.85546875" style="175" customWidth="1"/>
    <col min="2321" max="2321" width="10.42578125" style="175" customWidth="1"/>
    <col min="2322" max="2322" width="17" style="175" customWidth="1"/>
    <col min="2323" max="2323" width="12.7109375" style="175" customWidth="1"/>
    <col min="2324" max="2324" width="34.5703125" style="175" customWidth="1"/>
    <col min="2325" max="2325" width="15.5703125" style="175" customWidth="1"/>
    <col min="2326" max="2326" width="40.140625" style="175" customWidth="1"/>
    <col min="2327" max="2327" width="12.42578125" style="175" customWidth="1"/>
    <col min="2328" max="2328" width="11" style="175" customWidth="1"/>
    <col min="2329" max="2569" width="9.140625" style="175"/>
    <col min="2570" max="2570" width="9" style="175" customWidth="1"/>
    <col min="2571" max="2571" width="21.28515625" style="175" customWidth="1"/>
    <col min="2572" max="2572" width="12.140625" style="175" customWidth="1"/>
    <col min="2573" max="2573" width="10.42578125" style="175" customWidth="1"/>
    <col min="2574" max="2574" width="18" style="175" customWidth="1"/>
    <col min="2575" max="2575" width="14.7109375" style="175" customWidth="1"/>
    <col min="2576" max="2576" width="14.85546875" style="175" customWidth="1"/>
    <col min="2577" max="2577" width="10.42578125" style="175" customWidth="1"/>
    <col min="2578" max="2578" width="17" style="175" customWidth="1"/>
    <col min="2579" max="2579" width="12.7109375" style="175" customWidth="1"/>
    <col min="2580" max="2580" width="34.5703125" style="175" customWidth="1"/>
    <col min="2581" max="2581" width="15.5703125" style="175" customWidth="1"/>
    <col min="2582" max="2582" width="40.140625" style="175" customWidth="1"/>
    <col min="2583" max="2583" width="12.42578125" style="175" customWidth="1"/>
    <col min="2584" max="2584" width="11" style="175" customWidth="1"/>
    <col min="2585" max="2825" width="9.140625" style="175"/>
    <col min="2826" max="2826" width="9" style="175" customWidth="1"/>
    <col min="2827" max="2827" width="21.28515625" style="175" customWidth="1"/>
    <col min="2828" max="2828" width="12.140625" style="175" customWidth="1"/>
    <col min="2829" max="2829" width="10.42578125" style="175" customWidth="1"/>
    <col min="2830" max="2830" width="18" style="175" customWidth="1"/>
    <col min="2831" max="2831" width="14.7109375" style="175" customWidth="1"/>
    <col min="2832" max="2832" width="14.85546875" style="175" customWidth="1"/>
    <col min="2833" max="2833" width="10.42578125" style="175" customWidth="1"/>
    <col min="2834" max="2834" width="17" style="175" customWidth="1"/>
    <col min="2835" max="2835" width="12.7109375" style="175" customWidth="1"/>
    <col min="2836" max="2836" width="34.5703125" style="175" customWidth="1"/>
    <col min="2837" max="2837" width="15.5703125" style="175" customWidth="1"/>
    <col min="2838" max="2838" width="40.140625" style="175" customWidth="1"/>
    <col min="2839" max="2839" width="12.42578125" style="175" customWidth="1"/>
    <col min="2840" max="2840" width="11" style="175" customWidth="1"/>
    <col min="2841" max="3081" width="9.140625" style="175"/>
    <col min="3082" max="3082" width="9" style="175" customWidth="1"/>
    <col min="3083" max="3083" width="21.28515625" style="175" customWidth="1"/>
    <col min="3084" max="3084" width="12.140625" style="175" customWidth="1"/>
    <col min="3085" max="3085" width="10.42578125" style="175" customWidth="1"/>
    <col min="3086" max="3086" width="18" style="175" customWidth="1"/>
    <col min="3087" max="3087" width="14.7109375" style="175" customWidth="1"/>
    <col min="3088" max="3088" width="14.85546875" style="175" customWidth="1"/>
    <col min="3089" max="3089" width="10.42578125" style="175" customWidth="1"/>
    <col min="3090" max="3090" width="17" style="175" customWidth="1"/>
    <col min="3091" max="3091" width="12.7109375" style="175" customWidth="1"/>
    <col min="3092" max="3092" width="34.5703125" style="175" customWidth="1"/>
    <col min="3093" max="3093" width="15.5703125" style="175" customWidth="1"/>
    <col min="3094" max="3094" width="40.140625" style="175" customWidth="1"/>
    <col min="3095" max="3095" width="12.42578125" style="175" customWidth="1"/>
    <col min="3096" max="3096" width="11" style="175" customWidth="1"/>
    <col min="3097" max="3337" width="9.140625" style="175"/>
    <col min="3338" max="3338" width="9" style="175" customWidth="1"/>
    <col min="3339" max="3339" width="21.28515625" style="175" customWidth="1"/>
    <col min="3340" max="3340" width="12.140625" style="175" customWidth="1"/>
    <col min="3341" max="3341" width="10.42578125" style="175" customWidth="1"/>
    <col min="3342" max="3342" width="18" style="175" customWidth="1"/>
    <col min="3343" max="3343" width="14.7109375" style="175" customWidth="1"/>
    <col min="3344" max="3344" width="14.85546875" style="175" customWidth="1"/>
    <col min="3345" max="3345" width="10.42578125" style="175" customWidth="1"/>
    <col min="3346" max="3346" width="17" style="175" customWidth="1"/>
    <col min="3347" max="3347" width="12.7109375" style="175" customWidth="1"/>
    <col min="3348" max="3348" width="34.5703125" style="175" customWidth="1"/>
    <col min="3349" max="3349" width="15.5703125" style="175" customWidth="1"/>
    <col min="3350" max="3350" width="40.140625" style="175" customWidth="1"/>
    <col min="3351" max="3351" width="12.42578125" style="175" customWidth="1"/>
    <col min="3352" max="3352" width="11" style="175" customWidth="1"/>
    <col min="3353" max="3593" width="9.140625" style="175"/>
    <col min="3594" max="3594" width="9" style="175" customWidth="1"/>
    <col min="3595" max="3595" width="21.28515625" style="175" customWidth="1"/>
    <col min="3596" max="3596" width="12.140625" style="175" customWidth="1"/>
    <col min="3597" max="3597" width="10.42578125" style="175" customWidth="1"/>
    <col min="3598" max="3598" width="18" style="175" customWidth="1"/>
    <col min="3599" max="3599" width="14.7109375" style="175" customWidth="1"/>
    <col min="3600" max="3600" width="14.85546875" style="175" customWidth="1"/>
    <col min="3601" max="3601" width="10.42578125" style="175" customWidth="1"/>
    <col min="3602" max="3602" width="17" style="175" customWidth="1"/>
    <col min="3603" max="3603" width="12.7109375" style="175" customWidth="1"/>
    <col min="3604" max="3604" width="34.5703125" style="175" customWidth="1"/>
    <col min="3605" max="3605" width="15.5703125" style="175" customWidth="1"/>
    <col min="3606" max="3606" width="40.140625" style="175" customWidth="1"/>
    <col min="3607" max="3607" width="12.42578125" style="175" customWidth="1"/>
    <col min="3608" max="3608" width="11" style="175" customWidth="1"/>
    <col min="3609" max="3849" width="9.140625" style="175"/>
    <col min="3850" max="3850" width="9" style="175" customWidth="1"/>
    <col min="3851" max="3851" width="21.28515625" style="175" customWidth="1"/>
    <col min="3852" max="3852" width="12.140625" style="175" customWidth="1"/>
    <col min="3853" max="3853" width="10.42578125" style="175" customWidth="1"/>
    <col min="3854" max="3854" width="18" style="175" customWidth="1"/>
    <col min="3855" max="3855" width="14.7109375" style="175" customWidth="1"/>
    <col min="3856" max="3856" width="14.85546875" style="175" customWidth="1"/>
    <col min="3857" max="3857" width="10.42578125" style="175" customWidth="1"/>
    <col min="3858" max="3858" width="17" style="175" customWidth="1"/>
    <col min="3859" max="3859" width="12.7109375" style="175" customWidth="1"/>
    <col min="3860" max="3860" width="34.5703125" style="175" customWidth="1"/>
    <col min="3861" max="3861" width="15.5703125" style="175" customWidth="1"/>
    <col min="3862" max="3862" width="40.140625" style="175" customWidth="1"/>
    <col min="3863" max="3863" width="12.42578125" style="175" customWidth="1"/>
    <col min="3864" max="3864" width="11" style="175" customWidth="1"/>
    <col min="3865" max="4105" width="9.140625" style="175"/>
    <col min="4106" max="4106" width="9" style="175" customWidth="1"/>
    <col min="4107" max="4107" width="21.28515625" style="175" customWidth="1"/>
    <col min="4108" max="4108" width="12.140625" style="175" customWidth="1"/>
    <col min="4109" max="4109" width="10.42578125" style="175" customWidth="1"/>
    <col min="4110" max="4110" width="18" style="175" customWidth="1"/>
    <col min="4111" max="4111" width="14.7109375" style="175" customWidth="1"/>
    <col min="4112" max="4112" width="14.85546875" style="175" customWidth="1"/>
    <col min="4113" max="4113" width="10.42578125" style="175" customWidth="1"/>
    <col min="4114" max="4114" width="17" style="175" customWidth="1"/>
    <col min="4115" max="4115" width="12.7109375" style="175" customWidth="1"/>
    <col min="4116" max="4116" width="34.5703125" style="175" customWidth="1"/>
    <col min="4117" max="4117" width="15.5703125" style="175" customWidth="1"/>
    <col min="4118" max="4118" width="40.140625" style="175" customWidth="1"/>
    <col min="4119" max="4119" width="12.42578125" style="175" customWidth="1"/>
    <col min="4120" max="4120" width="11" style="175" customWidth="1"/>
    <col min="4121" max="4361" width="9.140625" style="175"/>
    <col min="4362" max="4362" width="9" style="175" customWidth="1"/>
    <col min="4363" max="4363" width="21.28515625" style="175" customWidth="1"/>
    <col min="4364" max="4364" width="12.140625" style="175" customWidth="1"/>
    <col min="4365" max="4365" width="10.42578125" style="175" customWidth="1"/>
    <col min="4366" max="4366" width="18" style="175" customWidth="1"/>
    <col min="4367" max="4367" width="14.7109375" style="175" customWidth="1"/>
    <col min="4368" max="4368" width="14.85546875" style="175" customWidth="1"/>
    <col min="4369" max="4369" width="10.42578125" style="175" customWidth="1"/>
    <col min="4370" max="4370" width="17" style="175" customWidth="1"/>
    <col min="4371" max="4371" width="12.7109375" style="175" customWidth="1"/>
    <col min="4372" max="4372" width="34.5703125" style="175" customWidth="1"/>
    <col min="4373" max="4373" width="15.5703125" style="175" customWidth="1"/>
    <col min="4374" max="4374" width="40.140625" style="175" customWidth="1"/>
    <col min="4375" max="4375" width="12.42578125" style="175" customWidth="1"/>
    <col min="4376" max="4376" width="11" style="175" customWidth="1"/>
    <col min="4377" max="4617" width="9.140625" style="175"/>
    <col min="4618" max="4618" width="9" style="175" customWidth="1"/>
    <col min="4619" max="4619" width="21.28515625" style="175" customWidth="1"/>
    <col min="4620" max="4620" width="12.140625" style="175" customWidth="1"/>
    <col min="4621" max="4621" width="10.42578125" style="175" customWidth="1"/>
    <col min="4622" max="4622" width="18" style="175" customWidth="1"/>
    <col min="4623" max="4623" width="14.7109375" style="175" customWidth="1"/>
    <col min="4624" max="4624" width="14.85546875" style="175" customWidth="1"/>
    <col min="4625" max="4625" width="10.42578125" style="175" customWidth="1"/>
    <col min="4626" max="4626" width="17" style="175" customWidth="1"/>
    <col min="4627" max="4627" width="12.7109375" style="175" customWidth="1"/>
    <col min="4628" max="4628" width="34.5703125" style="175" customWidth="1"/>
    <col min="4629" max="4629" width="15.5703125" style="175" customWidth="1"/>
    <col min="4630" max="4630" width="40.140625" style="175" customWidth="1"/>
    <col min="4631" max="4631" width="12.42578125" style="175" customWidth="1"/>
    <col min="4632" max="4632" width="11" style="175" customWidth="1"/>
    <col min="4633" max="4873" width="9.140625" style="175"/>
    <col min="4874" max="4874" width="9" style="175" customWidth="1"/>
    <col min="4875" max="4875" width="21.28515625" style="175" customWidth="1"/>
    <col min="4876" max="4876" width="12.140625" style="175" customWidth="1"/>
    <col min="4877" max="4877" width="10.42578125" style="175" customWidth="1"/>
    <col min="4878" max="4878" width="18" style="175" customWidth="1"/>
    <col min="4879" max="4879" width="14.7109375" style="175" customWidth="1"/>
    <col min="4880" max="4880" width="14.85546875" style="175" customWidth="1"/>
    <col min="4881" max="4881" width="10.42578125" style="175" customWidth="1"/>
    <col min="4882" max="4882" width="17" style="175" customWidth="1"/>
    <col min="4883" max="4883" width="12.7109375" style="175" customWidth="1"/>
    <col min="4884" max="4884" width="34.5703125" style="175" customWidth="1"/>
    <col min="4885" max="4885" width="15.5703125" style="175" customWidth="1"/>
    <col min="4886" max="4886" width="40.140625" style="175" customWidth="1"/>
    <col min="4887" max="4887" width="12.42578125" style="175" customWidth="1"/>
    <col min="4888" max="4888" width="11" style="175" customWidth="1"/>
    <col min="4889" max="5129" width="9.140625" style="175"/>
    <col min="5130" max="5130" width="9" style="175" customWidth="1"/>
    <col min="5131" max="5131" width="21.28515625" style="175" customWidth="1"/>
    <col min="5132" max="5132" width="12.140625" style="175" customWidth="1"/>
    <col min="5133" max="5133" width="10.42578125" style="175" customWidth="1"/>
    <col min="5134" max="5134" width="18" style="175" customWidth="1"/>
    <col min="5135" max="5135" width="14.7109375" style="175" customWidth="1"/>
    <col min="5136" max="5136" width="14.85546875" style="175" customWidth="1"/>
    <col min="5137" max="5137" width="10.42578125" style="175" customWidth="1"/>
    <col min="5138" max="5138" width="17" style="175" customWidth="1"/>
    <col min="5139" max="5139" width="12.7109375" style="175" customWidth="1"/>
    <col min="5140" max="5140" width="34.5703125" style="175" customWidth="1"/>
    <col min="5141" max="5141" width="15.5703125" style="175" customWidth="1"/>
    <col min="5142" max="5142" width="40.140625" style="175" customWidth="1"/>
    <col min="5143" max="5143" width="12.42578125" style="175" customWidth="1"/>
    <col min="5144" max="5144" width="11" style="175" customWidth="1"/>
    <col min="5145" max="5385" width="9.140625" style="175"/>
    <col min="5386" max="5386" width="9" style="175" customWidth="1"/>
    <col min="5387" max="5387" width="21.28515625" style="175" customWidth="1"/>
    <col min="5388" max="5388" width="12.140625" style="175" customWidth="1"/>
    <col min="5389" max="5389" width="10.42578125" style="175" customWidth="1"/>
    <col min="5390" max="5390" width="18" style="175" customWidth="1"/>
    <col min="5391" max="5391" width="14.7109375" style="175" customWidth="1"/>
    <col min="5392" max="5392" width="14.85546875" style="175" customWidth="1"/>
    <col min="5393" max="5393" width="10.42578125" style="175" customWidth="1"/>
    <col min="5394" max="5394" width="17" style="175" customWidth="1"/>
    <col min="5395" max="5395" width="12.7109375" style="175" customWidth="1"/>
    <col min="5396" max="5396" width="34.5703125" style="175" customWidth="1"/>
    <col min="5397" max="5397" width="15.5703125" style="175" customWidth="1"/>
    <col min="5398" max="5398" width="40.140625" style="175" customWidth="1"/>
    <col min="5399" max="5399" width="12.42578125" style="175" customWidth="1"/>
    <col min="5400" max="5400" width="11" style="175" customWidth="1"/>
    <col min="5401" max="5641" width="9.140625" style="175"/>
    <col min="5642" max="5642" width="9" style="175" customWidth="1"/>
    <col min="5643" max="5643" width="21.28515625" style="175" customWidth="1"/>
    <col min="5644" max="5644" width="12.140625" style="175" customWidth="1"/>
    <col min="5645" max="5645" width="10.42578125" style="175" customWidth="1"/>
    <col min="5646" max="5646" width="18" style="175" customWidth="1"/>
    <col min="5647" max="5647" width="14.7109375" style="175" customWidth="1"/>
    <col min="5648" max="5648" width="14.85546875" style="175" customWidth="1"/>
    <col min="5649" max="5649" width="10.42578125" style="175" customWidth="1"/>
    <col min="5650" max="5650" width="17" style="175" customWidth="1"/>
    <col min="5651" max="5651" width="12.7109375" style="175" customWidth="1"/>
    <col min="5652" max="5652" width="34.5703125" style="175" customWidth="1"/>
    <col min="5653" max="5653" width="15.5703125" style="175" customWidth="1"/>
    <col min="5654" max="5654" width="40.140625" style="175" customWidth="1"/>
    <col min="5655" max="5655" width="12.42578125" style="175" customWidth="1"/>
    <col min="5656" max="5656" width="11" style="175" customWidth="1"/>
    <col min="5657" max="5897" width="9.140625" style="175"/>
    <col min="5898" max="5898" width="9" style="175" customWidth="1"/>
    <col min="5899" max="5899" width="21.28515625" style="175" customWidth="1"/>
    <col min="5900" max="5900" width="12.140625" style="175" customWidth="1"/>
    <col min="5901" max="5901" width="10.42578125" style="175" customWidth="1"/>
    <col min="5902" max="5902" width="18" style="175" customWidth="1"/>
    <col min="5903" max="5903" width="14.7109375" style="175" customWidth="1"/>
    <col min="5904" max="5904" width="14.85546875" style="175" customWidth="1"/>
    <col min="5905" max="5905" width="10.42578125" style="175" customWidth="1"/>
    <col min="5906" max="5906" width="17" style="175" customWidth="1"/>
    <col min="5907" max="5907" width="12.7109375" style="175" customWidth="1"/>
    <col min="5908" max="5908" width="34.5703125" style="175" customWidth="1"/>
    <col min="5909" max="5909" width="15.5703125" style="175" customWidth="1"/>
    <col min="5910" max="5910" width="40.140625" style="175" customWidth="1"/>
    <col min="5911" max="5911" width="12.42578125" style="175" customWidth="1"/>
    <col min="5912" max="5912" width="11" style="175" customWidth="1"/>
    <col min="5913" max="6153" width="9.140625" style="175"/>
    <col min="6154" max="6154" width="9" style="175" customWidth="1"/>
    <col min="6155" max="6155" width="21.28515625" style="175" customWidth="1"/>
    <col min="6156" max="6156" width="12.140625" style="175" customWidth="1"/>
    <col min="6157" max="6157" width="10.42578125" style="175" customWidth="1"/>
    <col min="6158" max="6158" width="18" style="175" customWidth="1"/>
    <col min="6159" max="6159" width="14.7109375" style="175" customWidth="1"/>
    <col min="6160" max="6160" width="14.85546875" style="175" customWidth="1"/>
    <col min="6161" max="6161" width="10.42578125" style="175" customWidth="1"/>
    <col min="6162" max="6162" width="17" style="175" customWidth="1"/>
    <col min="6163" max="6163" width="12.7109375" style="175" customWidth="1"/>
    <col min="6164" max="6164" width="34.5703125" style="175" customWidth="1"/>
    <col min="6165" max="6165" width="15.5703125" style="175" customWidth="1"/>
    <col min="6166" max="6166" width="40.140625" style="175" customWidth="1"/>
    <col min="6167" max="6167" width="12.42578125" style="175" customWidth="1"/>
    <col min="6168" max="6168" width="11" style="175" customWidth="1"/>
    <col min="6169" max="6409" width="9.140625" style="175"/>
    <col min="6410" max="6410" width="9" style="175" customWidth="1"/>
    <col min="6411" max="6411" width="21.28515625" style="175" customWidth="1"/>
    <col min="6412" max="6412" width="12.140625" style="175" customWidth="1"/>
    <col min="6413" max="6413" width="10.42578125" style="175" customWidth="1"/>
    <col min="6414" max="6414" width="18" style="175" customWidth="1"/>
    <col min="6415" max="6415" width="14.7109375" style="175" customWidth="1"/>
    <col min="6416" max="6416" width="14.85546875" style="175" customWidth="1"/>
    <col min="6417" max="6417" width="10.42578125" style="175" customWidth="1"/>
    <col min="6418" max="6418" width="17" style="175" customWidth="1"/>
    <col min="6419" max="6419" width="12.7109375" style="175" customWidth="1"/>
    <col min="6420" max="6420" width="34.5703125" style="175" customWidth="1"/>
    <col min="6421" max="6421" width="15.5703125" style="175" customWidth="1"/>
    <col min="6422" max="6422" width="40.140625" style="175" customWidth="1"/>
    <col min="6423" max="6423" width="12.42578125" style="175" customWidth="1"/>
    <col min="6424" max="6424" width="11" style="175" customWidth="1"/>
    <col min="6425" max="6665" width="9.140625" style="175"/>
    <col min="6666" max="6666" width="9" style="175" customWidth="1"/>
    <col min="6667" max="6667" width="21.28515625" style="175" customWidth="1"/>
    <col min="6668" max="6668" width="12.140625" style="175" customWidth="1"/>
    <col min="6669" max="6669" width="10.42578125" style="175" customWidth="1"/>
    <col min="6670" max="6670" width="18" style="175" customWidth="1"/>
    <col min="6671" max="6671" width="14.7109375" style="175" customWidth="1"/>
    <col min="6672" max="6672" width="14.85546875" style="175" customWidth="1"/>
    <col min="6673" max="6673" width="10.42578125" style="175" customWidth="1"/>
    <col min="6674" max="6674" width="17" style="175" customWidth="1"/>
    <col min="6675" max="6675" width="12.7109375" style="175" customWidth="1"/>
    <col min="6676" max="6676" width="34.5703125" style="175" customWidth="1"/>
    <col min="6677" max="6677" width="15.5703125" style="175" customWidth="1"/>
    <col min="6678" max="6678" width="40.140625" style="175" customWidth="1"/>
    <col min="6679" max="6679" width="12.42578125" style="175" customWidth="1"/>
    <col min="6680" max="6680" width="11" style="175" customWidth="1"/>
    <col min="6681" max="6921" width="9.140625" style="175"/>
    <col min="6922" max="6922" width="9" style="175" customWidth="1"/>
    <col min="6923" max="6923" width="21.28515625" style="175" customWidth="1"/>
    <col min="6924" max="6924" width="12.140625" style="175" customWidth="1"/>
    <col min="6925" max="6925" width="10.42578125" style="175" customWidth="1"/>
    <col min="6926" max="6926" width="18" style="175" customWidth="1"/>
    <col min="6927" max="6927" width="14.7109375" style="175" customWidth="1"/>
    <col min="6928" max="6928" width="14.85546875" style="175" customWidth="1"/>
    <col min="6929" max="6929" width="10.42578125" style="175" customWidth="1"/>
    <col min="6930" max="6930" width="17" style="175" customWidth="1"/>
    <col min="6931" max="6931" width="12.7109375" style="175" customWidth="1"/>
    <col min="6932" max="6932" width="34.5703125" style="175" customWidth="1"/>
    <col min="6933" max="6933" width="15.5703125" style="175" customWidth="1"/>
    <col min="6934" max="6934" width="40.140625" style="175" customWidth="1"/>
    <col min="6935" max="6935" width="12.42578125" style="175" customWidth="1"/>
    <col min="6936" max="6936" width="11" style="175" customWidth="1"/>
    <col min="6937" max="7177" width="9.140625" style="175"/>
    <col min="7178" max="7178" width="9" style="175" customWidth="1"/>
    <col min="7179" max="7179" width="21.28515625" style="175" customWidth="1"/>
    <col min="7180" max="7180" width="12.140625" style="175" customWidth="1"/>
    <col min="7181" max="7181" width="10.42578125" style="175" customWidth="1"/>
    <col min="7182" max="7182" width="18" style="175" customWidth="1"/>
    <col min="7183" max="7183" width="14.7109375" style="175" customWidth="1"/>
    <col min="7184" max="7184" width="14.85546875" style="175" customWidth="1"/>
    <col min="7185" max="7185" width="10.42578125" style="175" customWidth="1"/>
    <col min="7186" max="7186" width="17" style="175" customWidth="1"/>
    <col min="7187" max="7187" width="12.7109375" style="175" customWidth="1"/>
    <col min="7188" max="7188" width="34.5703125" style="175" customWidth="1"/>
    <col min="7189" max="7189" width="15.5703125" style="175" customWidth="1"/>
    <col min="7190" max="7190" width="40.140625" style="175" customWidth="1"/>
    <col min="7191" max="7191" width="12.42578125" style="175" customWidth="1"/>
    <col min="7192" max="7192" width="11" style="175" customWidth="1"/>
    <col min="7193" max="7433" width="9.140625" style="175"/>
    <col min="7434" max="7434" width="9" style="175" customWidth="1"/>
    <col min="7435" max="7435" width="21.28515625" style="175" customWidth="1"/>
    <col min="7436" max="7436" width="12.140625" style="175" customWidth="1"/>
    <col min="7437" max="7437" width="10.42578125" style="175" customWidth="1"/>
    <col min="7438" max="7438" width="18" style="175" customWidth="1"/>
    <col min="7439" max="7439" width="14.7109375" style="175" customWidth="1"/>
    <col min="7440" max="7440" width="14.85546875" style="175" customWidth="1"/>
    <col min="7441" max="7441" width="10.42578125" style="175" customWidth="1"/>
    <col min="7442" max="7442" width="17" style="175" customWidth="1"/>
    <col min="7443" max="7443" width="12.7109375" style="175" customWidth="1"/>
    <col min="7444" max="7444" width="34.5703125" style="175" customWidth="1"/>
    <col min="7445" max="7445" width="15.5703125" style="175" customWidth="1"/>
    <col min="7446" max="7446" width="40.140625" style="175" customWidth="1"/>
    <col min="7447" max="7447" width="12.42578125" style="175" customWidth="1"/>
    <col min="7448" max="7448" width="11" style="175" customWidth="1"/>
    <col min="7449" max="7689" width="9.140625" style="175"/>
    <col min="7690" max="7690" width="9" style="175" customWidth="1"/>
    <col min="7691" max="7691" width="21.28515625" style="175" customWidth="1"/>
    <col min="7692" max="7692" width="12.140625" style="175" customWidth="1"/>
    <col min="7693" max="7693" width="10.42578125" style="175" customWidth="1"/>
    <col min="7694" max="7694" width="18" style="175" customWidth="1"/>
    <col min="7695" max="7695" width="14.7109375" style="175" customWidth="1"/>
    <col min="7696" max="7696" width="14.85546875" style="175" customWidth="1"/>
    <col min="7697" max="7697" width="10.42578125" style="175" customWidth="1"/>
    <col min="7698" max="7698" width="17" style="175" customWidth="1"/>
    <col min="7699" max="7699" width="12.7109375" style="175" customWidth="1"/>
    <col min="7700" max="7700" width="34.5703125" style="175" customWidth="1"/>
    <col min="7701" max="7701" width="15.5703125" style="175" customWidth="1"/>
    <col min="7702" max="7702" width="40.140625" style="175" customWidth="1"/>
    <col min="7703" max="7703" width="12.42578125" style="175" customWidth="1"/>
    <col min="7704" max="7704" width="11" style="175" customWidth="1"/>
    <col min="7705" max="7945" width="9.140625" style="175"/>
    <col min="7946" max="7946" width="9" style="175" customWidth="1"/>
    <col min="7947" max="7947" width="21.28515625" style="175" customWidth="1"/>
    <col min="7948" max="7948" width="12.140625" style="175" customWidth="1"/>
    <col min="7949" max="7949" width="10.42578125" style="175" customWidth="1"/>
    <col min="7950" max="7950" width="18" style="175" customWidth="1"/>
    <col min="7951" max="7951" width="14.7109375" style="175" customWidth="1"/>
    <col min="7952" max="7952" width="14.85546875" style="175" customWidth="1"/>
    <col min="7953" max="7953" width="10.42578125" style="175" customWidth="1"/>
    <col min="7954" max="7954" width="17" style="175" customWidth="1"/>
    <col min="7955" max="7955" width="12.7109375" style="175" customWidth="1"/>
    <col min="7956" max="7956" width="34.5703125" style="175" customWidth="1"/>
    <col min="7957" max="7957" width="15.5703125" style="175" customWidth="1"/>
    <col min="7958" max="7958" width="40.140625" style="175" customWidth="1"/>
    <col min="7959" max="7959" width="12.42578125" style="175" customWidth="1"/>
    <col min="7960" max="7960" width="11" style="175" customWidth="1"/>
    <col min="7961" max="8201" width="9.140625" style="175"/>
    <col min="8202" max="8202" width="9" style="175" customWidth="1"/>
    <col min="8203" max="8203" width="21.28515625" style="175" customWidth="1"/>
    <col min="8204" max="8204" width="12.140625" style="175" customWidth="1"/>
    <col min="8205" max="8205" width="10.42578125" style="175" customWidth="1"/>
    <col min="8206" max="8206" width="18" style="175" customWidth="1"/>
    <col min="8207" max="8207" width="14.7109375" style="175" customWidth="1"/>
    <col min="8208" max="8208" width="14.85546875" style="175" customWidth="1"/>
    <col min="8209" max="8209" width="10.42578125" style="175" customWidth="1"/>
    <col min="8210" max="8210" width="17" style="175" customWidth="1"/>
    <col min="8211" max="8211" width="12.7109375" style="175" customWidth="1"/>
    <col min="8212" max="8212" width="34.5703125" style="175" customWidth="1"/>
    <col min="8213" max="8213" width="15.5703125" style="175" customWidth="1"/>
    <col min="8214" max="8214" width="40.140625" style="175" customWidth="1"/>
    <col min="8215" max="8215" width="12.42578125" style="175" customWidth="1"/>
    <col min="8216" max="8216" width="11" style="175" customWidth="1"/>
    <col min="8217" max="8457" width="9.140625" style="175"/>
    <col min="8458" max="8458" width="9" style="175" customWidth="1"/>
    <col min="8459" max="8459" width="21.28515625" style="175" customWidth="1"/>
    <col min="8460" max="8460" width="12.140625" style="175" customWidth="1"/>
    <col min="8461" max="8461" width="10.42578125" style="175" customWidth="1"/>
    <col min="8462" max="8462" width="18" style="175" customWidth="1"/>
    <col min="8463" max="8463" width="14.7109375" style="175" customWidth="1"/>
    <col min="8464" max="8464" width="14.85546875" style="175" customWidth="1"/>
    <col min="8465" max="8465" width="10.42578125" style="175" customWidth="1"/>
    <col min="8466" max="8466" width="17" style="175" customWidth="1"/>
    <col min="8467" max="8467" width="12.7109375" style="175" customWidth="1"/>
    <col min="8468" max="8468" width="34.5703125" style="175" customWidth="1"/>
    <col min="8469" max="8469" width="15.5703125" style="175" customWidth="1"/>
    <col min="8470" max="8470" width="40.140625" style="175" customWidth="1"/>
    <col min="8471" max="8471" width="12.42578125" style="175" customWidth="1"/>
    <col min="8472" max="8472" width="11" style="175" customWidth="1"/>
    <col min="8473" max="8713" width="9.140625" style="175"/>
    <col min="8714" max="8714" width="9" style="175" customWidth="1"/>
    <col min="8715" max="8715" width="21.28515625" style="175" customWidth="1"/>
    <col min="8716" max="8716" width="12.140625" style="175" customWidth="1"/>
    <col min="8717" max="8717" width="10.42578125" style="175" customWidth="1"/>
    <col min="8718" max="8718" width="18" style="175" customWidth="1"/>
    <col min="8719" max="8719" width="14.7109375" style="175" customWidth="1"/>
    <col min="8720" max="8720" width="14.85546875" style="175" customWidth="1"/>
    <col min="8721" max="8721" width="10.42578125" style="175" customWidth="1"/>
    <col min="8722" max="8722" width="17" style="175" customWidth="1"/>
    <col min="8723" max="8723" width="12.7109375" style="175" customWidth="1"/>
    <col min="8724" max="8724" width="34.5703125" style="175" customWidth="1"/>
    <col min="8725" max="8725" width="15.5703125" style="175" customWidth="1"/>
    <col min="8726" max="8726" width="40.140625" style="175" customWidth="1"/>
    <col min="8727" max="8727" width="12.42578125" style="175" customWidth="1"/>
    <col min="8728" max="8728" width="11" style="175" customWidth="1"/>
    <col min="8729" max="8969" width="9.140625" style="175"/>
    <col min="8970" max="8970" width="9" style="175" customWidth="1"/>
    <col min="8971" max="8971" width="21.28515625" style="175" customWidth="1"/>
    <col min="8972" max="8972" width="12.140625" style="175" customWidth="1"/>
    <col min="8973" max="8973" width="10.42578125" style="175" customWidth="1"/>
    <col min="8974" max="8974" width="18" style="175" customWidth="1"/>
    <col min="8975" max="8975" width="14.7109375" style="175" customWidth="1"/>
    <col min="8976" max="8976" width="14.85546875" style="175" customWidth="1"/>
    <col min="8977" max="8977" width="10.42578125" style="175" customWidth="1"/>
    <col min="8978" max="8978" width="17" style="175" customWidth="1"/>
    <col min="8979" max="8979" width="12.7109375" style="175" customWidth="1"/>
    <col min="8980" max="8980" width="34.5703125" style="175" customWidth="1"/>
    <col min="8981" max="8981" width="15.5703125" style="175" customWidth="1"/>
    <col min="8982" max="8982" width="40.140625" style="175" customWidth="1"/>
    <col min="8983" max="8983" width="12.42578125" style="175" customWidth="1"/>
    <col min="8984" max="8984" width="11" style="175" customWidth="1"/>
    <col min="8985" max="9225" width="9.140625" style="175"/>
    <col min="9226" max="9226" width="9" style="175" customWidth="1"/>
    <col min="9227" max="9227" width="21.28515625" style="175" customWidth="1"/>
    <col min="9228" max="9228" width="12.140625" style="175" customWidth="1"/>
    <col min="9229" max="9229" width="10.42578125" style="175" customWidth="1"/>
    <col min="9230" max="9230" width="18" style="175" customWidth="1"/>
    <col min="9231" max="9231" width="14.7109375" style="175" customWidth="1"/>
    <col min="9232" max="9232" width="14.85546875" style="175" customWidth="1"/>
    <col min="9233" max="9233" width="10.42578125" style="175" customWidth="1"/>
    <col min="9234" max="9234" width="17" style="175" customWidth="1"/>
    <col min="9235" max="9235" width="12.7109375" style="175" customWidth="1"/>
    <col min="9236" max="9236" width="34.5703125" style="175" customWidth="1"/>
    <col min="9237" max="9237" width="15.5703125" style="175" customWidth="1"/>
    <col min="9238" max="9238" width="40.140625" style="175" customWidth="1"/>
    <col min="9239" max="9239" width="12.42578125" style="175" customWidth="1"/>
    <col min="9240" max="9240" width="11" style="175" customWidth="1"/>
    <col min="9241" max="9481" width="9.140625" style="175"/>
    <col min="9482" max="9482" width="9" style="175" customWidth="1"/>
    <col min="9483" max="9483" width="21.28515625" style="175" customWidth="1"/>
    <col min="9484" max="9484" width="12.140625" style="175" customWidth="1"/>
    <col min="9485" max="9485" width="10.42578125" style="175" customWidth="1"/>
    <col min="9486" max="9486" width="18" style="175" customWidth="1"/>
    <col min="9487" max="9487" width="14.7109375" style="175" customWidth="1"/>
    <col min="9488" max="9488" width="14.85546875" style="175" customWidth="1"/>
    <col min="9489" max="9489" width="10.42578125" style="175" customWidth="1"/>
    <col min="9490" max="9490" width="17" style="175" customWidth="1"/>
    <col min="9491" max="9491" width="12.7109375" style="175" customWidth="1"/>
    <col min="9492" max="9492" width="34.5703125" style="175" customWidth="1"/>
    <col min="9493" max="9493" width="15.5703125" style="175" customWidth="1"/>
    <col min="9494" max="9494" width="40.140625" style="175" customWidth="1"/>
    <col min="9495" max="9495" width="12.42578125" style="175" customWidth="1"/>
    <col min="9496" max="9496" width="11" style="175" customWidth="1"/>
    <col min="9497" max="9737" width="9.140625" style="175"/>
    <col min="9738" max="9738" width="9" style="175" customWidth="1"/>
    <col min="9739" max="9739" width="21.28515625" style="175" customWidth="1"/>
    <col min="9740" max="9740" width="12.140625" style="175" customWidth="1"/>
    <col min="9741" max="9741" width="10.42578125" style="175" customWidth="1"/>
    <col min="9742" max="9742" width="18" style="175" customWidth="1"/>
    <col min="9743" max="9743" width="14.7109375" style="175" customWidth="1"/>
    <col min="9744" max="9744" width="14.85546875" style="175" customWidth="1"/>
    <col min="9745" max="9745" width="10.42578125" style="175" customWidth="1"/>
    <col min="9746" max="9746" width="17" style="175" customWidth="1"/>
    <col min="9747" max="9747" width="12.7109375" style="175" customWidth="1"/>
    <col min="9748" max="9748" width="34.5703125" style="175" customWidth="1"/>
    <col min="9749" max="9749" width="15.5703125" style="175" customWidth="1"/>
    <col min="9750" max="9750" width="40.140625" style="175" customWidth="1"/>
    <col min="9751" max="9751" width="12.42578125" style="175" customWidth="1"/>
    <col min="9752" max="9752" width="11" style="175" customWidth="1"/>
    <col min="9753" max="9993" width="9.140625" style="175"/>
    <col min="9994" max="9994" width="9" style="175" customWidth="1"/>
    <col min="9995" max="9995" width="21.28515625" style="175" customWidth="1"/>
    <col min="9996" max="9996" width="12.140625" style="175" customWidth="1"/>
    <col min="9997" max="9997" width="10.42578125" style="175" customWidth="1"/>
    <col min="9998" max="9998" width="18" style="175" customWidth="1"/>
    <col min="9999" max="9999" width="14.7109375" style="175" customWidth="1"/>
    <col min="10000" max="10000" width="14.85546875" style="175" customWidth="1"/>
    <col min="10001" max="10001" width="10.42578125" style="175" customWidth="1"/>
    <col min="10002" max="10002" width="17" style="175" customWidth="1"/>
    <col min="10003" max="10003" width="12.7109375" style="175" customWidth="1"/>
    <col min="10004" max="10004" width="34.5703125" style="175" customWidth="1"/>
    <col min="10005" max="10005" width="15.5703125" style="175" customWidth="1"/>
    <col min="10006" max="10006" width="40.140625" style="175" customWidth="1"/>
    <col min="10007" max="10007" width="12.42578125" style="175" customWidth="1"/>
    <col min="10008" max="10008" width="11" style="175" customWidth="1"/>
    <col min="10009" max="10249" width="9.140625" style="175"/>
    <col min="10250" max="10250" width="9" style="175" customWidth="1"/>
    <col min="10251" max="10251" width="21.28515625" style="175" customWidth="1"/>
    <col min="10252" max="10252" width="12.140625" style="175" customWidth="1"/>
    <col min="10253" max="10253" width="10.42578125" style="175" customWidth="1"/>
    <col min="10254" max="10254" width="18" style="175" customWidth="1"/>
    <col min="10255" max="10255" width="14.7109375" style="175" customWidth="1"/>
    <col min="10256" max="10256" width="14.85546875" style="175" customWidth="1"/>
    <col min="10257" max="10257" width="10.42578125" style="175" customWidth="1"/>
    <col min="10258" max="10258" width="17" style="175" customWidth="1"/>
    <col min="10259" max="10259" width="12.7109375" style="175" customWidth="1"/>
    <col min="10260" max="10260" width="34.5703125" style="175" customWidth="1"/>
    <col min="10261" max="10261" width="15.5703125" style="175" customWidth="1"/>
    <col min="10262" max="10262" width="40.140625" style="175" customWidth="1"/>
    <col min="10263" max="10263" width="12.42578125" style="175" customWidth="1"/>
    <col min="10264" max="10264" width="11" style="175" customWidth="1"/>
    <col min="10265" max="10505" width="9.140625" style="175"/>
    <col min="10506" max="10506" width="9" style="175" customWidth="1"/>
    <col min="10507" max="10507" width="21.28515625" style="175" customWidth="1"/>
    <col min="10508" max="10508" width="12.140625" style="175" customWidth="1"/>
    <col min="10509" max="10509" width="10.42578125" style="175" customWidth="1"/>
    <col min="10510" max="10510" width="18" style="175" customWidth="1"/>
    <col min="10511" max="10511" width="14.7109375" style="175" customWidth="1"/>
    <col min="10512" max="10512" width="14.85546875" style="175" customWidth="1"/>
    <col min="10513" max="10513" width="10.42578125" style="175" customWidth="1"/>
    <col min="10514" max="10514" width="17" style="175" customWidth="1"/>
    <col min="10515" max="10515" width="12.7109375" style="175" customWidth="1"/>
    <col min="10516" max="10516" width="34.5703125" style="175" customWidth="1"/>
    <col min="10517" max="10517" width="15.5703125" style="175" customWidth="1"/>
    <col min="10518" max="10518" width="40.140625" style="175" customWidth="1"/>
    <col min="10519" max="10519" width="12.42578125" style="175" customWidth="1"/>
    <col min="10520" max="10520" width="11" style="175" customWidth="1"/>
    <col min="10521" max="10761" width="9.140625" style="175"/>
    <col min="10762" max="10762" width="9" style="175" customWidth="1"/>
    <col min="10763" max="10763" width="21.28515625" style="175" customWidth="1"/>
    <col min="10764" max="10764" width="12.140625" style="175" customWidth="1"/>
    <col min="10765" max="10765" width="10.42578125" style="175" customWidth="1"/>
    <col min="10766" max="10766" width="18" style="175" customWidth="1"/>
    <col min="10767" max="10767" width="14.7109375" style="175" customWidth="1"/>
    <col min="10768" max="10768" width="14.85546875" style="175" customWidth="1"/>
    <col min="10769" max="10769" width="10.42578125" style="175" customWidth="1"/>
    <col min="10770" max="10770" width="17" style="175" customWidth="1"/>
    <col min="10771" max="10771" width="12.7109375" style="175" customWidth="1"/>
    <col min="10772" max="10772" width="34.5703125" style="175" customWidth="1"/>
    <col min="10773" max="10773" width="15.5703125" style="175" customWidth="1"/>
    <col min="10774" max="10774" width="40.140625" style="175" customWidth="1"/>
    <col min="10775" max="10775" width="12.42578125" style="175" customWidth="1"/>
    <col min="10776" max="10776" width="11" style="175" customWidth="1"/>
    <col min="10777" max="11017" width="9.140625" style="175"/>
    <col min="11018" max="11018" width="9" style="175" customWidth="1"/>
    <col min="11019" max="11019" width="21.28515625" style="175" customWidth="1"/>
    <col min="11020" max="11020" width="12.140625" style="175" customWidth="1"/>
    <col min="11021" max="11021" width="10.42578125" style="175" customWidth="1"/>
    <col min="11022" max="11022" width="18" style="175" customWidth="1"/>
    <col min="11023" max="11023" width="14.7109375" style="175" customWidth="1"/>
    <col min="11024" max="11024" width="14.85546875" style="175" customWidth="1"/>
    <col min="11025" max="11025" width="10.42578125" style="175" customWidth="1"/>
    <col min="11026" max="11026" width="17" style="175" customWidth="1"/>
    <col min="11027" max="11027" width="12.7109375" style="175" customWidth="1"/>
    <col min="11028" max="11028" width="34.5703125" style="175" customWidth="1"/>
    <col min="11029" max="11029" width="15.5703125" style="175" customWidth="1"/>
    <col min="11030" max="11030" width="40.140625" style="175" customWidth="1"/>
    <col min="11031" max="11031" width="12.42578125" style="175" customWidth="1"/>
    <col min="11032" max="11032" width="11" style="175" customWidth="1"/>
    <col min="11033" max="11273" width="9.140625" style="175"/>
    <col min="11274" max="11274" width="9" style="175" customWidth="1"/>
    <col min="11275" max="11275" width="21.28515625" style="175" customWidth="1"/>
    <col min="11276" max="11276" width="12.140625" style="175" customWidth="1"/>
    <col min="11277" max="11277" width="10.42578125" style="175" customWidth="1"/>
    <col min="11278" max="11278" width="18" style="175" customWidth="1"/>
    <col min="11279" max="11279" width="14.7109375" style="175" customWidth="1"/>
    <col min="11280" max="11280" width="14.85546875" style="175" customWidth="1"/>
    <col min="11281" max="11281" width="10.42578125" style="175" customWidth="1"/>
    <col min="11282" max="11282" width="17" style="175" customWidth="1"/>
    <col min="11283" max="11283" width="12.7109375" style="175" customWidth="1"/>
    <col min="11284" max="11284" width="34.5703125" style="175" customWidth="1"/>
    <col min="11285" max="11285" width="15.5703125" style="175" customWidth="1"/>
    <col min="11286" max="11286" width="40.140625" style="175" customWidth="1"/>
    <col min="11287" max="11287" width="12.42578125" style="175" customWidth="1"/>
    <col min="11288" max="11288" width="11" style="175" customWidth="1"/>
    <col min="11289" max="11529" width="9.140625" style="175"/>
    <col min="11530" max="11530" width="9" style="175" customWidth="1"/>
    <col min="11531" max="11531" width="21.28515625" style="175" customWidth="1"/>
    <col min="11532" max="11532" width="12.140625" style="175" customWidth="1"/>
    <col min="11533" max="11533" width="10.42578125" style="175" customWidth="1"/>
    <col min="11534" max="11534" width="18" style="175" customWidth="1"/>
    <col min="11535" max="11535" width="14.7109375" style="175" customWidth="1"/>
    <col min="11536" max="11536" width="14.85546875" style="175" customWidth="1"/>
    <col min="11537" max="11537" width="10.42578125" style="175" customWidth="1"/>
    <col min="11538" max="11538" width="17" style="175" customWidth="1"/>
    <col min="11539" max="11539" width="12.7109375" style="175" customWidth="1"/>
    <col min="11540" max="11540" width="34.5703125" style="175" customWidth="1"/>
    <col min="11541" max="11541" width="15.5703125" style="175" customWidth="1"/>
    <col min="11542" max="11542" width="40.140625" style="175" customWidth="1"/>
    <col min="11543" max="11543" width="12.42578125" style="175" customWidth="1"/>
    <col min="11544" max="11544" width="11" style="175" customWidth="1"/>
    <col min="11545" max="11785" width="9.140625" style="175"/>
    <col min="11786" max="11786" width="9" style="175" customWidth="1"/>
    <col min="11787" max="11787" width="21.28515625" style="175" customWidth="1"/>
    <col min="11788" max="11788" width="12.140625" style="175" customWidth="1"/>
    <col min="11789" max="11789" width="10.42578125" style="175" customWidth="1"/>
    <col min="11790" max="11790" width="18" style="175" customWidth="1"/>
    <col min="11791" max="11791" width="14.7109375" style="175" customWidth="1"/>
    <col min="11792" max="11792" width="14.85546875" style="175" customWidth="1"/>
    <col min="11793" max="11793" width="10.42578125" style="175" customWidth="1"/>
    <col min="11794" max="11794" width="17" style="175" customWidth="1"/>
    <col min="11795" max="11795" width="12.7109375" style="175" customWidth="1"/>
    <col min="11796" max="11796" width="34.5703125" style="175" customWidth="1"/>
    <col min="11797" max="11797" width="15.5703125" style="175" customWidth="1"/>
    <col min="11798" max="11798" width="40.140625" style="175" customWidth="1"/>
    <col min="11799" max="11799" width="12.42578125" style="175" customWidth="1"/>
    <col min="11800" max="11800" width="11" style="175" customWidth="1"/>
    <col min="11801" max="12041" width="9.140625" style="175"/>
    <col min="12042" max="12042" width="9" style="175" customWidth="1"/>
    <col min="12043" max="12043" width="21.28515625" style="175" customWidth="1"/>
    <col min="12044" max="12044" width="12.140625" style="175" customWidth="1"/>
    <col min="12045" max="12045" width="10.42578125" style="175" customWidth="1"/>
    <col min="12046" max="12046" width="18" style="175" customWidth="1"/>
    <col min="12047" max="12047" width="14.7109375" style="175" customWidth="1"/>
    <col min="12048" max="12048" width="14.85546875" style="175" customWidth="1"/>
    <col min="12049" max="12049" width="10.42578125" style="175" customWidth="1"/>
    <col min="12050" max="12050" width="17" style="175" customWidth="1"/>
    <col min="12051" max="12051" width="12.7109375" style="175" customWidth="1"/>
    <col min="12052" max="12052" width="34.5703125" style="175" customWidth="1"/>
    <col min="12053" max="12053" width="15.5703125" style="175" customWidth="1"/>
    <col min="12054" max="12054" width="40.140625" style="175" customWidth="1"/>
    <col min="12055" max="12055" width="12.42578125" style="175" customWidth="1"/>
    <col min="12056" max="12056" width="11" style="175" customWidth="1"/>
    <col min="12057" max="12297" width="9.140625" style="175"/>
    <col min="12298" max="12298" width="9" style="175" customWidth="1"/>
    <col min="12299" max="12299" width="21.28515625" style="175" customWidth="1"/>
    <col min="12300" max="12300" width="12.140625" style="175" customWidth="1"/>
    <col min="12301" max="12301" width="10.42578125" style="175" customWidth="1"/>
    <col min="12302" max="12302" width="18" style="175" customWidth="1"/>
    <col min="12303" max="12303" width="14.7109375" style="175" customWidth="1"/>
    <col min="12304" max="12304" width="14.85546875" style="175" customWidth="1"/>
    <col min="12305" max="12305" width="10.42578125" style="175" customWidth="1"/>
    <col min="12306" max="12306" width="17" style="175" customWidth="1"/>
    <col min="12307" max="12307" width="12.7109375" style="175" customWidth="1"/>
    <col min="12308" max="12308" width="34.5703125" style="175" customWidth="1"/>
    <col min="12309" max="12309" width="15.5703125" style="175" customWidth="1"/>
    <col min="12310" max="12310" width="40.140625" style="175" customWidth="1"/>
    <col min="12311" max="12311" width="12.42578125" style="175" customWidth="1"/>
    <col min="12312" max="12312" width="11" style="175" customWidth="1"/>
    <col min="12313" max="12553" width="9.140625" style="175"/>
    <col min="12554" max="12554" width="9" style="175" customWidth="1"/>
    <col min="12555" max="12555" width="21.28515625" style="175" customWidth="1"/>
    <col min="12556" max="12556" width="12.140625" style="175" customWidth="1"/>
    <col min="12557" max="12557" width="10.42578125" style="175" customWidth="1"/>
    <col min="12558" max="12558" width="18" style="175" customWidth="1"/>
    <col min="12559" max="12559" width="14.7109375" style="175" customWidth="1"/>
    <col min="12560" max="12560" width="14.85546875" style="175" customWidth="1"/>
    <col min="12561" max="12561" width="10.42578125" style="175" customWidth="1"/>
    <col min="12562" max="12562" width="17" style="175" customWidth="1"/>
    <col min="12563" max="12563" width="12.7109375" style="175" customWidth="1"/>
    <col min="12564" max="12564" width="34.5703125" style="175" customWidth="1"/>
    <col min="12565" max="12565" width="15.5703125" style="175" customWidth="1"/>
    <col min="12566" max="12566" width="40.140625" style="175" customWidth="1"/>
    <col min="12567" max="12567" width="12.42578125" style="175" customWidth="1"/>
    <col min="12568" max="12568" width="11" style="175" customWidth="1"/>
    <col min="12569" max="12809" width="9.140625" style="175"/>
    <col min="12810" max="12810" width="9" style="175" customWidth="1"/>
    <col min="12811" max="12811" width="21.28515625" style="175" customWidth="1"/>
    <col min="12812" max="12812" width="12.140625" style="175" customWidth="1"/>
    <col min="12813" max="12813" width="10.42578125" style="175" customWidth="1"/>
    <col min="12814" max="12814" width="18" style="175" customWidth="1"/>
    <col min="12815" max="12815" width="14.7109375" style="175" customWidth="1"/>
    <col min="12816" max="12816" width="14.85546875" style="175" customWidth="1"/>
    <col min="12817" max="12817" width="10.42578125" style="175" customWidth="1"/>
    <col min="12818" max="12818" width="17" style="175" customWidth="1"/>
    <col min="12819" max="12819" width="12.7109375" style="175" customWidth="1"/>
    <col min="12820" max="12820" width="34.5703125" style="175" customWidth="1"/>
    <col min="12821" max="12821" width="15.5703125" style="175" customWidth="1"/>
    <col min="12822" max="12822" width="40.140625" style="175" customWidth="1"/>
    <col min="12823" max="12823" width="12.42578125" style="175" customWidth="1"/>
    <col min="12824" max="12824" width="11" style="175" customWidth="1"/>
    <col min="12825" max="13065" width="9.140625" style="175"/>
    <col min="13066" max="13066" width="9" style="175" customWidth="1"/>
    <col min="13067" max="13067" width="21.28515625" style="175" customWidth="1"/>
    <col min="13068" max="13068" width="12.140625" style="175" customWidth="1"/>
    <col min="13069" max="13069" width="10.42578125" style="175" customWidth="1"/>
    <col min="13070" max="13070" width="18" style="175" customWidth="1"/>
    <col min="13071" max="13071" width="14.7109375" style="175" customWidth="1"/>
    <col min="13072" max="13072" width="14.85546875" style="175" customWidth="1"/>
    <col min="13073" max="13073" width="10.42578125" style="175" customWidth="1"/>
    <col min="13074" max="13074" width="17" style="175" customWidth="1"/>
    <col min="13075" max="13075" width="12.7109375" style="175" customWidth="1"/>
    <col min="13076" max="13076" width="34.5703125" style="175" customWidth="1"/>
    <col min="13077" max="13077" width="15.5703125" style="175" customWidth="1"/>
    <col min="13078" max="13078" width="40.140625" style="175" customWidth="1"/>
    <col min="13079" max="13079" width="12.42578125" style="175" customWidth="1"/>
    <col min="13080" max="13080" width="11" style="175" customWidth="1"/>
    <col min="13081" max="13321" width="9.140625" style="175"/>
    <col min="13322" max="13322" width="9" style="175" customWidth="1"/>
    <col min="13323" max="13323" width="21.28515625" style="175" customWidth="1"/>
    <col min="13324" max="13324" width="12.140625" style="175" customWidth="1"/>
    <col min="13325" max="13325" width="10.42578125" style="175" customWidth="1"/>
    <col min="13326" max="13326" width="18" style="175" customWidth="1"/>
    <col min="13327" max="13327" width="14.7109375" style="175" customWidth="1"/>
    <col min="13328" max="13328" width="14.85546875" style="175" customWidth="1"/>
    <col min="13329" max="13329" width="10.42578125" style="175" customWidth="1"/>
    <col min="13330" max="13330" width="17" style="175" customWidth="1"/>
    <col min="13331" max="13331" width="12.7109375" style="175" customWidth="1"/>
    <col min="13332" max="13332" width="34.5703125" style="175" customWidth="1"/>
    <col min="13333" max="13333" width="15.5703125" style="175" customWidth="1"/>
    <col min="13334" max="13334" width="40.140625" style="175" customWidth="1"/>
    <col min="13335" max="13335" width="12.42578125" style="175" customWidth="1"/>
    <col min="13336" max="13336" width="11" style="175" customWidth="1"/>
    <col min="13337" max="13577" width="9.140625" style="175"/>
    <col min="13578" max="13578" width="9" style="175" customWidth="1"/>
    <col min="13579" max="13579" width="21.28515625" style="175" customWidth="1"/>
    <col min="13580" max="13580" width="12.140625" style="175" customWidth="1"/>
    <col min="13581" max="13581" width="10.42578125" style="175" customWidth="1"/>
    <col min="13582" max="13582" width="18" style="175" customWidth="1"/>
    <col min="13583" max="13583" width="14.7109375" style="175" customWidth="1"/>
    <col min="13584" max="13584" width="14.85546875" style="175" customWidth="1"/>
    <col min="13585" max="13585" width="10.42578125" style="175" customWidth="1"/>
    <col min="13586" max="13586" width="17" style="175" customWidth="1"/>
    <col min="13587" max="13587" width="12.7109375" style="175" customWidth="1"/>
    <col min="13588" max="13588" width="34.5703125" style="175" customWidth="1"/>
    <col min="13589" max="13589" width="15.5703125" style="175" customWidth="1"/>
    <col min="13590" max="13590" width="40.140625" style="175" customWidth="1"/>
    <col min="13591" max="13591" width="12.42578125" style="175" customWidth="1"/>
    <col min="13592" max="13592" width="11" style="175" customWidth="1"/>
    <col min="13593" max="13833" width="9.140625" style="175"/>
    <col min="13834" max="13834" width="9" style="175" customWidth="1"/>
    <col min="13835" max="13835" width="21.28515625" style="175" customWidth="1"/>
    <col min="13836" max="13836" width="12.140625" style="175" customWidth="1"/>
    <col min="13837" max="13837" width="10.42578125" style="175" customWidth="1"/>
    <col min="13838" max="13838" width="18" style="175" customWidth="1"/>
    <col min="13839" max="13839" width="14.7109375" style="175" customWidth="1"/>
    <col min="13840" max="13840" width="14.85546875" style="175" customWidth="1"/>
    <col min="13841" max="13841" width="10.42578125" style="175" customWidth="1"/>
    <col min="13842" max="13842" width="17" style="175" customWidth="1"/>
    <col min="13843" max="13843" width="12.7109375" style="175" customWidth="1"/>
    <col min="13844" max="13844" width="34.5703125" style="175" customWidth="1"/>
    <col min="13845" max="13845" width="15.5703125" style="175" customWidth="1"/>
    <col min="13846" max="13846" width="40.140625" style="175" customWidth="1"/>
    <col min="13847" max="13847" width="12.42578125" style="175" customWidth="1"/>
    <col min="13848" max="13848" width="11" style="175" customWidth="1"/>
    <col min="13849" max="14089" width="9.140625" style="175"/>
    <col min="14090" max="14090" width="9" style="175" customWidth="1"/>
    <col min="14091" max="14091" width="21.28515625" style="175" customWidth="1"/>
    <col min="14092" max="14092" width="12.140625" style="175" customWidth="1"/>
    <col min="14093" max="14093" width="10.42578125" style="175" customWidth="1"/>
    <col min="14094" max="14094" width="18" style="175" customWidth="1"/>
    <col min="14095" max="14095" width="14.7109375" style="175" customWidth="1"/>
    <col min="14096" max="14096" width="14.85546875" style="175" customWidth="1"/>
    <col min="14097" max="14097" width="10.42578125" style="175" customWidth="1"/>
    <col min="14098" max="14098" width="17" style="175" customWidth="1"/>
    <col min="14099" max="14099" width="12.7109375" style="175" customWidth="1"/>
    <col min="14100" max="14100" width="34.5703125" style="175" customWidth="1"/>
    <col min="14101" max="14101" width="15.5703125" style="175" customWidth="1"/>
    <col min="14102" max="14102" width="40.140625" style="175" customWidth="1"/>
    <col min="14103" max="14103" width="12.42578125" style="175" customWidth="1"/>
    <col min="14104" max="14104" width="11" style="175" customWidth="1"/>
    <col min="14105" max="14345" width="9.140625" style="175"/>
    <col min="14346" max="14346" width="9" style="175" customWidth="1"/>
    <col min="14347" max="14347" width="21.28515625" style="175" customWidth="1"/>
    <col min="14348" max="14348" width="12.140625" style="175" customWidth="1"/>
    <col min="14349" max="14349" width="10.42578125" style="175" customWidth="1"/>
    <col min="14350" max="14350" width="18" style="175" customWidth="1"/>
    <col min="14351" max="14351" width="14.7109375" style="175" customWidth="1"/>
    <col min="14352" max="14352" width="14.85546875" style="175" customWidth="1"/>
    <col min="14353" max="14353" width="10.42578125" style="175" customWidth="1"/>
    <col min="14354" max="14354" width="17" style="175" customWidth="1"/>
    <col min="14355" max="14355" width="12.7109375" style="175" customWidth="1"/>
    <col min="14356" max="14356" width="34.5703125" style="175" customWidth="1"/>
    <col min="14357" max="14357" width="15.5703125" style="175" customWidth="1"/>
    <col min="14358" max="14358" width="40.140625" style="175" customWidth="1"/>
    <col min="14359" max="14359" width="12.42578125" style="175" customWidth="1"/>
    <col min="14360" max="14360" width="11" style="175" customWidth="1"/>
    <col min="14361" max="14601" width="9.140625" style="175"/>
    <col min="14602" max="14602" width="9" style="175" customWidth="1"/>
    <col min="14603" max="14603" width="21.28515625" style="175" customWidth="1"/>
    <col min="14604" max="14604" width="12.140625" style="175" customWidth="1"/>
    <col min="14605" max="14605" width="10.42578125" style="175" customWidth="1"/>
    <col min="14606" max="14606" width="18" style="175" customWidth="1"/>
    <col min="14607" max="14607" width="14.7109375" style="175" customWidth="1"/>
    <col min="14608" max="14608" width="14.85546875" style="175" customWidth="1"/>
    <col min="14609" max="14609" width="10.42578125" style="175" customWidth="1"/>
    <col min="14610" max="14610" width="17" style="175" customWidth="1"/>
    <col min="14611" max="14611" width="12.7109375" style="175" customWidth="1"/>
    <col min="14612" max="14612" width="34.5703125" style="175" customWidth="1"/>
    <col min="14613" max="14613" width="15.5703125" style="175" customWidth="1"/>
    <col min="14614" max="14614" width="40.140625" style="175" customWidth="1"/>
    <col min="14615" max="14615" width="12.42578125" style="175" customWidth="1"/>
    <col min="14616" max="14616" width="11" style="175" customWidth="1"/>
    <col min="14617" max="14857" width="9.140625" style="175"/>
    <col min="14858" max="14858" width="9" style="175" customWidth="1"/>
    <col min="14859" max="14859" width="21.28515625" style="175" customWidth="1"/>
    <col min="14860" max="14860" width="12.140625" style="175" customWidth="1"/>
    <col min="14861" max="14861" width="10.42578125" style="175" customWidth="1"/>
    <col min="14862" max="14862" width="18" style="175" customWidth="1"/>
    <col min="14863" max="14863" width="14.7109375" style="175" customWidth="1"/>
    <col min="14864" max="14864" width="14.85546875" style="175" customWidth="1"/>
    <col min="14865" max="14865" width="10.42578125" style="175" customWidth="1"/>
    <col min="14866" max="14866" width="17" style="175" customWidth="1"/>
    <col min="14867" max="14867" width="12.7109375" style="175" customWidth="1"/>
    <col min="14868" max="14868" width="34.5703125" style="175" customWidth="1"/>
    <col min="14869" max="14869" width="15.5703125" style="175" customWidth="1"/>
    <col min="14870" max="14870" width="40.140625" style="175" customWidth="1"/>
    <col min="14871" max="14871" width="12.42578125" style="175" customWidth="1"/>
    <col min="14872" max="14872" width="11" style="175" customWidth="1"/>
    <col min="14873" max="15113" width="9.140625" style="175"/>
    <col min="15114" max="15114" width="9" style="175" customWidth="1"/>
    <col min="15115" max="15115" width="21.28515625" style="175" customWidth="1"/>
    <col min="15116" max="15116" width="12.140625" style="175" customWidth="1"/>
    <col min="15117" max="15117" width="10.42578125" style="175" customWidth="1"/>
    <col min="15118" max="15118" width="18" style="175" customWidth="1"/>
    <col min="15119" max="15119" width="14.7109375" style="175" customWidth="1"/>
    <col min="15120" max="15120" width="14.85546875" style="175" customWidth="1"/>
    <col min="15121" max="15121" width="10.42578125" style="175" customWidth="1"/>
    <col min="15122" max="15122" width="17" style="175" customWidth="1"/>
    <col min="15123" max="15123" width="12.7109375" style="175" customWidth="1"/>
    <col min="15124" max="15124" width="34.5703125" style="175" customWidth="1"/>
    <col min="15125" max="15125" width="15.5703125" style="175" customWidth="1"/>
    <col min="15126" max="15126" width="40.140625" style="175" customWidth="1"/>
    <col min="15127" max="15127" width="12.42578125" style="175" customWidth="1"/>
    <col min="15128" max="15128" width="11" style="175" customWidth="1"/>
    <col min="15129" max="15369" width="9.140625" style="175"/>
    <col min="15370" max="15370" width="9" style="175" customWidth="1"/>
    <col min="15371" max="15371" width="21.28515625" style="175" customWidth="1"/>
    <col min="15372" max="15372" width="12.140625" style="175" customWidth="1"/>
    <col min="15373" max="15373" width="10.42578125" style="175" customWidth="1"/>
    <col min="15374" max="15374" width="18" style="175" customWidth="1"/>
    <col min="15375" max="15375" width="14.7109375" style="175" customWidth="1"/>
    <col min="15376" max="15376" width="14.85546875" style="175" customWidth="1"/>
    <col min="15377" max="15377" width="10.42578125" style="175" customWidth="1"/>
    <col min="15378" max="15378" width="17" style="175" customWidth="1"/>
    <col min="15379" max="15379" width="12.7109375" style="175" customWidth="1"/>
    <col min="15380" max="15380" width="34.5703125" style="175" customWidth="1"/>
    <col min="15381" max="15381" width="15.5703125" style="175" customWidth="1"/>
    <col min="15382" max="15382" width="40.140625" style="175" customWidth="1"/>
    <col min="15383" max="15383" width="12.42578125" style="175" customWidth="1"/>
    <col min="15384" max="15384" width="11" style="175" customWidth="1"/>
    <col min="15385" max="15625" width="9.140625" style="175"/>
    <col min="15626" max="15626" width="9" style="175" customWidth="1"/>
    <col min="15627" max="15627" width="21.28515625" style="175" customWidth="1"/>
    <col min="15628" max="15628" width="12.140625" style="175" customWidth="1"/>
    <col min="15629" max="15629" width="10.42578125" style="175" customWidth="1"/>
    <col min="15630" max="15630" width="18" style="175" customWidth="1"/>
    <col min="15631" max="15631" width="14.7109375" style="175" customWidth="1"/>
    <col min="15632" max="15632" width="14.85546875" style="175" customWidth="1"/>
    <col min="15633" max="15633" width="10.42578125" style="175" customWidth="1"/>
    <col min="15634" max="15634" width="17" style="175" customWidth="1"/>
    <col min="15635" max="15635" width="12.7109375" style="175" customWidth="1"/>
    <col min="15636" max="15636" width="34.5703125" style="175" customWidth="1"/>
    <col min="15637" max="15637" width="15.5703125" style="175" customWidth="1"/>
    <col min="15638" max="15638" width="40.140625" style="175" customWidth="1"/>
    <col min="15639" max="15639" width="12.42578125" style="175" customWidth="1"/>
    <col min="15640" max="15640" width="11" style="175" customWidth="1"/>
    <col min="15641" max="15881" width="9.140625" style="175"/>
    <col min="15882" max="15882" width="9" style="175" customWidth="1"/>
    <col min="15883" max="15883" width="21.28515625" style="175" customWidth="1"/>
    <col min="15884" max="15884" width="12.140625" style="175" customWidth="1"/>
    <col min="15885" max="15885" width="10.42578125" style="175" customWidth="1"/>
    <col min="15886" max="15886" width="18" style="175" customWidth="1"/>
    <col min="15887" max="15887" width="14.7109375" style="175" customWidth="1"/>
    <col min="15888" max="15888" width="14.85546875" style="175" customWidth="1"/>
    <col min="15889" max="15889" width="10.42578125" style="175" customWidth="1"/>
    <col min="15890" max="15890" width="17" style="175" customWidth="1"/>
    <col min="15891" max="15891" width="12.7109375" style="175" customWidth="1"/>
    <col min="15892" max="15892" width="34.5703125" style="175" customWidth="1"/>
    <col min="15893" max="15893" width="15.5703125" style="175" customWidth="1"/>
    <col min="15894" max="15894" width="40.140625" style="175" customWidth="1"/>
    <col min="15895" max="15895" width="12.42578125" style="175" customWidth="1"/>
    <col min="15896" max="15896" width="11" style="175" customWidth="1"/>
    <col min="15897" max="16137" width="9.140625" style="175"/>
    <col min="16138" max="16138" width="9" style="175" customWidth="1"/>
    <col min="16139" max="16139" width="21.28515625" style="175" customWidth="1"/>
    <col min="16140" max="16140" width="12.140625" style="175" customWidth="1"/>
    <col min="16141" max="16141" width="10.42578125" style="175" customWidth="1"/>
    <col min="16142" max="16142" width="18" style="175" customWidth="1"/>
    <col min="16143" max="16143" width="14.7109375" style="175" customWidth="1"/>
    <col min="16144" max="16144" width="14.85546875" style="175" customWidth="1"/>
    <col min="16145" max="16145" width="10.42578125" style="175" customWidth="1"/>
    <col min="16146" max="16146" width="17" style="175" customWidth="1"/>
    <col min="16147" max="16147" width="12.7109375" style="175" customWidth="1"/>
    <col min="16148" max="16148" width="34.5703125" style="175" customWidth="1"/>
    <col min="16149" max="16149" width="15.5703125" style="175" customWidth="1"/>
    <col min="16150" max="16150" width="40.140625" style="175" customWidth="1"/>
    <col min="16151" max="16151" width="12.42578125" style="175" customWidth="1"/>
    <col min="16152" max="16152" width="11" style="175" customWidth="1"/>
    <col min="16153" max="16384" width="9.140625" style="175"/>
  </cols>
  <sheetData>
    <row r="1" spans="1:167" s="156" customFormat="1" ht="40.5">
      <c r="A1" s="1" t="s">
        <v>0</v>
      </c>
      <c r="B1" s="168" t="s">
        <v>25</v>
      </c>
      <c r="C1" s="169" t="s">
        <v>26</v>
      </c>
      <c r="D1" s="169" t="s">
        <v>4</v>
      </c>
      <c r="E1" s="170" t="s">
        <v>1659</v>
      </c>
      <c r="F1" s="1" t="s">
        <v>13</v>
      </c>
      <c r="G1" s="171" t="s">
        <v>75</v>
      </c>
      <c r="H1" s="171" t="s">
        <v>115</v>
      </c>
      <c r="I1" s="171" t="s">
        <v>9</v>
      </c>
      <c r="J1" s="171" t="s">
        <v>14</v>
      </c>
      <c r="K1" s="171" t="s">
        <v>7</v>
      </c>
      <c r="L1" s="171" t="s">
        <v>1681</v>
      </c>
      <c r="M1" s="1" t="s">
        <v>17</v>
      </c>
      <c r="N1" s="171" t="s">
        <v>2756</v>
      </c>
      <c r="O1" s="170" t="s">
        <v>2755</v>
      </c>
      <c r="P1" s="169" t="s">
        <v>69</v>
      </c>
      <c r="Q1" s="172" t="s">
        <v>65</v>
      </c>
      <c r="R1" s="168" t="s">
        <v>116</v>
      </c>
      <c r="S1" s="170" t="s">
        <v>30</v>
      </c>
      <c r="T1" s="171" t="s">
        <v>21</v>
      </c>
      <c r="U1" s="170" t="s">
        <v>117</v>
      </c>
      <c r="V1" s="171" t="s">
        <v>46</v>
      </c>
      <c r="W1" s="173" t="s">
        <v>1577</v>
      </c>
      <c r="X1" s="140"/>
      <c r="Y1" s="166" t="s">
        <v>1507</v>
      </c>
      <c r="AA1" s="165">
        <f ca="1">TODAY()</f>
        <v>40990</v>
      </c>
      <c r="AB1" s="195" t="s">
        <v>2047</v>
      </c>
      <c r="AC1" s="140" t="s">
        <v>2048</v>
      </c>
      <c r="AD1" s="140" t="s">
        <v>1648</v>
      </c>
      <c r="AE1" s="140" t="s">
        <v>1649</v>
      </c>
      <c r="AF1" s="140" t="s">
        <v>2049</v>
      </c>
      <c r="AG1" s="195" t="s">
        <v>2075</v>
      </c>
      <c r="AH1" s="195" t="s">
        <v>2076</v>
      </c>
      <c r="AI1" s="325" t="s">
        <v>2767</v>
      </c>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c r="BS1" s="140"/>
      <c r="BT1" s="140"/>
      <c r="BU1" s="140"/>
      <c r="BV1" s="140"/>
      <c r="BW1" s="140"/>
      <c r="BX1" s="140"/>
      <c r="BY1" s="140"/>
      <c r="BZ1" s="140"/>
      <c r="CA1" s="140"/>
      <c r="CB1" s="140"/>
      <c r="CC1" s="140"/>
      <c r="CD1" s="140"/>
      <c r="CE1" s="140"/>
      <c r="CF1" s="140"/>
      <c r="CG1" s="140"/>
      <c r="CH1" s="140"/>
      <c r="CI1" s="140"/>
      <c r="CJ1" s="140"/>
      <c r="CK1" s="140"/>
      <c r="CL1" s="140"/>
      <c r="CM1" s="140"/>
      <c r="CN1" s="140"/>
      <c r="CO1" s="140"/>
      <c r="CP1" s="140"/>
      <c r="CQ1" s="140"/>
      <c r="CR1" s="140"/>
      <c r="CS1" s="140"/>
      <c r="CT1" s="140"/>
      <c r="CU1" s="140"/>
      <c r="CV1" s="140"/>
      <c r="CW1" s="140"/>
      <c r="CX1" s="140"/>
      <c r="CY1" s="140"/>
      <c r="CZ1" s="140"/>
      <c r="DA1" s="140"/>
      <c r="DB1" s="140"/>
      <c r="DC1" s="140"/>
      <c r="DD1" s="140"/>
      <c r="DE1" s="140"/>
      <c r="DF1" s="140"/>
      <c r="DG1" s="140"/>
      <c r="DH1" s="140"/>
      <c r="DI1" s="140"/>
      <c r="DJ1" s="140"/>
      <c r="DK1" s="140"/>
      <c r="DL1" s="140"/>
      <c r="DM1" s="140"/>
      <c r="DN1" s="140"/>
      <c r="DO1" s="140"/>
      <c r="DP1" s="140"/>
      <c r="DQ1" s="140"/>
      <c r="DR1" s="140"/>
      <c r="DS1" s="140"/>
      <c r="DT1" s="140"/>
      <c r="DU1" s="140"/>
      <c r="DV1" s="140"/>
      <c r="DW1" s="140"/>
      <c r="DX1" s="140"/>
      <c r="DY1" s="140"/>
      <c r="DZ1" s="140"/>
      <c r="EA1" s="140"/>
      <c r="EB1" s="140"/>
      <c r="EC1" s="140"/>
      <c r="ED1" s="140"/>
      <c r="EE1" s="140"/>
      <c r="EF1" s="140"/>
      <c r="EG1" s="140"/>
      <c r="EH1" s="140"/>
      <c r="EI1" s="140"/>
      <c r="EJ1" s="140"/>
      <c r="EK1" s="140"/>
      <c r="EL1" s="140"/>
      <c r="EM1" s="140"/>
      <c r="EN1" s="140"/>
      <c r="EO1" s="140"/>
      <c r="EP1" s="140"/>
      <c r="EQ1" s="140"/>
      <c r="ER1" s="140"/>
      <c r="ES1" s="140"/>
      <c r="ET1" s="140"/>
      <c r="EU1" s="140"/>
      <c r="EV1" s="140"/>
      <c r="EW1" s="140"/>
      <c r="EX1" s="140"/>
      <c r="EY1" s="140"/>
      <c r="EZ1" s="140"/>
      <c r="FA1" s="140"/>
      <c r="FB1" s="140"/>
      <c r="FC1" s="140"/>
      <c r="FD1" s="140"/>
      <c r="FE1" s="140"/>
      <c r="FF1" s="140"/>
      <c r="FG1" s="140"/>
      <c r="FH1" s="140"/>
      <c r="FI1" s="140"/>
      <c r="FJ1" s="140"/>
      <c r="FK1" s="140"/>
    </row>
    <row r="2" spans="1:167" ht="113.25" hidden="1" customHeight="1">
      <c r="A2" s="174" t="s">
        <v>31</v>
      </c>
      <c r="B2" s="147">
        <v>40631</v>
      </c>
      <c r="C2" s="325" t="s">
        <v>1570</v>
      </c>
      <c r="D2" s="324" t="s">
        <v>676</v>
      </c>
      <c r="E2" s="326" t="s">
        <v>180</v>
      </c>
      <c r="F2" s="324" t="s">
        <v>678</v>
      </c>
      <c r="G2" s="141" t="s">
        <v>690</v>
      </c>
      <c r="H2" s="141" t="s">
        <v>690</v>
      </c>
      <c r="I2" s="141" t="s">
        <v>151</v>
      </c>
      <c r="J2" s="141" t="s">
        <v>690</v>
      </c>
      <c r="K2" s="184" t="s">
        <v>1558</v>
      </c>
      <c r="L2" s="324" t="s">
        <v>186</v>
      </c>
      <c r="M2" s="324" t="s">
        <v>186</v>
      </c>
      <c r="N2" s="324" t="s">
        <v>311</v>
      </c>
      <c r="O2" s="324"/>
      <c r="P2" s="324" t="s">
        <v>1701</v>
      </c>
      <c r="Q2" s="147">
        <v>40954</v>
      </c>
      <c r="R2" s="331">
        <v>40846</v>
      </c>
      <c r="S2" s="152" t="s">
        <v>2447</v>
      </c>
      <c r="T2" s="326"/>
      <c r="U2" s="190" t="s">
        <v>2448</v>
      </c>
      <c r="V2" s="326">
        <v>40974</v>
      </c>
      <c r="W2" s="326" t="s">
        <v>2449</v>
      </c>
      <c r="Y2" s="176" t="str">
        <f ca="1">IF(Table17[[#This Row],[Required Resolution Date]]="","FALSE",IF($AA$1&gt;Table17[[#This Row],[Required Resolution Date]],"TRUE","FALSE"))</f>
        <v>TRUE</v>
      </c>
      <c r="Z2" s="175">
        <f ca="1">IF(Y2="TRUE",1,0)</f>
        <v>1</v>
      </c>
      <c r="AB2" s="175" t="b">
        <f>OR(Table17[[#This Row],[Priority]]="04. High",Table17[[#This Row],[Priority]]="05. Critical")</f>
        <v>0</v>
      </c>
      <c r="AC2" s="284">
        <f ca="1">$AA$1-Table17[[#This Row],[Date captured]]</f>
        <v>359</v>
      </c>
      <c r="AD2" s="175" t="b">
        <f ca="1">IF(AC2&lt;30,FALSE,IF(AC2&gt;90,FALSE,TRUE))</f>
        <v>0</v>
      </c>
      <c r="AE2" s="175" t="b">
        <f ca="1">IF(AC2&lt;91,FALSE,IF(AC2&gt;180,FALSE,TRUE))</f>
        <v>0</v>
      </c>
      <c r="AF2" s="175" t="b">
        <f ca="1">IF(AC2&gt;180,TRUE,FALSE)</f>
        <v>1</v>
      </c>
      <c r="AG2" s="284">
        <f ca="1">Table17[[#This Row],[Required Resolution Date]]-$AA$1</f>
        <v>-144</v>
      </c>
      <c r="AH2" s="175" t="b">
        <f ca="1">IF(AG2&lt;1,FALSE,IF(AG2&gt;7,FALSE,TRUE))</f>
        <v>0</v>
      </c>
    </row>
    <row r="3" spans="1:167" s="140" customFormat="1" ht="24" hidden="1">
      <c r="A3" s="90" t="s">
        <v>591</v>
      </c>
      <c r="B3" s="64">
        <v>40655</v>
      </c>
      <c r="C3" s="91"/>
      <c r="D3" s="56" t="s">
        <v>676</v>
      </c>
      <c r="E3" s="91"/>
      <c r="F3" s="56" t="s">
        <v>677</v>
      </c>
      <c r="G3" s="91"/>
      <c r="H3" s="91"/>
      <c r="I3" s="91"/>
      <c r="J3" s="91"/>
      <c r="K3" s="91" t="s">
        <v>151</v>
      </c>
      <c r="L3" s="127"/>
      <c r="M3" s="56" t="s">
        <v>186</v>
      </c>
      <c r="N3" s="56" t="s">
        <v>311</v>
      </c>
      <c r="O3" s="56"/>
      <c r="P3" s="56"/>
      <c r="Q3" s="64">
        <v>40660</v>
      </c>
      <c r="R3" s="78">
        <v>40660</v>
      </c>
      <c r="S3" s="68" t="s">
        <v>680</v>
      </c>
      <c r="T3" s="44"/>
      <c r="U3" s="441" t="s">
        <v>681</v>
      </c>
      <c r="V3" s="78">
        <v>40660</v>
      </c>
      <c r="W3" s="31"/>
      <c r="Y3" s="176" t="str">
        <f ca="1">IF(Table17[[#This Row],[Required Resolution Date]]="","FALSE",IF($AA$1&gt;Table17[[#This Row],[Required Resolution Date]],"TRUE","FALSE"))</f>
        <v>TRUE</v>
      </c>
      <c r="Z3" s="175">
        <f t="shared" ref="Z3:Z66" ca="1" si="0">IF(Y3="TRUE",1,0)</f>
        <v>1</v>
      </c>
      <c r="AB3" s="175" t="b">
        <f>OR(Table17[[#This Row],[Priority]]="04. High",Table17[[#This Row],[Priority]]="05. Critical")</f>
        <v>1</v>
      </c>
      <c r="AC3" s="284">
        <f ca="1">$AA$1-Table17[[#This Row],[Date captured]]</f>
        <v>335</v>
      </c>
      <c r="AD3" s="175" t="b">
        <f t="shared" ref="AD3:AD66" ca="1" si="1">IF(AC3&lt;30,FALSE,IF(AC3&gt;90,FALSE,TRUE))</f>
        <v>0</v>
      </c>
      <c r="AE3" s="175" t="b">
        <f t="shared" ref="AE3:AE66" ca="1" si="2">IF(AC3&lt;91,FALSE,IF(AC3&gt;180,FALSE,TRUE))</f>
        <v>0</v>
      </c>
      <c r="AF3" s="175" t="b">
        <f t="shared" ref="AF3:AF66" ca="1" si="3">IF(AC3&gt;180,TRUE,FALSE)</f>
        <v>1</v>
      </c>
      <c r="AG3" s="284">
        <f ca="1">Table17[[#This Row],[Required Resolution Date]]-$AA$1</f>
        <v>-330</v>
      </c>
      <c r="AH3" s="175" t="b">
        <f t="shared" ref="AH3:AH66" ca="1" si="4">IF(AG3&lt;1,FALSE,IF(AG3&gt;7,FALSE,TRUE))</f>
        <v>0</v>
      </c>
    </row>
    <row r="4" spans="1:167" ht="108">
      <c r="A4" s="338" t="s">
        <v>2407</v>
      </c>
      <c r="B4" s="329">
        <v>40974</v>
      </c>
      <c r="C4" s="326" t="s">
        <v>296</v>
      </c>
      <c r="D4" s="325" t="s">
        <v>15</v>
      </c>
      <c r="E4" s="326" t="s">
        <v>2575</v>
      </c>
      <c r="F4" s="280" t="s">
        <v>2570</v>
      </c>
      <c r="G4" s="326" t="s">
        <v>679</v>
      </c>
      <c r="H4" s="326" t="s">
        <v>679</v>
      </c>
      <c r="I4" s="326" t="s">
        <v>151</v>
      </c>
      <c r="J4" s="326" t="s">
        <v>151</v>
      </c>
      <c r="K4" s="326" t="s">
        <v>152</v>
      </c>
      <c r="L4" s="333" t="s">
        <v>296</v>
      </c>
      <c r="M4" s="339" t="s">
        <v>296</v>
      </c>
      <c r="N4" s="337" t="s">
        <v>303</v>
      </c>
      <c r="O4" s="337"/>
      <c r="P4" s="189" t="s">
        <v>2566</v>
      </c>
      <c r="Q4" s="331">
        <v>40991</v>
      </c>
      <c r="R4" s="332">
        <v>40998</v>
      </c>
      <c r="S4" s="333" t="s">
        <v>2926</v>
      </c>
      <c r="T4" s="334"/>
      <c r="U4" s="326"/>
      <c r="V4" s="334"/>
      <c r="W4" s="335"/>
      <c r="Y4" s="176" t="str">
        <f ca="1">IF(Table17[[#This Row],[Required Resolution Date]]="","FALSE",IF($AA$1&gt;Table17[[#This Row],[Required Resolution Date]],"TRUE","FALSE"))</f>
        <v>FALSE</v>
      </c>
      <c r="Z4" s="175">
        <f t="shared" ca="1" si="0"/>
        <v>0</v>
      </c>
      <c r="AB4" s="175" t="b">
        <f>OR(Table17[[#This Row],[Priority]]="04. High",Table17[[#This Row],[Priority]]="05. Critical")</f>
        <v>1</v>
      </c>
      <c r="AC4" s="284">
        <f ca="1">$AA$1-Table17[[#This Row],[Date captured]]</f>
        <v>16</v>
      </c>
      <c r="AD4" s="175" t="b">
        <f t="shared" ca="1" si="1"/>
        <v>0</v>
      </c>
      <c r="AE4" s="175" t="b">
        <f t="shared" ca="1" si="2"/>
        <v>0</v>
      </c>
      <c r="AF4" s="175" t="b">
        <f t="shared" ca="1" si="3"/>
        <v>0</v>
      </c>
      <c r="AG4" s="284">
        <f ca="1">Table17[[#This Row],[Required Resolution Date]]-$AA$1</f>
        <v>8</v>
      </c>
      <c r="AH4" s="175" t="b">
        <f t="shared" ca="1" si="4"/>
        <v>0</v>
      </c>
      <c r="AI4" s="175" t="b">
        <f>OR(Table17[[#This Row],[Priority]]="04. High",Table17[[#This Row],[Priority]]="05. Critical",Table17[[#This Row],[Priority]]="03. Moderate")</f>
        <v>1</v>
      </c>
    </row>
    <row r="5" spans="1:167" s="92" customFormat="1" ht="81" hidden="1">
      <c r="A5" s="177" t="s">
        <v>843</v>
      </c>
      <c r="B5" s="178">
        <v>40932</v>
      </c>
      <c r="C5" s="141" t="s">
        <v>166</v>
      </c>
      <c r="D5" s="140" t="s">
        <v>676</v>
      </c>
      <c r="E5" s="141" t="s">
        <v>180</v>
      </c>
      <c r="F5" s="189" t="s">
        <v>1740</v>
      </c>
      <c r="G5" s="141"/>
      <c r="H5" s="141"/>
      <c r="I5" s="141"/>
      <c r="J5" s="141"/>
      <c r="K5" s="141" t="s">
        <v>151</v>
      </c>
      <c r="L5" s="333" t="s">
        <v>166</v>
      </c>
      <c r="M5" s="189"/>
      <c r="N5" s="196" t="s">
        <v>311</v>
      </c>
      <c r="O5" s="196"/>
      <c r="P5" s="189"/>
      <c r="Q5" s="179">
        <v>40933</v>
      </c>
      <c r="R5" s="187"/>
      <c r="S5" s="333" t="s">
        <v>2101</v>
      </c>
      <c r="T5" s="326"/>
      <c r="U5" s="190" t="s">
        <v>2102</v>
      </c>
      <c r="V5" s="326">
        <v>40954</v>
      </c>
      <c r="W5" s="184"/>
      <c r="Y5" s="167" t="str">
        <f>IF(Table17[[#This Row],[Required Resolution Date]]="","FALSE",IF($AA$1&gt;Table17[[#This Row],[Required Resolution Date]],"TRUE","FALSE"))</f>
        <v>FALSE</v>
      </c>
      <c r="Z5" s="4">
        <f t="shared" si="0"/>
        <v>0</v>
      </c>
      <c r="AB5" s="175" t="b">
        <f>OR(Table17[[#This Row],[Priority]]="04. High",Table17[[#This Row],[Priority]]="05. Critical")</f>
        <v>1</v>
      </c>
      <c r="AC5" s="284">
        <f ca="1">$AA$1-Table17[[#This Row],[Date captured]]</f>
        <v>58</v>
      </c>
      <c r="AD5" s="175" t="b">
        <f t="shared" ca="1" si="1"/>
        <v>1</v>
      </c>
      <c r="AE5" s="175" t="b">
        <f t="shared" ca="1" si="2"/>
        <v>0</v>
      </c>
      <c r="AF5" s="175" t="b">
        <f t="shared" ca="1" si="3"/>
        <v>0</v>
      </c>
      <c r="AG5" s="284">
        <f ca="1">Table17[[#This Row],[Required Resolution Date]]-$AA$1</f>
        <v>-40990</v>
      </c>
      <c r="AH5" s="175" t="b">
        <f t="shared" ca="1" si="4"/>
        <v>0</v>
      </c>
      <c r="AI5" s="327" t="b">
        <f>OR(Table17[[#This Row],[Priority]]="04. High",Table17[[#This Row],[Priority]]="05. Critical",Table17[[#This Row],[Priority]]="03. Moderate")</f>
        <v>1</v>
      </c>
    </row>
    <row r="6" spans="1:167" s="4" customFormat="1" ht="132">
      <c r="A6" s="338" t="s">
        <v>2408</v>
      </c>
      <c r="B6" s="329">
        <v>40974</v>
      </c>
      <c r="C6" s="326" t="s">
        <v>296</v>
      </c>
      <c r="D6" s="325" t="s">
        <v>15</v>
      </c>
      <c r="E6" s="141" t="s">
        <v>2574</v>
      </c>
      <c r="F6" s="280" t="s">
        <v>2573</v>
      </c>
      <c r="G6" s="141" t="s">
        <v>151</v>
      </c>
      <c r="H6" s="141" t="s">
        <v>679</v>
      </c>
      <c r="I6" s="141" t="s">
        <v>151</v>
      </c>
      <c r="J6" s="141" t="s">
        <v>151</v>
      </c>
      <c r="K6" s="141" t="s">
        <v>152</v>
      </c>
      <c r="L6" s="333" t="s">
        <v>296</v>
      </c>
      <c r="M6" s="339" t="s">
        <v>296</v>
      </c>
      <c r="N6" s="337" t="s">
        <v>303</v>
      </c>
      <c r="O6" s="337"/>
      <c r="P6" s="189" t="s">
        <v>2571</v>
      </c>
      <c r="Q6" s="331">
        <v>40991</v>
      </c>
      <c r="R6" s="332">
        <v>40998</v>
      </c>
      <c r="S6" s="333" t="s">
        <v>2927</v>
      </c>
      <c r="T6" s="334"/>
      <c r="U6" s="326"/>
      <c r="V6" s="334"/>
      <c r="W6" s="335"/>
      <c r="Y6" s="167" t="str">
        <f ca="1">IF(Table17[[#This Row],[Required Resolution Date]]="","FALSE",IF($AA$1&gt;Table17[[#This Row],[Required Resolution Date]],"TRUE","FALSE"))</f>
        <v>FALSE</v>
      </c>
      <c r="Z6" s="4">
        <f t="shared" ca="1" si="0"/>
        <v>0</v>
      </c>
      <c r="AB6" s="175" t="b">
        <f>OR(Table17[[#This Row],[Priority]]="04. High",Table17[[#This Row],[Priority]]="05. Critical")</f>
        <v>1</v>
      </c>
      <c r="AC6" s="284">
        <f ca="1">$AA$1-Table17[[#This Row],[Date captured]]</f>
        <v>16</v>
      </c>
      <c r="AD6" s="175" t="b">
        <f t="shared" ca="1" si="1"/>
        <v>0</v>
      </c>
      <c r="AE6" s="175" t="b">
        <f t="shared" ca="1" si="2"/>
        <v>0</v>
      </c>
      <c r="AF6" s="175" t="b">
        <f t="shared" ca="1" si="3"/>
        <v>0</v>
      </c>
      <c r="AG6" s="284">
        <f ca="1">Table17[[#This Row],[Required Resolution Date]]-$AA$1</f>
        <v>8</v>
      </c>
      <c r="AH6" s="175" t="b">
        <f t="shared" ca="1" si="4"/>
        <v>0</v>
      </c>
      <c r="AI6" s="327" t="b">
        <f>OR(Table17[[#This Row],[Priority]]="04. High",Table17[[#This Row],[Priority]]="05. Critical",Table17[[#This Row],[Priority]]="03. Moderate")</f>
        <v>1</v>
      </c>
    </row>
    <row r="7" spans="1:167" s="92" customFormat="1" ht="71.25" hidden="1" customHeight="1">
      <c r="A7" s="177" t="s">
        <v>845</v>
      </c>
      <c r="B7" s="178">
        <v>40933</v>
      </c>
      <c r="C7" s="141" t="s">
        <v>296</v>
      </c>
      <c r="D7" s="140" t="s">
        <v>676</v>
      </c>
      <c r="E7" s="141" t="s">
        <v>180</v>
      </c>
      <c r="F7" s="189" t="s">
        <v>1744</v>
      </c>
      <c r="G7" s="141" t="s">
        <v>690</v>
      </c>
      <c r="H7" s="141" t="s">
        <v>690</v>
      </c>
      <c r="I7" s="141" t="s">
        <v>690</v>
      </c>
      <c r="J7" s="141" t="s">
        <v>690</v>
      </c>
      <c r="K7" s="141" t="s">
        <v>152</v>
      </c>
      <c r="L7" s="333" t="s">
        <v>1745</v>
      </c>
      <c r="M7" s="189" t="s">
        <v>1601</v>
      </c>
      <c r="N7" s="196" t="s">
        <v>303</v>
      </c>
      <c r="O7" s="196"/>
      <c r="P7" s="324" t="s">
        <v>1936</v>
      </c>
      <c r="Q7" s="179">
        <v>40954</v>
      </c>
      <c r="R7" s="187">
        <v>40945</v>
      </c>
      <c r="S7" s="324" t="s">
        <v>2083</v>
      </c>
      <c r="T7" s="326" t="s">
        <v>1565</v>
      </c>
      <c r="U7" s="190" t="s">
        <v>2085</v>
      </c>
      <c r="V7" s="326">
        <v>40954</v>
      </c>
      <c r="W7" s="184"/>
      <c r="Y7" s="167" t="str">
        <f ca="1">IF(Table17[[#This Row],[Required Resolution Date]]="","FALSE",IF($AA$1&gt;Table17[[#This Row],[Required Resolution Date]],"TRUE","FALSE"))</f>
        <v>TRUE</v>
      </c>
      <c r="Z7" s="4">
        <f t="shared" ca="1" si="0"/>
        <v>1</v>
      </c>
      <c r="AB7" s="175" t="b">
        <f>OR(Table17[[#This Row],[Priority]]="04. High",Table17[[#This Row],[Priority]]="05. Critical")</f>
        <v>1</v>
      </c>
      <c r="AC7" s="284">
        <f ca="1">$AA$1-Table17[[#This Row],[Date captured]]</f>
        <v>57</v>
      </c>
      <c r="AD7" s="175" t="b">
        <f t="shared" ca="1" si="1"/>
        <v>1</v>
      </c>
      <c r="AE7" s="175" t="b">
        <f t="shared" ca="1" si="2"/>
        <v>0</v>
      </c>
      <c r="AF7" s="175" t="b">
        <f t="shared" ca="1" si="3"/>
        <v>0</v>
      </c>
      <c r="AG7" s="284">
        <f ca="1">Table17[[#This Row],[Required Resolution Date]]-$AA$1</f>
        <v>-45</v>
      </c>
      <c r="AH7" s="175" t="b">
        <f t="shared" ca="1" si="4"/>
        <v>0</v>
      </c>
      <c r="AI7" s="327" t="b">
        <f>OR(Table17[[#This Row],[Priority]]="04. High",Table17[[#This Row],[Priority]]="05. Critical",Table17[[#This Row],[Priority]]="03. Moderate")</f>
        <v>1</v>
      </c>
    </row>
    <row r="8" spans="1:167" s="4" customFormat="1" ht="283.5" hidden="1">
      <c r="A8" s="177" t="s">
        <v>846</v>
      </c>
      <c r="B8" s="329">
        <v>40933</v>
      </c>
      <c r="C8" s="141" t="s">
        <v>296</v>
      </c>
      <c r="D8" s="325" t="s">
        <v>676</v>
      </c>
      <c r="E8" s="141" t="s">
        <v>256</v>
      </c>
      <c r="F8" s="189" t="s">
        <v>1932</v>
      </c>
      <c r="G8" s="141" t="s">
        <v>679</v>
      </c>
      <c r="H8" s="141" t="s">
        <v>679</v>
      </c>
      <c r="I8" s="141" t="s">
        <v>151</v>
      </c>
      <c r="J8" s="141" t="s">
        <v>151</v>
      </c>
      <c r="K8" s="141" t="s">
        <v>151</v>
      </c>
      <c r="L8" s="333" t="s">
        <v>296</v>
      </c>
      <c r="M8" s="189" t="s">
        <v>1680</v>
      </c>
      <c r="N8" s="196" t="s">
        <v>303</v>
      </c>
      <c r="O8" s="196"/>
      <c r="P8" s="189" t="s">
        <v>1934</v>
      </c>
      <c r="Q8" s="331">
        <v>40975</v>
      </c>
      <c r="R8" s="187">
        <v>40935</v>
      </c>
      <c r="S8" s="190" t="s">
        <v>2569</v>
      </c>
      <c r="T8" s="326" t="s">
        <v>1565</v>
      </c>
      <c r="U8" s="190" t="s">
        <v>3006</v>
      </c>
      <c r="V8" s="326">
        <v>40974</v>
      </c>
      <c r="W8" s="184"/>
      <c r="Y8" s="167" t="str">
        <f ca="1">IF(Table17[[#This Row],[Required Resolution Date]]="","FALSE",IF($AA$1&gt;Table17[[#This Row],[Required Resolution Date]],"TRUE","FALSE"))</f>
        <v>TRUE</v>
      </c>
      <c r="Z8" s="4">
        <f t="shared" ca="1" si="0"/>
        <v>1</v>
      </c>
      <c r="AB8" s="175" t="b">
        <f>OR(Table17[[#This Row],[Priority]]="04. High",Table17[[#This Row],[Priority]]="05. Critical")</f>
        <v>1</v>
      </c>
      <c r="AC8" s="284">
        <f ca="1">$AA$1-Table17[[#This Row],[Date captured]]</f>
        <v>57</v>
      </c>
      <c r="AD8" s="175" t="b">
        <f t="shared" ca="1" si="1"/>
        <v>1</v>
      </c>
      <c r="AE8" s="175" t="b">
        <f t="shared" ca="1" si="2"/>
        <v>0</v>
      </c>
      <c r="AF8" s="175" t="b">
        <f t="shared" ca="1" si="3"/>
        <v>0</v>
      </c>
      <c r="AG8" s="284">
        <f ca="1">Table17[[#This Row],[Required Resolution Date]]-$AA$1</f>
        <v>-55</v>
      </c>
      <c r="AH8" s="175" t="b">
        <f t="shared" ca="1" si="4"/>
        <v>0</v>
      </c>
      <c r="AI8" s="327" t="b">
        <f>OR(Table17[[#This Row],[Priority]]="04. High",Table17[[#This Row],[Priority]]="05. Critical",Table17[[#This Row],[Priority]]="03. Moderate")</f>
        <v>1</v>
      </c>
    </row>
    <row r="9" spans="1:167" s="92" customFormat="1" ht="228.75" hidden="1" customHeight="1">
      <c r="A9" s="177" t="s">
        <v>847</v>
      </c>
      <c r="B9" s="329">
        <v>40933</v>
      </c>
      <c r="C9" s="326" t="s">
        <v>1132</v>
      </c>
      <c r="D9" s="325" t="s">
        <v>676</v>
      </c>
      <c r="E9" s="326"/>
      <c r="F9" s="189" t="s">
        <v>1778</v>
      </c>
      <c r="G9" s="326"/>
      <c r="H9" s="326"/>
      <c r="I9" s="326"/>
      <c r="J9" s="326"/>
      <c r="K9" s="428" t="s">
        <v>151</v>
      </c>
      <c r="L9" s="333" t="s">
        <v>166</v>
      </c>
      <c r="M9" s="189" t="s">
        <v>166</v>
      </c>
      <c r="N9" s="196" t="s">
        <v>311</v>
      </c>
      <c r="O9" s="196"/>
      <c r="P9" s="189"/>
      <c r="Q9" s="331">
        <v>40954</v>
      </c>
      <c r="R9" s="187">
        <v>40954</v>
      </c>
      <c r="S9" s="333" t="s">
        <v>2098</v>
      </c>
      <c r="T9" s="326"/>
      <c r="U9" s="190" t="s">
        <v>2099</v>
      </c>
      <c r="V9" s="326">
        <v>40954</v>
      </c>
      <c r="W9" s="184"/>
      <c r="Y9" s="167" t="str">
        <f ca="1">IF(Table17[[#This Row],[Required Resolution Date]]="","FALSE",IF($AA$1&gt;Table17[[#This Row],[Required Resolution Date]],"TRUE","FALSE"))</f>
        <v>TRUE</v>
      </c>
      <c r="Z9" s="4">
        <f t="shared" ca="1" si="0"/>
        <v>1</v>
      </c>
      <c r="AB9" s="175" t="b">
        <f>OR(Table17[[#This Row],[Priority]]="04. High",Table17[[#This Row],[Priority]]="05. Critical")</f>
        <v>1</v>
      </c>
      <c r="AC9" s="284">
        <f ca="1">$AA$1-Table17[[#This Row],[Date captured]]</f>
        <v>57</v>
      </c>
      <c r="AD9" s="175" t="b">
        <f t="shared" ca="1" si="1"/>
        <v>1</v>
      </c>
      <c r="AE9" s="175" t="b">
        <f t="shared" ca="1" si="2"/>
        <v>0</v>
      </c>
      <c r="AF9" s="175" t="b">
        <f t="shared" ca="1" si="3"/>
        <v>0</v>
      </c>
      <c r="AG9" s="284">
        <f ca="1">Table17[[#This Row],[Required Resolution Date]]-$AA$1</f>
        <v>-36</v>
      </c>
      <c r="AH9" s="175" t="b">
        <f t="shared" ca="1" si="4"/>
        <v>0</v>
      </c>
      <c r="AI9" s="327" t="b">
        <f>OR(Table17[[#This Row],[Priority]]="04. High",Table17[[#This Row],[Priority]]="05. Critical",Table17[[#This Row],[Priority]]="03. Moderate")</f>
        <v>1</v>
      </c>
    </row>
    <row r="10" spans="1:167" s="4" customFormat="1" ht="178.5" hidden="1" customHeight="1">
      <c r="A10" s="177" t="s">
        <v>848</v>
      </c>
      <c r="B10" s="329">
        <v>40933</v>
      </c>
      <c r="C10" s="141" t="s">
        <v>523</v>
      </c>
      <c r="D10" s="325" t="s">
        <v>676</v>
      </c>
      <c r="E10" s="326"/>
      <c r="F10" s="189" t="s">
        <v>1849</v>
      </c>
      <c r="G10" s="141" t="s">
        <v>152</v>
      </c>
      <c r="H10" s="141" t="s">
        <v>151</v>
      </c>
      <c r="I10" s="141" t="s">
        <v>151</v>
      </c>
      <c r="J10" s="141" t="s">
        <v>690</v>
      </c>
      <c r="K10" s="141" t="s">
        <v>151</v>
      </c>
      <c r="L10" s="333" t="s">
        <v>523</v>
      </c>
      <c r="M10" s="189" t="s">
        <v>1831</v>
      </c>
      <c r="N10" s="196" t="s">
        <v>154</v>
      </c>
      <c r="O10" s="196"/>
      <c r="P10" s="189" t="s">
        <v>1832</v>
      </c>
      <c r="Q10" s="331">
        <v>40968</v>
      </c>
      <c r="R10" s="187">
        <v>40999</v>
      </c>
      <c r="S10" s="190" t="s">
        <v>2760</v>
      </c>
      <c r="T10" s="326" t="s">
        <v>1571</v>
      </c>
      <c r="U10" s="190" t="s">
        <v>2779</v>
      </c>
      <c r="V10" s="326">
        <v>40980</v>
      </c>
      <c r="W10" s="184" t="s">
        <v>2780</v>
      </c>
      <c r="Y10" s="167" t="str">
        <f ca="1">IF(Table17[[#This Row],[Required Resolution Date]]="","FALSE",IF($AA$1&gt;Table17[[#This Row],[Required Resolution Date]],"TRUE","FALSE"))</f>
        <v>FALSE</v>
      </c>
      <c r="Z10" s="4">
        <f t="shared" ca="1" si="0"/>
        <v>0</v>
      </c>
      <c r="AB10" s="175" t="b">
        <f>OR(Table17[[#This Row],[Priority]]="04. High",Table17[[#This Row],[Priority]]="05. Critical")</f>
        <v>1</v>
      </c>
      <c r="AC10" s="284">
        <f ca="1">$AA$1-Table17[[#This Row],[Date captured]]</f>
        <v>57</v>
      </c>
      <c r="AD10" s="175" t="b">
        <f t="shared" ca="1" si="1"/>
        <v>1</v>
      </c>
      <c r="AE10" s="175" t="b">
        <f t="shared" ca="1" si="2"/>
        <v>0</v>
      </c>
      <c r="AF10" s="175" t="b">
        <f t="shared" ca="1" si="3"/>
        <v>0</v>
      </c>
      <c r="AG10" s="284">
        <f ca="1">Table17[[#This Row],[Required Resolution Date]]-$AA$1</f>
        <v>9</v>
      </c>
      <c r="AH10" s="175" t="b">
        <f t="shared" ca="1" si="4"/>
        <v>0</v>
      </c>
      <c r="AI10" s="327" t="b">
        <f>OR(Table17[[#This Row],[Priority]]="04. High",Table17[[#This Row],[Priority]]="05. Critical",Table17[[#This Row],[Priority]]="03. Moderate")</f>
        <v>1</v>
      </c>
    </row>
    <row r="11" spans="1:167" s="140" customFormat="1" ht="162" hidden="1">
      <c r="A11" s="177" t="s">
        <v>1755</v>
      </c>
      <c r="B11" s="329">
        <v>40939</v>
      </c>
      <c r="C11" s="141" t="s">
        <v>261</v>
      </c>
      <c r="D11" s="325" t="s">
        <v>676</v>
      </c>
      <c r="E11" s="326"/>
      <c r="F11" s="189" t="s">
        <v>1853</v>
      </c>
      <c r="G11" s="141" t="s">
        <v>690</v>
      </c>
      <c r="H11" s="141" t="s">
        <v>679</v>
      </c>
      <c r="I11" s="141" t="s">
        <v>690</v>
      </c>
      <c r="J11" s="141" t="s">
        <v>690</v>
      </c>
      <c r="K11" s="326" t="s">
        <v>152</v>
      </c>
      <c r="L11" s="333" t="s">
        <v>438</v>
      </c>
      <c r="M11" s="189" t="s">
        <v>724</v>
      </c>
      <c r="N11" s="196" t="s">
        <v>150</v>
      </c>
      <c r="O11" s="196"/>
      <c r="P11" s="401">
        <v>40985</v>
      </c>
      <c r="Q11" s="331">
        <v>40975</v>
      </c>
      <c r="R11" s="187">
        <v>40954</v>
      </c>
      <c r="S11" s="190" t="s">
        <v>2799</v>
      </c>
      <c r="T11" s="326" t="s">
        <v>1565</v>
      </c>
      <c r="U11" s="190" t="s">
        <v>2800</v>
      </c>
      <c r="V11" s="326">
        <v>40981</v>
      </c>
      <c r="W11" s="184"/>
      <c r="Y11" s="176" t="str">
        <f ca="1">IF(Table17[[#This Row],[Required Resolution Date]]="","FALSE",IF($AA$1&gt;Table17[[#This Row],[Required Resolution Date]],"TRUE","FALSE"))</f>
        <v>TRUE</v>
      </c>
      <c r="Z11" s="175">
        <f t="shared" ca="1" si="0"/>
        <v>1</v>
      </c>
      <c r="AB11" s="175" t="b">
        <f>OR(Table17[[#This Row],[Priority]]="04. High",Table17[[#This Row],[Priority]]="05. Critical")</f>
        <v>1</v>
      </c>
      <c r="AC11" s="284">
        <f ca="1">$AA$1-Table17[[#This Row],[Date captured]]</f>
        <v>51</v>
      </c>
      <c r="AD11" s="175" t="b">
        <f t="shared" ca="1" si="1"/>
        <v>1</v>
      </c>
      <c r="AE11" s="175" t="b">
        <f t="shared" ca="1" si="2"/>
        <v>0</v>
      </c>
      <c r="AF11" s="175" t="b">
        <f t="shared" ca="1" si="3"/>
        <v>0</v>
      </c>
      <c r="AG11" s="284">
        <f ca="1">Table17[[#This Row],[Required Resolution Date]]-$AA$1</f>
        <v>-36</v>
      </c>
      <c r="AH11" s="175" t="b">
        <f t="shared" ca="1" si="4"/>
        <v>0</v>
      </c>
      <c r="AI11" s="327" t="b">
        <f>OR(Table17[[#This Row],[Priority]]="04. High",Table17[[#This Row],[Priority]]="05. Critical",Table17[[#This Row],[Priority]]="03. Moderate")</f>
        <v>1</v>
      </c>
    </row>
    <row r="12" spans="1:167" ht="181.5" hidden="1" customHeight="1">
      <c r="A12" s="177" t="s">
        <v>1756</v>
      </c>
      <c r="B12" s="329">
        <v>40939</v>
      </c>
      <c r="C12" s="326" t="s">
        <v>835</v>
      </c>
      <c r="D12" s="325" t="s">
        <v>676</v>
      </c>
      <c r="E12" s="326"/>
      <c r="F12" s="189" t="s">
        <v>2228</v>
      </c>
      <c r="G12" s="326" t="s">
        <v>690</v>
      </c>
      <c r="H12" s="326" t="s">
        <v>690</v>
      </c>
      <c r="I12" s="326" t="s">
        <v>690</v>
      </c>
      <c r="J12" s="326" t="s">
        <v>690</v>
      </c>
      <c r="K12" s="326" t="s">
        <v>151</v>
      </c>
      <c r="L12" s="333" t="s">
        <v>261</v>
      </c>
      <c r="M12" s="189" t="s">
        <v>818</v>
      </c>
      <c r="N12" s="196" t="s">
        <v>150</v>
      </c>
      <c r="P12" s="327" t="s">
        <v>321</v>
      </c>
      <c r="Q12" s="331">
        <v>40975</v>
      </c>
      <c r="R12" s="187">
        <v>40998</v>
      </c>
      <c r="S12" s="190" t="s">
        <v>2612</v>
      </c>
      <c r="T12" s="326" t="s">
        <v>1564</v>
      </c>
      <c r="U12" s="190" t="s">
        <v>2777</v>
      </c>
      <c r="V12" s="326">
        <v>40976</v>
      </c>
      <c r="W12" s="184"/>
      <c r="Y12" s="176" t="str">
        <f ca="1">IF(Table17[[#This Row],[Required Resolution Date]]="","FALSE",IF($AA$1&gt;Table17[[#This Row],[Required Resolution Date]],"TRUE","FALSE"))</f>
        <v>FALSE</v>
      </c>
      <c r="Z12" s="175">
        <f t="shared" ca="1" si="0"/>
        <v>0</v>
      </c>
      <c r="AB12" s="175" t="b">
        <f>OR(Table17[[#This Row],[Priority]]="04. High",Table17[[#This Row],[Priority]]="05. Critical")</f>
        <v>1</v>
      </c>
      <c r="AC12" s="284">
        <f ca="1">$AA$1-Table17[[#This Row],[Date captured]]</f>
        <v>51</v>
      </c>
      <c r="AD12" s="175" t="b">
        <f t="shared" ca="1" si="1"/>
        <v>1</v>
      </c>
      <c r="AE12" s="175" t="b">
        <f t="shared" ca="1" si="2"/>
        <v>0</v>
      </c>
      <c r="AF12" s="175" t="b">
        <f t="shared" ca="1" si="3"/>
        <v>0</v>
      </c>
      <c r="AG12" s="284">
        <f ca="1">Table17[[#This Row],[Required Resolution Date]]-$AA$1</f>
        <v>8</v>
      </c>
      <c r="AH12" s="175" t="b">
        <f t="shared" ca="1" si="4"/>
        <v>0</v>
      </c>
      <c r="AI12" s="327" t="b">
        <f>OR(Table17[[#This Row],[Priority]]="04. High",Table17[[#This Row],[Priority]]="05. Critical",Table17[[#This Row],[Priority]]="03. Moderate")</f>
        <v>1</v>
      </c>
    </row>
    <row r="13" spans="1:167" s="98" customFormat="1" ht="204.75" hidden="1" customHeight="1">
      <c r="A13" s="177" t="s">
        <v>1757</v>
      </c>
      <c r="B13" s="329">
        <v>40940</v>
      </c>
      <c r="C13" s="141" t="s">
        <v>1492</v>
      </c>
      <c r="D13" s="325" t="s">
        <v>676</v>
      </c>
      <c r="E13" s="141"/>
      <c r="F13" s="189" t="s">
        <v>1869</v>
      </c>
      <c r="G13" s="326" t="s">
        <v>152</v>
      </c>
      <c r="H13" s="326" t="s">
        <v>152</v>
      </c>
      <c r="I13" s="326" t="s">
        <v>152</v>
      </c>
      <c r="J13" s="326" t="s">
        <v>152</v>
      </c>
      <c r="K13" s="326" t="s">
        <v>152</v>
      </c>
      <c r="L13" s="333" t="s">
        <v>1492</v>
      </c>
      <c r="M13" s="189" t="s">
        <v>1870</v>
      </c>
      <c r="N13" s="196" t="s">
        <v>311</v>
      </c>
      <c r="O13" s="196"/>
      <c r="P13" s="189" t="s">
        <v>1919</v>
      </c>
      <c r="Q13" s="331">
        <v>40954</v>
      </c>
      <c r="R13" s="249">
        <v>40955</v>
      </c>
      <c r="S13" s="190" t="s">
        <v>2103</v>
      </c>
      <c r="T13" s="326" t="s">
        <v>1564</v>
      </c>
      <c r="U13" s="190" t="s">
        <v>2104</v>
      </c>
      <c r="V13" s="326">
        <v>40954</v>
      </c>
      <c r="W13" s="184"/>
      <c r="X13" s="97"/>
      <c r="Y13" s="167" t="str">
        <f ca="1">IF(Table17[[#This Row],[Required Resolution Date]]="","FALSE",IF($AA$1&gt;Table17[[#This Row],[Required Resolution Date]],"TRUE","FALSE"))</f>
        <v>TRUE</v>
      </c>
      <c r="Z13" s="4">
        <f t="shared" ca="1" si="0"/>
        <v>1</v>
      </c>
      <c r="AA13" s="97"/>
      <c r="AB13" s="175" t="b">
        <f>OR(Table17[[#This Row],[Priority]]="04. High",Table17[[#This Row],[Priority]]="05. Critical")</f>
        <v>1</v>
      </c>
      <c r="AC13" s="284">
        <f ca="1">$AA$1-Table17[[#This Row],[Date captured]]</f>
        <v>50</v>
      </c>
      <c r="AD13" s="175" t="b">
        <f t="shared" ca="1" si="1"/>
        <v>1</v>
      </c>
      <c r="AE13" s="175" t="b">
        <f t="shared" ca="1" si="2"/>
        <v>0</v>
      </c>
      <c r="AF13" s="175" t="b">
        <f t="shared" ca="1" si="3"/>
        <v>0</v>
      </c>
      <c r="AG13" s="284">
        <f ca="1">Table17[[#This Row],[Required Resolution Date]]-$AA$1</f>
        <v>-35</v>
      </c>
      <c r="AH13" s="175" t="b">
        <f t="shared" ca="1" si="4"/>
        <v>0</v>
      </c>
      <c r="AI13" s="327" t="b">
        <f>OR(Table17[[#This Row],[Priority]]="04. High",Table17[[#This Row],[Priority]]="05. Critical",Table17[[#This Row],[Priority]]="03. Moderate")</f>
        <v>1</v>
      </c>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7"/>
      <c r="DQ13" s="97"/>
      <c r="DR13" s="97"/>
      <c r="DS13" s="97"/>
      <c r="DT13" s="97"/>
      <c r="DU13" s="97"/>
      <c r="DV13" s="97"/>
      <c r="DW13" s="97"/>
      <c r="DX13" s="97"/>
      <c r="DY13" s="97"/>
      <c r="DZ13" s="97"/>
      <c r="EA13" s="97"/>
      <c r="EB13" s="97"/>
      <c r="EC13" s="97"/>
      <c r="ED13" s="97"/>
      <c r="EE13" s="97"/>
      <c r="EF13" s="97"/>
      <c r="EG13" s="97"/>
      <c r="EH13" s="97"/>
      <c r="EI13" s="97"/>
      <c r="EJ13" s="97"/>
      <c r="EK13" s="97"/>
      <c r="EL13" s="97"/>
      <c r="EM13" s="97"/>
      <c r="EN13" s="97"/>
      <c r="EO13" s="97"/>
      <c r="EP13" s="97"/>
      <c r="EQ13" s="97"/>
      <c r="ER13" s="97"/>
      <c r="ES13" s="97"/>
      <c r="ET13" s="97"/>
      <c r="EU13" s="97"/>
      <c r="EV13" s="97"/>
      <c r="EW13" s="97"/>
      <c r="EX13" s="97"/>
      <c r="EY13" s="97"/>
      <c r="EZ13" s="97"/>
      <c r="FA13" s="97"/>
      <c r="FB13" s="97"/>
      <c r="FC13" s="97"/>
      <c r="FD13" s="97"/>
      <c r="FE13" s="97"/>
      <c r="FF13" s="97"/>
      <c r="FG13" s="97"/>
      <c r="FH13" s="97"/>
      <c r="FI13" s="97"/>
      <c r="FJ13" s="97"/>
      <c r="FK13" s="97"/>
    </row>
    <row r="14" spans="1:167" s="4" customFormat="1" ht="132" hidden="1">
      <c r="A14" s="130" t="s">
        <v>592</v>
      </c>
      <c r="B14" s="78">
        <v>40660</v>
      </c>
      <c r="C14" s="92"/>
      <c r="D14" s="71" t="s">
        <v>676</v>
      </c>
      <c r="E14" s="91"/>
      <c r="F14" s="71" t="s">
        <v>682</v>
      </c>
      <c r="G14" s="91"/>
      <c r="H14" s="91"/>
      <c r="I14" s="91"/>
      <c r="J14" s="91"/>
      <c r="K14" s="91" t="s">
        <v>151</v>
      </c>
      <c r="L14" s="127"/>
      <c r="M14" s="71" t="s">
        <v>684</v>
      </c>
      <c r="N14" s="71" t="s">
        <v>149</v>
      </c>
      <c r="O14" s="71"/>
      <c r="P14" s="71"/>
      <c r="Q14" s="78">
        <v>40695</v>
      </c>
      <c r="R14" s="91">
        <v>40695</v>
      </c>
      <c r="S14" s="103" t="s">
        <v>686</v>
      </c>
      <c r="T14" s="103"/>
      <c r="U14" s="442" t="s">
        <v>3007</v>
      </c>
      <c r="V14" s="87">
        <v>40695</v>
      </c>
      <c r="W14" s="131"/>
      <c r="Y14" s="167" t="str">
        <f ca="1">IF(Table17[[#This Row],[Required Resolution Date]]="","FALSE",IF($AA$1&gt;Table17[[#This Row],[Required Resolution Date]],"TRUE","FALSE"))</f>
        <v>TRUE</v>
      </c>
      <c r="Z14" s="4">
        <f t="shared" ca="1" si="0"/>
        <v>1</v>
      </c>
      <c r="AB14" s="175" t="b">
        <f>OR(Table17[[#This Row],[Priority]]="04. High",Table17[[#This Row],[Priority]]="05. Critical")</f>
        <v>1</v>
      </c>
      <c r="AC14" s="284">
        <f ca="1">$AA$1-Table17[[#This Row],[Date captured]]</f>
        <v>330</v>
      </c>
      <c r="AD14" s="175" t="b">
        <f t="shared" ca="1" si="1"/>
        <v>0</v>
      </c>
      <c r="AE14" s="175" t="b">
        <f t="shared" ca="1" si="2"/>
        <v>0</v>
      </c>
      <c r="AF14" s="175" t="b">
        <f t="shared" ca="1" si="3"/>
        <v>1</v>
      </c>
      <c r="AG14" s="284">
        <f ca="1">Table17[[#This Row],[Required Resolution Date]]-$AA$1</f>
        <v>-295</v>
      </c>
      <c r="AH14" s="175" t="b">
        <f t="shared" ca="1" si="4"/>
        <v>0</v>
      </c>
      <c r="AI14" s="327" t="b">
        <f>OR(Table17[[#This Row],[Priority]]="04. High",Table17[[#This Row],[Priority]]="05. Critical",Table17[[#This Row],[Priority]]="03. Moderate")</f>
        <v>1</v>
      </c>
    </row>
    <row r="15" spans="1:167" s="4" customFormat="1" ht="297">
      <c r="A15" s="177" t="s">
        <v>669</v>
      </c>
      <c r="B15" s="329">
        <v>40918</v>
      </c>
      <c r="C15" s="326" t="s">
        <v>296</v>
      </c>
      <c r="D15" s="325" t="s">
        <v>15</v>
      </c>
      <c r="E15" s="326" t="s">
        <v>203</v>
      </c>
      <c r="F15" s="189" t="s">
        <v>1618</v>
      </c>
      <c r="G15" s="326" t="s">
        <v>679</v>
      </c>
      <c r="H15" s="326" t="s">
        <v>679</v>
      </c>
      <c r="I15" s="326" t="s">
        <v>152</v>
      </c>
      <c r="J15" s="326" t="s">
        <v>151</v>
      </c>
      <c r="K15" s="326" t="s">
        <v>152</v>
      </c>
      <c r="L15" s="333" t="s">
        <v>296</v>
      </c>
      <c r="M15" s="189" t="s">
        <v>296</v>
      </c>
      <c r="N15" s="196" t="s">
        <v>303</v>
      </c>
      <c r="O15" s="196"/>
      <c r="P15" s="189" t="s">
        <v>1621</v>
      </c>
      <c r="Q15" s="331">
        <v>40998</v>
      </c>
      <c r="R15" s="331">
        <v>40998</v>
      </c>
      <c r="S15" s="190" t="s">
        <v>2855</v>
      </c>
      <c r="T15" s="326" t="s">
        <v>1565</v>
      </c>
      <c r="U15" s="326"/>
      <c r="V15" s="326"/>
      <c r="W15" s="184"/>
      <c r="Y15" s="167" t="str">
        <f ca="1">IF(Table17[[#This Row],[Required Resolution Date]]="","FALSE",IF($AA$1&gt;Table17[[#This Row],[Required Resolution Date]],"TRUE","FALSE"))</f>
        <v>FALSE</v>
      </c>
      <c r="Z15" s="4">
        <f t="shared" ca="1" si="0"/>
        <v>0</v>
      </c>
      <c r="AB15" s="175" t="b">
        <f>OR(Table17[[#This Row],[Priority]]="04. High",Table17[[#This Row],[Priority]]="05. Critical")</f>
        <v>1</v>
      </c>
      <c r="AC15" s="284">
        <f ca="1">$AA$1-Table17[[#This Row],[Date captured]]</f>
        <v>72</v>
      </c>
      <c r="AD15" s="175" t="b">
        <f t="shared" ca="1" si="1"/>
        <v>1</v>
      </c>
      <c r="AE15" s="175" t="b">
        <f t="shared" ca="1" si="2"/>
        <v>0</v>
      </c>
      <c r="AF15" s="175" t="b">
        <f t="shared" ca="1" si="3"/>
        <v>0</v>
      </c>
      <c r="AG15" s="284">
        <f ca="1">Table17[[#This Row],[Required Resolution Date]]-$AA$1</f>
        <v>8</v>
      </c>
      <c r="AH15" s="175" t="b">
        <f t="shared" ca="1" si="4"/>
        <v>0</v>
      </c>
      <c r="AI15" s="327" t="b">
        <f>OR(Table17[[#This Row],[Priority]]="04. High",Table17[[#This Row],[Priority]]="05. Critical",Table17[[#This Row],[Priority]]="03. Moderate")</f>
        <v>1</v>
      </c>
    </row>
    <row r="16" spans="1:167" s="4" customFormat="1" ht="156.75" hidden="1" customHeight="1">
      <c r="A16" s="338" t="s">
        <v>1759</v>
      </c>
      <c r="B16" s="329">
        <v>40947</v>
      </c>
      <c r="C16" s="333" t="s">
        <v>1966</v>
      </c>
      <c r="D16" s="325" t="s">
        <v>676</v>
      </c>
      <c r="E16" s="326" t="s">
        <v>216</v>
      </c>
      <c r="F16" s="279" t="s">
        <v>1970</v>
      </c>
      <c r="G16" s="326"/>
      <c r="H16" s="326"/>
      <c r="I16" s="326"/>
      <c r="J16" s="326"/>
      <c r="K16" s="326" t="s">
        <v>151</v>
      </c>
      <c r="L16" s="333" t="s">
        <v>186</v>
      </c>
      <c r="M16" s="339" t="s">
        <v>186</v>
      </c>
      <c r="N16" s="337" t="s">
        <v>311</v>
      </c>
      <c r="O16" s="337"/>
      <c r="P16" s="339"/>
      <c r="Q16" s="331"/>
      <c r="R16" s="332"/>
      <c r="S16" s="190" t="s">
        <v>2105</v>
      </c>
      <c r="T16" s="334"/>
      <c r="U16" s="190" t="s">
        <v>2106</v>
      </c>
      <c r="V16" s="334">
        <v>40954</v>
      </c>
      <c r="W16" s="335"/>
      <c r="Y16" s="167" t="str">
        <f>IF(Table17[[#This Row],[Required Resolution Date]]="","FALSE",IF($AA$1&gt;Table17[[#This Row],[Required Resolution Date]],"TRUE","FALSE"))</f>
        <v>FALSE</v>
      </c>
      <c r="Z16" s="4">
        <f t="shared" si="0"/>
        <v>0</v>
      </c>
      <c r="AB16" s="175" t="b">
        <f>OR(Table17[[#This Row],[Priority]]="04. High",Table17[[#This Row],[Priority]]="05. Critical")</f>
        <v>1</v>
      </c>
      <c r="AC16" s="284">
        <f ca="1">$AA$1-Table17[[#This Row],[Date captured]]</f>
        <v>43</v>
      </c>
      <c r="AD16" s="175" t="b">
        <f t="shared" ca="1" si="1"/>
        <v>1</v>
      </c>
      <c r="AE16" s="175" t="b">
        <f t="shared" ca="1" si="2"/>
        <v>0</v>
      </c>
      <c r="AF16" s="175" t="b">
        <f t="shared" ca="1" si="3"/>
        <v>0</v>
      </c>
      <c r="AG16" s="284">
        <f ca="1">Table17[[#This Row],[Required Resolution Date]]-$AA$1</f>
        <v>-40990</v>
      </c>
      <c r="AH16" s="175" t="b">
        <f t="shared" ca="1" si="4"/>
        <v>0</v>
      </c>
      <c r="AI16" s="327" t="b">
        <f>OR(Table17[[#This Row],[Priority]]="04. High",Table17[[#This Row],[Priority]]="05. Critical",Table17[[#This Row],[Priority]]="03. Moderate")</f>
        <v>1</v>
      </c>
    </row>
    <row r="17" spans="1:167" ht="175.5" hidden="1" customHeight="1">
      <c r="A17" s="338" t="s">
        <v>1760</v>
      </c>
      <c r="B17" s="329">
        <v>40947</v>
      </c>
      <c r="C17" s="333" t="s">
        <v>1966</v>
      </c>
      <c r="D17" s="325" t="s">
        <v>676</v>
      </c>
      <c r="E17" s="326" t="s">
        <v>216</v>
      </c>
      <c r="F17" s="280" t="s">
        <v>1969</v>
      </c>
      <c r="G17" s="326"/>
      <c r="H17" s="326"/>
      <c r="I17" s="326"/>
      <c r="J17" s="326"/>
      <c r="K17" s="326" t="s">
        <v>151</v>
      </c>
      <c r="L17" s="333" t="s">
        <v>186</v>
      </c>
      <c r="M17" s="339" t="s">
        <v>186</v>
      </c>
      <c r="N17" s="337" t="s">
        <v>311</v>
      </c>
      <c r="O17" s="337"/>
      <c r="P17" s="339"/>
      <c r="Q17" s="331"/>
      <c r="R17" s="332"/>
      <c r="S17" s="333" t="s">
        <v>2107</v>
      </c>
      <c r="T17" s="334"/>
      <c r="U17" s="190" t="s">
        <v>2108</v>
      </c>
      <c r="V17" s="334">
        <v>40954</v>
      </c>
      <c r="W17" s="335"/>
      <c r="Y17" s="176" t="str">
        <f>IF(Table17[[#This Row],[Required Resolution Date]]="","FALSE",IF($AA$1&gt;Table17[[#This Row],[Required Resolution Date]],"TRUE","FALSE"))</f>
        <v>FALSE</v>
      </c>
      <c r="Z17" s="175">
        <f t="shared" si="0"/>
        <v>0</v>
      </c>
      <c r="AB17" s="175" t="b">
        <f>OR(Table17[[#This Row],[Priority]]="04. High",Table17[[#This Row],[Priority]]="05. Critical")</f>
        <v>1</v>
      </c>
      <c r="AC17" s="284">
        <f ca="1">$AA$1-Table17[[#This Row],[Date captured]]</f>
        <v>43</v>
      </c>
      <c r="AD17" s="175" t="b">
        <f t="shared" ca="1" si="1"/>
        <v>1</v>
      </c>
      <c r="AE17" s="175" t="b">
        <f t="shared" ca="1" si="2"/>
        <v>0</v>
      </c>
      <c r="AF17" s="175" t="b">
        <f t="shared" ca="1" si="3"/>
        <v>0</v>
      </c>
      <c r="AG17" s="284">
        <f ca="1">Table17[[#This Row],[Required Resolution Date]]-$AA$1</f>
        <v>-40990</v>
      </c>
      <c r="AH17" s="175" t="b">
        <f t="shared" ca="1" si="4"/>
        <v>0</v>
      </c>
      <c r="AI17" s="327" t="b">
        <f>OR(Table17[[#This Row],[Priority]]="04. High",Table17[[#This Row],[Priority]]="05. Critical",Table17[[#This Row],[Priority]]="03. Moderate")</f>
        <v>1</v>
      </c>
    </row>
    <row r="18" spans="1:167" s="4" customFormat="1" ht="409.5">
      <c r="A18" s="174" t="s">
        <v>621</v>
      </c>
      <c r="B18" s="406">
        <v>40820</v>
      </c>
      <c r="C18" s="326" t="s">
        <v>523</v>
      </c>
      <c r="D18" s="325" t="s">
        <v>15</v>
      </c>
      <c r="E18" s="326"/>
      <c r="F18" s="391" t="s">
        <v>2759</v>
      </c>
      <c r="G18" s="326" t="s">
        <v>690</v>
      </c>
      <c r="H18" s="326" t="s">
        <v>152</v>
      </c>
      <c r="I18" s="326" t="s">
        <v>151</v>
      </c>
      <c r="J18" s="326" t="s">
        <v>690</v>
      </c>
      <c r="K18" s="326" t="s">
        <v>152</v>
      </c>
      <c r="L18" s="333" t="s">
        <v>461</v>
      </c>
      <c r="M18" s="456" t="s">
        <v>3087</v>
      </c>
      <c r="N18" s="391" t="s">
        <v>148</v>
      </c>
      <c r="O18" s="391"/>
      <c r="P18" s="324" t="s">
        <v>1594</v>
      </c>
      <c r="Q18" s="147">
        <v>40994</v>
      </c>
      <c r="R18" s="392">
        <v>40999</v>
      </c>
      <c r="S18" s="393" t="s">
        <v>3088</v>
      </c>
      <c r="T18" s="393" t="s">
        <v>1571</v>
      </c>
      <c r="U18" s="393"/>
      <c r="V18" s="150"/>
      <c r="W18" s="326"/>
      <c r="Y18" s="167" t="str">
        <f ca="1">IF(Table17[[#This Row],[Required Resolution Date]]="","FALSE",IF($AA$1&gt;Table17[[#This Row],[Required Resolution Date]],"TRUE","FALSE"))</f>
        <v>FALSE</v>
      </c>
      <c r="Z18" s="4">
        <f t="shared" ca="1" si="0"/>
        <v>0</v>
      </c>
      <c r="AB18" s="175" t="b">
        <f>OR(Table17[[#This Row],[Priority]]="04. High",Table17[[#This Row],[Priority]]="05. Critical")</f>
        <v>1</v>
      </c>
      <c r="AC18" s="284">
        <f ca="1">$AA$1-Table17[[#This Row],[Date captured]]</f>
        <v>170</v>
      </c>
      <c r="AD18" s="175" t="b">
        <f t="shared" ca="1" si="1"/>
        <v>0</v>
      </c>
      <c r="AE18" s="175" t="b">
        <f t="shared" ca="1" si="2"/>
        <v>1</v>
      </c>
      <c r="AF18" s="175" t="b">
        <f t="shared" ca="1" si="3"/>
        <v>0</v>
      </c>
      <c r="AG18" s="284">
        <f ca="1">Table17[[#This Row],[Required Resolution Date]]-$AA$1</f>
        <v>9</v>
      </c>
      <c r="AH18" s="175" t="b">
        <f t="shared" ca="1" si="4"/>
        <v>0</v>
      </c>
      <c r="AI18" s="327" t="b">
        <f>OR(Table17[[#This Row],[Priority]]="04. High",Table17[[#This Row],[Priority]]="05. Critical",Table17[[#This Row],[Priority]]="03. Moderate")</f>
        <v>1</v>
      </c>
    </row>
    <row r="19" spans="1:167" s="4" customFormat="1" ht="198.75" customHeight="1">
      <c r="A19" s="338" t="s">
        <v>2415</v>
      </c>
      <c r="B19" s="329">
        <v>40982</v>
      </c>
      <c r="C19" s="333" t="s">
        <v>2815</v>
      </c>
      <c r="D19" s="325" t="s">
        <v>15</v>
      </c>
      <c r="E19" s="326"/>
      <c r="F19" s="280" t="s">
        <v>2812</v>
      </c>
      <c r="G19" s="326" t="s">
        <v>1563</v>
      </c>
      <c r="H19" s="326" t="s">
        <v>1563</v>
      </c>
      <c r="I19" s="326" t="s">
        <v>1563</v>
      </c>
      <c r="J19" s="326" t="s">
        <v>1563</v>
      </c>
      <c r="K19" s="326" t="s">
        <v>151</v>
      </c>
      <c r="L19" s="333" t="s">
        <v>1779</v>
      </c>
      <c r="M19" s="339" t="s">
        <v>2811</v>
      </c>
      <c r="N19" s="337" t="s">
        <v>721</v>
      </c>
      <c r="O19" s="337"/>
      <c r="P19" s="339" t="s">
        <v>2813</v>
      </c>
      <c r="Q19" s="331">
        <v>40998</v>
      </c>
      <c r="R19" s="332">
        <v>40998</v>
      </c>
      <c r="S19" s="333" t="s">
        <v>2913</v>
      </c>
      <c r="T19" s="334" t="s">
        <v>1564</v>
      </c>
      <c r="U19" s="326"/>
      <c r="V19" s="334"/>
      <c r="W19" s="335"/>
      <c r="Y19" s="167" t="str">
        <f ca="1">IF(Table17[[#This Row],[Required Resolution Date]]="","FALSE",IF($AA$1&gt;Table17[[#This Row],[Required Resolution Date]],"TRUE","FALSE"))</f>
        <v>FALSE</v>
      </c>
      <c r="Z19" s="4">
        <f t="shared" ca="1" si="0"/>
        <v>0</v>
      </c>
      <c r="AB19" s="175" t="b">
        <f>OR(Table17[[#This Row],[Priority]]="04. High",Table17[[#This Row],[Priority]]="05. Critical")</f>
        <v>1</v>
      </c>
      <c r="AC19" s="284">
        <f ca="1">$AA$1-Table17[[#This Row],[Date captured]]</f>
        <v>8</v>
      </c>
      <c r="AD19" s="175" t="b">
        <f t="shared" ca="1" si="1"/>
        <v>0</v>
      </c>
      <c r="AE19" s="175" t="b">
        <f t="shared" ca="1" si="2"/>
        <v>0</v>
      </c>
      <c r="AF19" s="175" t="b">
        <f t="shared" ca="1" si="3"/>
        <v>0</v>
      </c>
      <c r="AG19" s="284">
        <f ca="1">Table17[[#This Row],[Required Resolution Date]]-$AA$1</f>
        <v>8</v>
      </c>
      <c r="AH19" s="175" t="b">
        <f t="shared" ca="1" si="4"/>
        <v>0</v>
      </c>
      <c r="AI19" s="327" t="b">
        <f>OR(Table17[[#This Row],[Priority]]="04. High",Table17[[#This Row],[Priority]]="05. Critical",Table17[[#This Row],[Priority]]="03. Moderate")</f>
        <v>1</v>
      </c>
    </row>
    <row r="20" spans="1:167" s="4" customFormat="1" ht="75.75" hidden="1" customHeight="1">
      <c r="A20" s="338" t="s">
        <v>1960</v>
      </c>
      <c r="B20" s="329">
        <v>40961</v>
      </c>
      <c r="C20" s="326" t="s">
        <v>261</v>
      </c>
      <c r="D20" s="325" t="s">
        <v>676</v>
      </c>
      <c r="E20" s="326"/>
      <c r="F20" s="323" t="s">
        <v>2170</v>
      </c>
      <c r="G20" s="141" t="s">
        <v>151</v>
      </c>
      <c r="H20" s="141" t="s">
        <v>151</v>
      </c>
      <c r="I20" s="141" t="s">
        <v>151</v>
      </c>
      <c r="J20" s="141" t="s">
        <v>151</v>
      </c>
      <c r="K20" s="326" t="s">
        <v>151</v>
      </c>
      <c r="L20" s="333" t="s">
        <v>261</v>
      </c>
      <c r="M20" s="339" t="s">
        <v>1634</v>
      </c>
      <c r="N20" s="337" t="s">
        <v>150</v>
      </c>
      <c r="O20" s="337"/>
      <c r="P20" s="339" t="s">
        <v>2171</v>
      </c>
      <c r="Q20" s="331">
        <v>40982</v>
      </c>
      <c r="R20" s="331">
        <v>40984</v>
      </c>
      <c r="S20" s="190" t="s">
        <v>2805</v>
      </c>
      <c r="T20" s="334" t="s">
        <v>1564</v>
      </c>
      <c r="U20" s="190" t="s">
        <v>2807</v>
      </c>
      <c r="V20" s="334">
        <v>40982</v>
      </c>
      <c r="W20" s="335"/>
      <c r="Y20" s="167" t="str">
        <f ca="1">IF(Table17[[#This Row],[Required Resolution Date]]="","FALSE",IF($AA$1&gt;Table17[[#This Row],[Required Resolution Date]],"TRUE","FALSE"))</f>
        <v>TRUE</v>
      </c>
      <c r="Z20" s="4">
        <f t="shared" ca="1" si="0"/>
        <v>1</v>
      </c>
      <c r="AB20" s="175" t="b">
        <f>OR(Table17[[#This Row],[Priority]]="04. High",Table17[[#This Row],[Priority]]="05. Critical")</f>
        <v>1</v>
      </c>
      <c r="AC20" s="284">
        <f ca="1">$AA$1-Table17[[#This Row],[Date captured]]</f>
        <v>29</v>
      </c>
      <c r="AD20" s="175" t="b">
        <f t="shared" ca="1" si="1"/>
        <v>0</v>
      </c>
      <c r="AE20" s="175" t="b">
        <f t="shared" ca="1" si="2"/>
        <v>0</v>
      </c>
      <c r="AF20" s="175" t="b">
        <f t="shared" ca="1" si="3"/>
        <v>0</v>
      </c>
      <c r="AG20" s="284">
        <f ca="1">Table17[[#This Row],[Required Resolution Date]]-$AA$1</f>
        <v>-6</v>
      </c>
      <c r="AH20" s="175" t="b">
        <f t="shared" ca="1" si="4"/>
        <v>0</v>
      </c>
      <c r="AI20" s="327" t="b">
        <f>OR(Table17[[#This Row],[Priority]]="04. High",Table17[[#This Row],[Priority]]="05. Critical",Table17[[#This Row],[Priority]]="03. Moderate")</f>
        <v>1</v>
      </c>
    </row>
    <row r="21" spans="1:167" s="4" customFormat="1" ht="87" hidden="1" customHeight="1">
      <c r="A21" s="338" t="s">
        <v>1961</v>
      </c>
      <c r="B21" s="329">
        <v>40961</v>
      </c>
      <c r="C21" s="326" t="s">
        <v>261</v>
      </c>
      <c r="D21" s="325" t="s">
        <v>676</v>
      </c>
      <c r="E21" s="326"/>
      <c r="F21" s="323" t="s">
        <v>2173</v>
      </c>
      <c r="G21" s="326" t="s">
        <v>151</v>
      </c>
      <c r="H21" s="326" t="s">
        <v>151</v>
      </c>
      <c r="I21" s="326" t="s">
        <v>151</v>
      </c>
      <c r="J21" s="326" t="s">
        <v>151</v>
      </c>
      <c r="K21" s="326" t="s">
        <v>151</v>
      </c>
      <c r="L21" s="333" t="s">
        <v>261</v>
      </c>
      <c r="M21" s="339" t="s">
        <v>1634</v>
      </c>
      <c r="N21" s="337" t="s">
        <v>150</v>
      </c>
      <c r="O21" s="337"/>
      <c r="P21" s="339" t="s">
        <v>2174</v>
      </c>
      <c r="Q21" s="331">
        <v>40982</v>
      </c>
      <c r="R21" s="331">
        <v>40984</v>
      </c>
      <c r="S21" s="190" t="s">
        <v>2806</v>
      </c>
      <c r="T21" s="334" t="s">
        <v>1565</v>
      </c>
      <c r="U21" s="190" t="s">
        <v>2808</v>
      </c>
      <c r="V21" s="334">
        <v>40982</v>
      </c>
      <c r="W21" s="335"/>
      <c r="Y21" s="167" t="str">
        <f ca="1">IF(Table17[[#This Row],[Required Resolution Date]]="","FALSE",IF($AA$1&gt;Table17[[#This Row],[Required Resolution Date]],"TRUE","FALSE"))</f>
        <v>TRUE</v>
      </c>
      <c r="Z21" s="4">
        <f t="shared" ca="1" si="0"/>
        <v>1</v>
      </c>
      <c r="AB21" s="175" t="b">
        <f>OR(Table17[[#This Row],[Priority]]="04. High",Table17[[#This Row],[Priority]]="05. Critical")</f>
        <v>1</v>
      </c>
      <c r="AC21" s="284">
        <f ca="1">$AA$1-Table17[[#This Row],[Date captured]]</f>
        <v>29</v>
      </c>
      <c r="AD21" s="175" t="b">
        <f t="shared" ca="1" si="1"/>
        <v>0</v>
      </c>
      <c r="AE21" s="175" t="b">
        <f t="shared" ca="1" si="2"/>
        <v>0</v>
      </c>
      <c r="AF21" s="175" t="b">
        <f t="shared" ca="1" si="3"/>
        <v>0</v>
      </c>
      <c r="AG21" s="284">
        <f ca="1">Table17[[#This Row],[Required Resolution Date]]-$AA$1</f>
        <v>-6</v>
      </c>
      <c r="AH21" s="175" t="b">
        <f t="shared" ca="1" si="4"/>
        <v>0</v>
      </c>
      <c r="AI21" s="327" t="b">
        <f>OR(Table17[[#This Row],[Priority]]="04. High",Table17[[#This Row],[Priority]]="05. Critical",Table17[[#This Row],[Priority]]="03. Moderate")</f>
        <v>1</v>
      </c>
    </row>
    <row r="22" spans="1:167" s="4" customFormat="1" ht="168" hidden="1" customHeight="1">
      <c r="A22" s="338" t="s">
        <v>1962</v>
      </c>
      <c r="B22" s="329">
        <v>40961</v>
      </c>
      <c r="C22" s="326" t="s">
        <v>2175</v>
      </c>
      <c r="D22" s="325" t="s">
        <v>676</v>
      </c>
      <c r="E22" s="326"/>
      <c r="F22" s="280" t="s">
        <v>2176</v>
      </c>
      <c r="G22" s="326" t="s">
        <v>690</v>
      </c>
      <c r="H22" s="326" t="s">
        <v>690</v>
      </c>
      <c r="I22" s="326" t="s">
        <v>690</v>
      </c>
      <c r="J22" s="326" t="s">
        <v>690</v>
      </c>
      <c r="K22" s="326" t="s">
        <v>1557</v>
      </c>
      <c r="L22" s="333" t="s">
        <v>261</v>
      </c>
      <c r="M22" s="339" t="s">
        <v>1634</v>
      </c>
      <c r="N22" s="337" t="s">
        <v>150</v>
      </c>
      <c r="O22" s="337"/>
      <c r="P22" s="339" t="s">
        <v>2177</v>
      </c>
      <c r="Q22" s="331">
        <v>40982</v>
      </c>
      <c r="R22" s="331">
        <v>40984</v>
      </c>
      <c r="S22" s="190" t="s">
        <v>2802</v>
      </c>
      <c r="T22" s="334" t="s">
        <v>1564</v>
      </c>
      <c r="U22" s="190"/>
      <c r="V22" s="334">
        <v>40981</v>
      </c>
      <c r="W22" s="335"/>
      <c r="Y22" s="167" t="str">
        <f ca="1">IF(Table17[[#This Row],[Required Resolution Date]]="","FALSE",IF($AA$1&gt;Table17[[#This Row],[Required Resolution Date]],"TRUE","FALSE"))</f>
        <v>TRUE</v>
      </c>
      <c r="Z22" s="4">
        <f t="shared" ca="1" si="0"/>
        <v>1</v>
      </c>
      <c r="AB22" s="175" t="b">
        <f>OR(Table17[[#This Row],[Priority]]="04. High",Table17[[#This Row],[Priority]]="05. Critical")</f>
        <v>0</v>
      </c>
      <c r="AC22" s="284">
        <f ca="1">$AA$1-Table17[[#This Row],[Date captured]]</f>
        <v>29</v>
      </c>
      <c r="AD22" s="175" t="b">
        <f t="shared" ca="1" si="1"/>
        <v>0</v>
      </c>
      <c r="AE22" s="175" t="b">
        <f t="shared" ca="1" si="2"/>
        <v>0</v>
      </c>
      <c r="AF22" s="175" t="b">
        <f t="shared" ca="1" si="3"/>
        <v>0</v>
      </c>
      <c r="AG22" s="284">
        <f ca="1">Table17[[#This Row],[Required Resolution Date]]-$AA$1</f>
        <v>-6</v>
      </c>
      <c r="AH22" s="175" t="b">
        <f t="shared" ca="1" si="4"/>
        <v>0</v>
      </c>
      <c r="AI22" s="327" t="b">
        <f>OR(Table17[[#This Row],[Priority]]="04. High",Table17[[#This Row],[Priority]]="05. Critical",Table17[[#This Row],[Priority]]="03. Moderate")</f>
        <v>1</v>
      </c>
    </row>
    <row r="23" spans="1:167" ht="154.5" hidden="1" customHeight="1">
      <c r="A23" s="338" t="s">
        <v>1963</v>
      </c>
      <c r="B23" s="329">
        <v>40961</v>
      </c>
      <c r="C23" s="326" t="s">
        <v>261</v>
      </c>
      <c r="D23" s="325" t="s">
        <v>676</v>
      </c>
      <c r="E23" s="326"/>
      <c r="F23" s="280" t="s">
        <v>2178</v>
      </c>
      <c r="G23" s="326" t="s">
        <v>151</v>
      </c>
      <c r="H23" s="326" t="s">
        <v>690</v>
      </c>
      <c r="I23" s="326" t="s">
        <v>151</v>
      </c>
      <c r="J23" s="326" t="s">
        <v>151</v>
      </c>
      <c r="K23" s="326" t="s">
        <v>151</v>
      </c>
      <c r="L23" s="333" t="s">
        <v>261</v>
      </c>
      <c r="M23" s="339" t="s">
        <v>2175</v>
      </c>
      <c r="N23" s="337" t="s">
        <v>150</v>
      </c>
      <c r="O23" s="337"/>
      <c r="P23" s="339" t="s">
        <v>2233</v>
      </c>
      <c r="Q23" s="331">
        <v>40968</v>
      </c>
      <c r="R23" s="331">
        <v>40983</v>
      </c>
      <c r="S23" s="190" t="s">
        <v>2898</v>
      </c>
      <c r="T23" s="334" t="s">
        <v>1564</v>
      </c>
      <c r="U23" s="190" t="s">
        <v>2945</v>
      </c>
      <c r="V23" s="334">
        <v>40983</v>
      </c>
      <c r="W23" s="335"/>
      <c r="Y23" s="176" t="str">
        <f ca="1">IF(Table17[[#This Row],[Required Resolution Date]]="","FALSE",IF($AA$1&gt;Table17[[#This Row],[Required Resolution Date]],"TRUE","FALSE"))</f>
        <v>TRUE</v>
      </c>
      <c r="Z23" s="175">
        <f t="shared" ca="1" si="0"/>
        <v>1</v>
      </c>
      <c r="AB23" s="175" t="b">
        <f>OR(Table17[[#This Row],[Priority]]="04. High",Table17[[#This Row],[Priority]]="05. Critical")</f>
        <v>1</v>
      </c>
      <c r="AC23" s="284">
        <f ca="1">$AA$1-Table17[[#This Row],[Date captured]]</f>
        <v>29</v>
      </c>
      <c r="AD23" s="175" t="b">
        <f t="shared" ca="1" si="1"/>
        <v>0</v>
      </c>
      <c r="AE23" s="175" t="b">
        <f t="shared" ca="1" si="2"/>
        <v>0</v>
      </c>
      <c r="AF23" s="175" t="b">
        <f t="shared" ca="1" si="3"/>
        <v>0</v>
      </c>
      <c r="AG23" s="284">
        <f ca="1">Table17[[#This Row],[Required Resolution Date]]-$AA$1</f>
        <v>-7</v>
      </c>
      <c r="AH23" s="175" t="b">
        <f t="shared" ca="1" si="4"/>
        <v>0</v>
      </c>
      <c r="AI23" s="327" t="b">
        <f>OR(Table17[[#This Row],[Priority]]="04. High",Table17[[#This Row],[Priority]]="05. Critical",Table17[[#This Row],[Priority]]="03. Moderate")</f>
        <v>1</v>
      </c>
    </row>
    <row r="24" spans="1:167" ht="40.5" hidden="1">
      <c r="A24" s="338" t="s">
        <v>1964</v>
      </c>
      <c r="B24" s="329">
        <v>40961</v>
      </c>
      <c r="C24" s="326" t="s">
        <v>261</v>
      </c>
      <c r="D24" s="325" t="s">
        <v>676</v>
      </c>
      <c r="E24" s="326"/>
      <c r="F24" s="280" t="s">
        <v>2179</v>
      </c>
      <c r="G24" s="326" t="s">
        <v>151</v>
      </c>
      <c r="H24" s="326" t="s">
        <v>151</v>
      </c>
      <c r="I24" s="326" t="s">
        <v>151</v>
      </c>
      <c r="J24" s="326" t="s">
        <v>151</v>
      </c>
      <c r="K24" s="326" t="s">
        <v>152</v>
      </c>
      <c r="L24" s="333" t="s">
        <v>261</v>
      </c>
      <c r="M24" s="339" t="s">
        <v>724</v>
      </c>
      <c r="N24" s="337" t="s">
        <v>150</v>
      </c>
      <c r="O24" s="337"/>
      <c r="P24" s="339" t="s">
        <v>321</v>
      </c>
      <c r="Q24" s="331">
        <v>40968</v>
      </c>
      <c r="R24" s="332">
        <v>40961</v>
      </c>
      <c r="S24" s="333" t="s">
        <v>2229</v>
      </c>
      <c r="T24" s="334" t="s">
        <v>1565</v>
      </c>
      <c r="U24" s="190" t="s">
        <v>2709</v>
      </c>
      <c r="V24" s="334">
        <v>40977</v>
      </c>
      <c r="W24" s="335"/>
      <c r="Y24" s="176" t="str">
        <f ca="1">IF(Table17[[#This Row],[Required Resolution Date]]="","FALSE",IF($AA$1&gt;Table17[[#This Row],[Required Resolution Date]],"TRUE","FALSE"))</f>
        <v>TRUE</v>
      </c>
      <c r="Z24" s="175">
        <f t="shared" ca="1" si="0"/>
        <v>1</v>
      </c>
      <c r="AB24" s="175" t="b">
        <f>OR(Table17[[#This Row],[Priority]]="04. High",Table17[[#This Row],[Priority]]="05. Critical")</f>
        <v>1</v>
      </c>
      <c r="AC24" s="284">
        <f ca="1">$AA$1-Table17[[#This Row],[Date captured]]</f>
        <v>29</v>
      </c>
      <c r="AD24" s="175" t="b">
        <f t="shared" ca="1" si="1"/>
        <v>0</v>
      </c>
      <c r="AE24" s="175" t="b">
        <f t="shared" ca="1" si="2"/>
        <v>0</v>
      </c>
      <c r="AF24" s="175" t="b">
        <f t="shared" ca="1" si="3"/>
        <v>0</v>
      </c>
      <c r="AG24" s="284">
        <f ca="1">Table17[[#This Row],[Required Resolution Date]]-$AA$1</f>
        <v>-29</v>
      </c>
      <c r="AH24" s="175" t="b">
        <f t="shared" ca="1" si="4"/>
        <v>0</v>
      </c>
      <c r="AI24" s="327" t="b">
        <f>OR(Table17[[#This Row],[Priority]]="04. High",Table17[[#This Row],[Priority]]="05. Critical",Table17[[#This Row],[Priority]]="03. Moderate")</f>
        <v>1</v>
      </c>
    </row>
    <row r="25" spans="1:167" ht="174" hidden="1" customHeight="1">
      <c r="A25" s="3" t="s">
        <v>593</v>
      </c>
      <c r="B25" s="64">
        <v>40674</v>
      </c>
      <c r="C25" s="4"/>
      <c r="D25" s="56" t="s">
        <v>676</v>
      </c>
      <c r="E25" s="5"/>
      <c r="F25" s="56" t="s">
        <v>683</v>
      </c>
      <c r="G25" s="5"/>
      <c r="H25" s="5"/>
      <c r="I25" s="5"/>
      <c r="J25" s="5"/>
      <c r="K25" s="5" t="s">
        <v>152</v>
      </c>
      <c r="L25" s="342"/>
      <c r="M25" s="56" t="s">
        <v>685</v>
      </c>
      <c r="N25" s="56" t="s">
        <v>311</v>
      </c>
      <c r="O25" s="56"/>
      <c r="P25" s="56"/>
      <c r="Q25" s="64">
        <v>40695</v>
      </c>
      <c r="R25" s="5">
        <v>40690</v>
      </c>
      <c r="S25" s="68" t="s">
        <v>687</v>
      </c>
      <c r="T25" s="68"/>
      <c r="U25" s="441" t="s">
        <v>2944</v>
      </c>
      <c r="V25" s="63">
        <v>40695</v>
      </c>
      <c r="W25" s="31"/>
      <c r="Y25" s="176" t="str">
        <f ca="1">IF(Table17[[#This Row],[Required Resolution Date]]="","FALSE",IF($AA$1&gt;Table17[[#This Row],[Required Resolution Date]],"TRUE","FALSE"))</f>
        <v>TRUE</v>
      </c>
      <c r="Z25" s="175">
        <f t="shared" ca="1" si="0"/>
        <v>1</v>
      </c>
      <c r="AB25" s="175" t="b">
        <f>OR(Table17[[#This Row],[Priority]]="04. High",Table17[[#This Row],[Priority]]="05. Critical")</f>
        <v>1</v>
      </c>
      <c r="AC25" s="284">
        <f ca="1">$AA$1-Table17[[#This Row],[Date captured]]</f>
        <v>316</v>
      </c>
      <c r="AD25" s="175" t="b">
        <f t="shared" ca="1" si="1"/>
        <v>0</v>
      </c>
      <c r="AE25" s="175" t="b">
        <f t="shared" ca="1" si="2"/>
        <v>0</v>
      </c>
      <c r="AF25" s="175" t="b">
        <f t="shared" ca="1" si="3"/>
        <v>1</v>
      </c>
      <c r="AG25" s="284">
        <f ca="1">Table17[[#This Row],[Required Resolution Date]]-$AA$1</f>
        <v>-300</v>
      </c>
      <c r="AH25" s="175" t="b">
        <f t="shared" ca="1" si="4"/>
        <v>0</v>
      </c>
      <c r="AI25" s="327" t="b">
        <f>OR(Table17[[#This Row],[Priority]]="04. High",Table17[[#This Row],[Priority]]="05. Critical",Table17[[#This Row],[Priority]]="03. Moderate")</f>
        <v>1</v>
      </c>
    </row>
    <row r="26" spans="1:167" ht="184.5" hidden="1" customHeight="1">
      <c r="A26" s="338" t="s">
        <v>1965</v>
      </c>
      <c r="B26" s="329">
        <v>40961</v>
      </c>
      <c r="C26" s="326" t="s">
        <v>296</v>
      </c>
      <c r="D26" s="325" t="s">
        <v>676</v>
      </c>
      <c r="E26" s="326"/>
      <c r="F26" s="280" t="s">
        <v>2200</v>
      </c>
      <c r="G26" s="326" t="s">
        <v>152</v>
      </c>
      <c r="H26" s="326" t="s">
        <v>679</v>
      </c>
      <c r="I26" s="326" t="s">
        <v>152</v>
      </c>
      <c r="J26" s="326" t="s">
        <v>152</v>
      </c>
      <c r="K26" s="326" t="s">
        <v>152</v>
      </c>
      <c r="L26" s="333" t="s">
        <v>494</v>
      </c>
      <c r="M26" s="339" t="s">
        <v>724</v>
      </c>
      <c r="N26" s="337" t="s">
        <v>303</v>
      </c>
      <c r="O26" s="337"/>
      <c r="P26" s="339" t="s">
        <v>2201</v>
      </c>
      <c r="Q26" s="331">
        <v>40968</v>
      </c>
      <c r="R26" s="332">
        <v>40963</v>
      </c>
      <c r="S26" s="324" t="s">
        <v>2564</v>
      </c>
      <c r="T26" s="334" t="s">
        <v>1565</v>
      </c>
      <c r="U26" s="190" t="s">
        <v>2943</v>
      </c>
      <c r="V26" s="334">
        <v>40974</v>
      </c>
      <c r="W26" s="335"/>
      <c r="Y26" s="176" t="str">
        <f ca="1">IF(Table17[[#This Row],[Required Resolution Date]]="","FALSE",IF($AA$1&gt;Table17[[#This Row],[Required Resolution Date]],"TRUE","FALSE"))</f>
        <v>TRUE</v>
      </c>
      <c r="Z26" s="175">
        <f t="shared" ca="1" si="0"/>
        <v>1</v>
      </c>
      <c r="AB26" s="175" t="b">
        <f>OR(Table17[[#This Row],[Priority]]="04. High",Table17[[#This Row],[Priority]]="05. Critical")</f>
        <v>1</v>
      </c>
      <c r="AC26" s="284">
        <f ca="1">$AA$1-Table17[[#This Row],[Date captured]]</f>
        <v>29</v>
      </c>
      <c r="AD26" s="175" t="b">
        <f t="shared" ca="1" si="1"/>
        <v>0</v>
      </c>
      <c r="AE26" s="175" t="b">
        <f t="shared" ca="1" si="2"/>
        <v>0</v>
      </c>
      <c r="AF26" s="175" t="b">
        <f t="shared" ca="1" si="3"/>
        <v>0</v>
      </c>
      <c r="AG26" s="284">
        <f ca="1">Table17[[#This Row],[Required Resolution Date]]-$AA$1</f>
        <v>-27</v>
      </c>
      <c r="AH26" s="175" t="b">
        <f t="shared" ca="1" si="4"/>
        <v>0</v>
      </c>
      <c r="AI26" s="327" t="b">
        <f>OR(Table17[[#This Row],[Priority]]="04. High",Table17[[#This Row],[Priority]]="05. Critical",Table17[[#This Row],[Priority]]="03. Moderate")</f>
        <v>1</v>
      </c>
    </row>
    <row r="27" spans="1:167" s="186" customFormat="1" ht="108">
      <c r="A27" s="338" t="s">
        <v>2746</v>
      </c>
      <c r="B27" s="329">
        <v>40982</v>
      </c>
      <c r="C27" s="333" t="s">
        <v>2816</v>
      </c>
      <c r="D27" s="325" t="s">
        <v>15</v>
      </c>
      <c r="E27" s="326"/>
      <c r="F27" s="280" t="s">
        <v>2814</v>
      </c>
      <c r="G27" s="326" t="s">
        <v>1563</v>
      </c>
      <c r="H27" s="326" t="s">
        <v>1563</v>
      </c>
      <c r="I27" s="326" t="s">
        <v>1563</v>
      </c>
      <c r="J27" s="326" t="s">
        <v>1563</v>
      </c>
      <c r="K27" s="326" t="s">
        <v>152</v>
      </c>
      <c r="L27" s="333" t="s">
        <v>1779</v>
      </c>
      <c r="M27" s="339" t="s">
        <v>323</v>
      </c>
      <c r="N27" s="337" t="s">
        <v>721</v>
      </c>
      <c r="O27" s="337"/>
      <c r="P27" s="339"/>
      <c r="Q27" s="331">
        <v>40998</v>
      </c>
      <c r="R27" s="332">
        <v>40998</v>
      </c>
      <c r="S27" s="190" t="s">
        <v>2916</v>
      </c>
      <c r="T27" s="334" t="s">
        <v>1564</v>
      </c>
      <c r="U27" s="326"/>
      <c r="V27" s="334"/>
      <c r="W27" s="335"/>
      <c r="X27" s="185"/>
      <c r="Y27" s="176" t="str">
        <f ca="1">IF(Table17[[#This Row],[Required Resolution Date]]="","FALSE",IF($AA$1&gt;Table17[[#This Row],[Required Resolution Date]],"TRUE","FALSE"))</f>
        <v>FALSE</v>
      </c>
      <c r="Z27" s="175">
        <f t="shared" ca="1" si="0"/>
        <v>0</v>
      </c>
      <c r="AA27" s="185"/>
      <c r="AB27" s="175" t="b">
        <f>OR(Table17[[#This Row],[Priority]]="04. High",Table17[[#This Row],[Priority]]="05. Critical")</f>
        <v>1</v>
      </c>
      <c r="AC27" s="284">
        <f ca="1">$AA$1-Table17[[#This Row],[Date captured]]</f>
        <v>8</v>
      </c>
      <c r="AD27" s="175" t="b">
        <f t="shared" ca="1" si="1"/>
        <v>0</v>
      </c>
      <c r="AE27" s="175" t="b">
        <f t="shared" ca="1" si="2"/>
        <v>0</v>
      </c>
      <c r="AF27" s="175" t="b">
        <f t="shared" ca="1" si="3"/>
        <v>0</v>
      </c>
      <c r="AG27" s="284">
        <f ca="1">Table17[[#This Row],[Required Resolution Date]]-$AA$1</f>
        <v>8</v>
      </c>
      <c r="AH27" s="175" t="b">
        <f t="shared" ca="1" si="4"/>
        <v>0</v>
      </c>
      <c r="AI27" s="327" t="b">
        <f>OR(Table17[[#This Row],[Priority]]="04. High",Table17[[#This Row],[Priority]]="05. Critical",Table17[[#This Row],[Priority]]="03. Moderate")</f>
        <v>1</v>
      </c>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c r="BI27" s="185"/>
      <c r="BJ27" s="185"/>
      <c r="BK27" s="185"/>
      <c r="BL27" s="185"/>
      <c r="BM27" s="185"/>
      <c r="BN27" s="185"/>
      <c r="BO27" s="185"/>
      <c r="BP27" s="185"/>
      <c r="BQ27" s="185"/>
      <c r="BR27" s="185"/>
      <c r="BS27" s="185"/>
      <c r="BT27" s="185"/>
      <c r="BU27" s="185"/>
      <c r="BV27" s="185"/>
      <c r="BW27" s="185"/>
      <c r="BX27" s="185"/>
      <c r="BY27" s="185"/>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c r="CV27" s="185"/>
      <c r="CW27" s="185"/>
      <c r="CX27" s="185"/>
      <c r="CY27" s="185"/>
      <c r="CZ27" s="185"/>
      <c r="DA27" s="185"/>
      <c r="DB27" s="185"/>
      <c r="DC27" s="185"/>
      <c r="DD27" s="185"/>
      <c r="DE27" s="185"/>
      <c r="DF27" s="185"/>
      <c r="DG27" s="185"/>
      <c r="DH27" s="185"/>
      <c r="DI27" s="185"/>
      <c r="DJ27" s="185"/>
      <c r="DK27" s="185"/>
      <c r="DL27" s="185"/>
      <c r="DM27" s="185"/>
      <c r="DN27" s="185"/>
      <c r="DO27" s="185"/>
      <c r="DP27" s="185"/>
      <c r="DQ27" s="185"/>
      <c r="DR27" s="185"/>
      <c r="DS27" s="185"/>
      <c r="DT27" s="185"/>
      <c r="DU27" s="185"/>
      <c r="DV27" s="185"/>
      <c r="DW27" s="185"/>
      <c r="DX27" s="185"/>
      <c r="DY27" s="185"/>
      <c r="DZ27" s="185"/>
      <c r="EA27" s="185"/>
      <c r="EB27" s="185"/>
      <c r="EC27" s="185"/>
      <c r="ED27" s="185"/>
      <c r="EE27" s="185"/>
      <c r="EF27" s="185"/>
      <c r="EG27" s="185"/>
      <c r="EH27" s="185"/>
      <c r="EI27" s="185"/>
      <c r="EJ27" s="185"/>
      <c r="EK27" s="185"/>
      <c r="EL27" s="185"/>
      <c r="EM27" s="185"/>
      <c r="EN27" s="185"/>
      <c r="EO27" s="185"/>
      <c r="EP27" s="185"/>
      <c r="EQ27" s="185"/>
      <c r="ER27" s="185"/>
      <c r="ES27" s="185"/>
      <c r="ET27" s="185"/>
      <c r="EU27" s="185"/>
      <c r="EV27" s="185"/>
      <c r="EW27" s="185"/>
      <c r="EX27" s="185"/>
      <c r="EY27" s="185"/>
      <c r="EZ27" s="185"/>
      <c r="FA27" s="185"/>
      <c r="FB27" s="185"/>
      <c r="FC27" s="185"/>
      <c r="FD27" s="185"/>
      <c r="FE27" s="185"/>
      <c r="FF27" s="185"/>
      <c r="FG27" s="185"/>
      <c r="FH27" s="185"/>
      <c r="FI27" s="185"/>
      <c r="FJ27" s="185"/>
      <c r="FK27" s="185"/>
    </row>
    <row r="28" spans="1:167" ht="80.25" hidden="1" customHeight="1">
      <c r="A28" s="174" t="s">
        <v>604</v>
      </c>
      <c r="B28" s="147">
        <v>40758</v>
      </c>
      <c r="C28" s="325" t="s">
        <v>1570</v>
      </c>
      <c r="D28" s="324" t="s">
        <v>676</v>
      </c>
      <c r="E28" s="326" t="s">
        <v>180</v>
      </c>
      <c r="F28" s="324" t="s">
        <v>718</v>
      </c>
      <c r="G28" s="326" t="s">
        <v>1563</v>
      </c>
      <c r="H28" s="326" t="s">
        <v>1563</v>
      </c>
      <c r="I28" s="326" t="s">
        <v>1563</v>
      </c>
      <c r="J28" s="326" t="s">
        <v>1563</v>
      </c>
      <c r="K28" s="184" t="s">
        <v>151</v>
      </c>
      <c r="L28" s="196" t="s">
        <v>1779</v>
      </c>
      <c r="M28" s="324" t="s">
        <v>1781</v>
      </c>
      <c r="N28" s="324" t="s">
        <v>721</v>
      </c>
      <c r="O28" s="324"/>
      <c r="P28" s="324" t="s">
        <v>321</v>
      </c>
      <c r="Q28" s="142">
        <v>40989</v>
      </c>
      <c r="R28" s="147">
        <v>40989</v>
      </c>
      <c r="S28" s="152" t="s">
        <v>2921</v>
      </c>
      <c r="T28" s="152" t="s">
        <v>1571</v>
      </c>
      <c r="U28" s="443" t="s">
        <v>3067</v>
      </c>
      <c r="V28" s="150">
        <v>40987</v>
      </c>
      <c r="W28" s="326"/>
      <c r="Y28" s="176" t="str">
        <f ca="1">IF(Table17[[#This Row],[Required Resolution Date]]="","FALSE",IF($AA$1&gt;Table17[[#This Row],[Required Resolution Date]],"TRUE","FALSE"))</f>
        <v>TRUE</v>
      </c>
      <c r="Z28" s="175">
        <f t="shared" ca="1" si="0"/>
        <v>1</v>
      </c>
      <c r="AB28" s="175" t="b">
        <f>OR(Table17[[#This Row],[Priority]]="04. High",Table17[[#This Row],[Priority]]="05. Critical")</f>
        <v>1</v>
      </c>
      <c r="AC28" s="284">
        <f ca="1">$AA$1-Table17[[#This Row],[Date captured]]</f>
        <v>232</v>
      </c>
      <c r="AD28" s="175" t="b">
        <f t="shared" ca="1" si="1"/>
        <v>0</v>
      </c>
      <c r="AE28" s="175" t="b">
        <f t="shared" ca="1" si="2"/>
        <v>0</v>
      </c>
      <c r="AF28" s="175" t="b">
        <f t="shared" ca="1" si="3"/>
        <v>1</v>
      </c>
      <c r="AG28" s="284">
        <f ca="1">Table17[[#This Row],[Required Resolution Date]]-$AA$1</f>
        <v>-1</v>
      </c>
      <c r="AH28" s="175" t="b">
        <f t="shared" ca="1" si="4"/>
        <v>0</v>
      </c>
      <c r="AI28" s="327" t="b">
        <f>OR(Table17[[#This Row],[Priority]]="04. High",Table17[[#This Row],[Priority]]="05. Critical",Table17[[#This Row],[Priority]]="03. Moderate")</f>
        <v>1</v>
      </c>
    </row>
    <row r="29" spans="1:167" s="186" customFormat="1" ht="181.5" hidden="1" customHeight="1">
      <c r="A29" s="338" t="s">
        <v>2206</v>
      </c>
      <c r="B29" s="329">
        <v>40961</v>
      </c>
      <c r="C29" s="326" t="s">
        <v>2234</v>
      </c>
      <c r="D29" s="325" t="s">
        <v>676</v>
      </c>
      <c r="E29" s="326"/>
      <c r="F29" s="280" t="s">
        <v>2238</v>
      </c>
      <c r="G29" s="326" t="s">
        <v>152</v>
      </c>
      <c r="H29" s="326" t="s">
        <v>151</v>
      </c>
      <c r="I29" s="326" t="s">
        <v>151</v>
      </c>
      <c r="J29" s="326" t="s">
        <v>151</v>
      </c>
      <c r="K29" s="326" t="s">
        <v>151</v>
      </c>
      <c r="L29" s="326" t="s">
        <v>186</v>
      </c>
      <c r="M29" s="330" t="s">
        <v>2236</v>
      </c>
      <c r="N29" s="337" t="s">
        <v>311</v>
      </c>
      <c r="O29" s="337"/>
      <c r="P29" s="339" t="s">
        <v>2239</v>
      </c>
      <c r="Q29" s="331">
        <v>41010</v>
      </c>
      <c r="R29" s="332">
        <v>41017</v>
      </c>
      <c r="S29" s="190" t="s">
        <v>2786</v>
      </c>
      <c r="T29" s="334" t="s">
        <v>1574</v>
      </c>
      <c r="U29" s="190" t="s">
        <v>2787</v>
      </c>
      <c r="V29" s="334">
        <v>40981</v>
      </c>
      <c r="W29" s="335"/>
      <c r="X29" s="185"/>
      <c r="Y29" s="176" t="str">
        <f ca="1">IF(Table17[[#This Row],[Required Resolution Date]]="","FALSE",IF($AA$1&gt;Table17[[#This Row],[Required Resolution Date]],"TRUE","FALSE"))</f>
        <v>FALSE</v>
      </c>
      <c r="Z29" s="175">
        <f t="shared" ca="1" si="0"/>
        <v>0</v>
      </c>
      <c r="AA29" s="185"/>
      <c r="AB29" s="175" t="b">
        <f>OR(Table17[[#This Row],[Priority]]="04. High",Table17[[#This Row],[Priority]]="05. Critical")</f>
        <v>1</v>
      </c>
      <c r="AC29" s="284">
        <f ca="1">$AA$1-Table17[[#This Row],[Date captured]]</f>
        <v>29</v>
      </c>
      <c r="AD29" s="175" t="b">
        <f t="shared" ca="1" si="1"/>
        <v>0</v>
      </c>
      <c r="AE29" s="175" t="b">
        <f t="shared" ca="1" si="2"/>
        <v>0</v>
      </c>
      <c r="AF29" s="175" t="b">
        <f t="shared" ca="1" si="3"/>
        <v>0</v>
      </c>
      <c r="AG29" s="284">
        <f ca="1">Table17[[#This Row],[Required Resolution Date]]-$AA$1</f>
        <v>27</v>
      </c>
      <c r="AH29" s="175" t="b">
        <f t="shared" ca="1" si="4"/>
        <v>0</v>
      </c>
      <c r="AI29" s="327" t="b">
        <f>OR(Table17[[#This Row],[Priority]]="04. High",Table17[[#This Row],[Priority]]="05. Critical",Table17[[#This Row],[Priority]]="03. Moderate")</f>
        <v>1</v>
      </c>
      <c r="AJ29" s="185"/>
      <c r="AK29" s="185"/>
      <c r="AL29" s="185"/>
      <c r="AM29" s="185"/>
      <c r="AN29" s="185"/>
      <c r="AO29" s="185"/>
      <c r="AP29" s="185"/>
      <c r="AQ29" s="185"/>
      <c r="AR29" s="185"/>
      <c r="AS29" s="185"/>
      <c r="AT29" s="185"/>
      <c r="AU29" s="185"/>
      <c r="AV29" s="185"/>
      <c r="AW29" s="185"/>
      <c r="AX29" s="185"/>
      <c r="AY29" s="185"/>
      <c r="AZ29" s="185"/>
      <c r="BA29" s="185"/>
      <c r="BB29" s="185"/>
      <c r="BC29" s="185"/>
      <c r="BD29" s="185"/>
      <c r="BE29" s="185"/>
      <c r="BF29" s="185"/>
      <c r="BG29" s="185"/>
      <c r="BH29" s="185"/>
      <c r="BI29" s="185"/>
      <c r="BJ29" s="185"/>
      <c r="BK29" s="185"/>
      <c r="BL29" s="185"/>
      <c r="BM29" s="185"/>
      <c r="BN29" s="185"/>
      <c r="BO29" s="185"/>
      <c r="BP29" s="185"/>
      <c r="BQ29" s="185"/>
      <c r="BR29" s="185"/>
      <c r="BS29" s="185"/>
      <c r="BT29" s="185"/>
      <c r="BU29" s="185"/>
      <c r="BV29" s="185"/>
      <c r="BW29" s="185"/>
      <c r="BX29" s="185"/>
      <c r="BY29" s="185"/>
      <c r="BZ29" s="185"/>
      <c r="CA29" s="185"/>
      <c r="CB29" s="185"/>
      <c r="CC29" s="185"/>
      <c r="CD29" s="185"/>
      <c r="CE29" s="185"/>
      <c r="CF29" s="185"/>
      <c r="CG29" s="185"/>
      <c r="CH29" s="185"/>
      <c r="CI29" s="185"/>
      <c r="CJ29" s="185"/>
      <c r="CK29" s="185"/>
      <c r="CL29" s="185"/>
      <c r="CM29" s="185"/>
      <c r="CN29" s="185"/>
      <c r="CO29" s="185"/>
      <c r="CP29" s="185"/>
      <c r="CQ29" s="185"/>
      <c r="CR29" s="185"/>
      <c r="CS29" s="185"/>
      <c r="CT29" s="185"/>
      <c r="CU29" s="185"/>
      <c r="CV29" s="185"/>
      <c r="CW29" s="185"/>
      <c r="CX29" s="185"/>
      <c r="CY29" s="185"/>
      <c r="CZ29" s="185"/>
      <c r="DA29" s="185"/>
      <c r="DB29" s="185"/>
      <c r="DC29" s="185"/>
      <c r="DD29" s="185"/>
      <c r="DE29" s="185"/>
      <c r="DF29" s="185"/>
      <c r="DG29" s="185"/>
      <c r="DH29" s="185"/>
      <c r="DI29" s="185"/>
      <c r="DJ29" s="185"/>
      <c r="DK29" s="185"/>
      <c r="DL29" s="185"/>
      <c r="DM29" s="185"/>
      <c r="DN29" s="185"/>
      <c r="DO29" s="185"/>
      <c r="DP29" s="185"/>
      <c r="DQ29" s="185"/>
      <c r="DR29" s="185"/>
      <c r="DS29" s="185"/>
      <c r="DT29" s="185"/>
      <c r="DU29" s="185"/>
      <c r="DV29" s="185"/>
      <c r="DW29" s="185"/>
      <c r="DX29" s="185"/>
      <c r="DY29" s="185"/>
      <c r="DZ29" s="185"/>
      <c r="EA29" s="185"/>
      <c r="EB29" s="185"/>
      <c r="EC29" s="185"/>
      <c r="ED29" s="185"/>
      <c r="EE29" s="185"/>
      <c r="EF29" s="185"/>
      <c r="EG29" s="185"/>
      <c r="EH29" s="185"/>
      <c r="EI29" s="185"/>
      <c r="EJ29" s="185"/>
      <c r="EK29" s="185"/>
      <c r="EL29" s="185"/>
      <c r="EM29" s="185"/>
      <c r="EN29" s="185"/>
      <c r="EO29" s="185"/>
      <c r="EP29" s="185"/>
      <c r="EQ29" s="185"/>
      <c r="ER29" s="185"/>
      <c r="ES29" s="185"/>
      <c r="ET29" s="185"/>
      <c r="EU29" s="185"/>
      <c r="EV29" s="185"/>
      <c r="EW29" s="185"/>
      <c r="EX29" s="185"/>
      <c r="EY29" s="185"/>
      <c r="EZ29" s="185"/>
      <c r="FA29" s="185"/>
      <c r="FB29" s="185"/>
      <c r="FC29" s="185"/>
      <c r="FD29" s="185"/>
      <c r="FE29" s="185"/>
      <c r="FF29" s="185"/>
      <c r="FG29" s="185"/>
      <c r="FH29" s="185"/>
      <c r="FI29" s="185"/>
      <c r="FJ29" s="185"/>
      <c r="FK29" s="185"/>
    </row>
    <row r="30" spans="1:167" ht="108" hidden="1">
      <c r="A30" s="338" t="s">
        <v>2207</v>
      </c>
      <c r="B30" s="329">
        <v>40968</v>
      </c>
      <c r="C30" s="326" t="s">
        <v>835</v>
      </c>
      <c r="D30" s="325" t="s">
        <v>676</v>
      </c>
      <c r="E30" s="326"/>
      <c r="F30" s="189" t="s">
        <v>2301</v>
      </c>
      <c r="G30" s="326" t="s">
        <v>679</v>
      </c>
      <c r="H30" s="326" t="s">
        <v>690</v>
      </c>
      <c r="I30" s="326" t="s">
        <v>690</v>
      </c>
      <c r="J30" s="326" t="s">
        <v>690</v>
      </c>
      <c r="K30" s="326" t="s">
        <v>1557</v>
      </c>
      <c r="L30" s="333" t="s">
        <v>296</v>
      </c>
      <c r="M30" s="339" t="s">
        <v>296</v>
      </c>
      <c r="N30" s="337" t="s">
        <v>303</v>
      </c>
      <c r="O30" s="337"/>
      <c r="P30" s="189" t="s">
        <v>2302</v>
      </c>
      <c r="Q30" s="331">
        <v>40975</v>
      </c>
      <c r="R30" s="332">
        <v>40977</v>
      </c>
      <c r="S30" s="333" t="s">
        <v>2565</v>
      </c>
      <c r="T30" s="334" t="s">
        <v>1565</v>
      </c>
      <c r="U30" s="190" t="s">
        <v>3008</v>
      </c>
      <c r="V30" s="334">
        <v>40974</v>
      </c>
      <c r="W30" s="335"/>
      <c r="Y30" s="176" t="str">
        <f ca="1">IF(Table17[[#This Row],[Required Resolution Date]]="","FALSE",IF($AA$1&gt;Table17[[#This Row],[Required Resolution Date]],"TRUE","FALSE"))</f>
        <v>TRUE</v>
      </c>
      <c r="Z30" s="175">
        <f t="shared" ca="1" si="0"/>
        <v>1</v>
      </c>
      <c r="AB30" s="175" t="b">
        <f>OR(Table17[[#This Row],[Priority]]="04. High",Table17[[#This Row],[Priority]]="05. Critical")</f>
        <v>0</v>
      </c>
      <c r="AC30" s="284">
        <f ca="1">$AA$1-Table17[[#This Row],[Date captured]]</f>
        <v>22</v>
      </c>
      <c r="AD30" s="175" t="b">
        <f t="shared" ca="1" si="1"/>
        <v>0</v>
      </c>
      <c r="AE30" s="175" t="b">
        <f t="shared" ca="1" si="2"/>
        <v>0</v>
      </c>
      <c r="AF30" s="175" t="b">
        <f t="shared" ca="1" si="3"/>
        <v>0</v>
      </c>
      <c r="AG30" s="284">
        <f ca="1">Table17[[#This Row],[Required Resolution Date]]-$AA$1</f>
        <v>-13</v>
      </c>
      <c r="AH30" s="175" t="b">
        <f t="shared" ca="1" si="4"/>
        <v>0</v>
      </c>
      <c r="AI30" s="327" t="b">
        <f>OR(Table17[[#This Row],[Priority]]="04. High",Table17[[#This Row],[Priority]]="05. Critical",Table17[[#This Row],[Priority]]="03. Moderate")</f>
        <v>1</v>
      </c>
    </row>
    <row r="31" spans="1:167" s="4" customFormat="1" ht="81" hidden="1">
      <c r="A31" s="338" t="s">
        <v>2208</v>
      </c>
      <c r="B31" s="329">
        <v>40973</v>
      </c>
      <c r="C31" s="326" t="s">
        <v>261</v>
      </c>
      <c r="D31" s="325" t="s">
        <v>676</v>
      </c>
      <c r="E31" s="326"/>
      <c r="F31" s="280" t="s">
        <v>2384</v>
      </c>
      <c r="G31" s="326" t="s">
        <v>151</v>
      </c>
      <c r="H31" s="326" t="s">
        <v>151</v>
      </c>
      <c r="I31" s="326" t="s">
        <v>151</v>
      </c>
      <c r="J31" s="326" t="s">
        <v>151</v>
      </c>
      <c r="K31" s="326" t="s">
        <v>151</v>
      </c>
      <c r="L31" s="333" t="s">
        <v>333</v>
      </c>
      <c r="M31" s="339" t="s">
        <v>321</v>
      </c>
      <c r="N31" s="337" t="s">
        <v>150</v>
      </c>
      <c r="O31" s="337"/>
      <c r="P31" s="330"/>
      <c r="Q31" s="331">
        <v>40975</v>
      </c>
      <c r="R31" s="332">
        <v>40982</v>
      </c>
      <c r="S31" s="333" t="s">
        <v>2494</v>
      </c>
      <c r="T31" s="334" t="s">
        <v>1565</v>
      </c>
      <c r="U31" s="190" t="s">
        <v>2701</v>
      </c>
      <c r="V31" s="334">
        <v>40977</v>
      </c>
      <c r="W31" s="335"/>
      <c r="Y31" s="167" t="str">
        <f ca="1">IF(Table17[[#This Row],[Required Resolution Date]]="","FALSE",IF($AA$1&gt;Table17[[#This Row],[Required Resolution Date]],"TRUE","FALSE"))</f>
        <v>TRUE</v>
      </c>
      <c r="Z31" s="4">
        <f t="shared" ca="1" si="0"/>
        <v>1</v>
      </c>
      <c r="AB31" s="175" t="b">
        <f>OR(Table17[[#This Row],[Priority]]="04. High",Table17[[#This Row],[Priority]]="05. Critical")</f>
        <v>1</v>
      </c>
      <c r="AC31" s="284">
        <f ca="1">$AA$1-Table17[[#This Row],[Date captured]]</f>
        <v>17</v>
      </c>
      <c r="AD31" s="175" t="b">
        <f t="shared" ca="1" si="1"/>
        <v>0</v>
      </c>
      <c r="AE31" s="175" t="b">
        <f t="shared" ca="1" si="2"/>
        <v>0</v>
      </c>
      <c r="AF31" s="175" t="b">
        <f t="shared" ca="1" si="3"/>
        <v>0</v>
      </c>
      <c r="AG31" s="284">
        <f ca="1">Table17[[#This Row],[Required Resolution Date]]-$AA$1</f>
        <v>-8</v>
      </c>
      <c r="AH31" s="175" t="b">
        <f t="shared" ca="1" si="4"/>
        <v>0</v>
      </c>
      <c r="AI31" s="327" t="b">
        <f>OR(Table17[[#This Row],[Priority]]="04. High",Table17[[#This Row],[Priority]]="05. Critical",Table17[[#This Row],[Priority]]="03. Moderate")</f>
        <v>1</v>
      </c>
    </row>
    <row r="32" spans="1:167" s="98" customFormat="1" ht="54" hidden="1">
      <c r="A32" s="338" t="s">
        <v>2209</v>
      </c>
      <c r="B32" s="329">
        <v>40973</v>
      </c>
      <c r="C32" s="326" t="s">
        <v>261</v>
      </c>
      <c r="D32" s="325" t="s">
        <v>676</v>
      </c>
      <c r="E32" s="326"/>
      <c r="F32" s="280" t="s">
        <v>2493</v>
      </c>
      <c r="G32" s="326" t="s">
        <v>151</v>
      </c>
      <c r="H32" s="326" t="s">
        <v>151</v>
      </c>
      <c r="I32" s="326" t="s">
        <v>152</v>
      </c>
      <c r="J32" s="326" t="s">
        <v>151</v>
      </c>
      <c r="K32" s="326" t="s">
        <v>151</v>
      </c>
      <c r="L32" s="333" t="s">
        <v>333</v>
      </c>
      <c r="M32" s="339" t="s">
        <v>321</v>
      </c>
      <c r="N32" s="337" t="s">
        <v>150</v>
      </c>
      <c r="O32" s="337"/>
      <c r="P32" s="330"/>
      <c r="Q32" s="331">
        <v>40975</v>
      </c>
      <c r="R32" s="332">
        <v>40982</v>
      </c>
      <c r="S32" s="333" t="s">
        <v>2848</v>
      </c>
      <c r="T32" s="334"/>
      <c r="U32" s="190" t="s">
        <v>2702</v>
      </c>
      <c r="V32" s="334">
        <v>40982</v>
      </c>
      <c r="W32" s="335"/>
      <c r="X32" s="97"/>
      <c r="Y32" s="167" t="str">
        <f ca="1">IF(Table17[[#This Row],[Required Resolution Date]]="","FALSE",IF($AA$1&gt;Table17[[#This Row],[Required Resolution Date]],"TRUE","FALSE"))</f>
        <v>TRUE</v>
      </c>
      <c r="Z32" s="4">
        <f t="shared" ca="1" si="0"/>
        <v>1</v>
      </c>
      <c r="AA32" s="97"/>
      <c r="AB32" s="175" t="b">
        <f>OR(Table17[[#This Row],[Priority]]="04. High",Table17[[#This Row],[Priority]]="05. Critical")</f>
        <v>1</v>
      </c>
      <c r="AC32" s="284">
        <f ca="1">$AA$1-Table17[[#This Row],[Date captured]]</f>
        <v>17</v>
      </c>
      <c r="AD32" s="175" t="b">
        <f t="shared" ca="1" si="1"/>
        <v>0</v>
      </c>
      <c r="AE32" s="175" t="b">
        <f t="shared" ca="1" si="2"/>
        <v>0</v>
      </c>
      <c r="AF32" s="175" t="b">
        <f t="shared" ca="1" si="3"/>
        <v>0</v>
      </c>
      <c r="AG32" s="284">
        <f ca="1">Table17[[#This Row],[Required Resolution Date]]-$AA$1</f>
        <v>-8</v>
      </c>
      <c r="AH32" s="175" t="b">
        <f t="shared" ca="1" si="4"/>
        <v>0</v>
      </c>
      <c r="AI32" s="327" t="b">
        <f>OR(Table17[[#This Row],[Priority]]="04. High",Table17[[#This Row],[Priority]]="05. Critical",Table17[[#This Row],[Priority]]="03. Moderate")</f>
        <v>1</v>
      </c>
      <c r="AJ32" s="97"/>
      <c r="AK32" s="97"/>
      <c r="AL32" s="97"/>
      <c r="AM32" s="97"/>
      <c r="AN32" s="97"/>
      <c r="AO32" s="97"/>
      <c r="AP32" s="97"/>
      <c r="AQ32" s="97"/>
      <c r="AR32" s="97"/>
      <c r="AS32" s="97"/>
      <c r="AT32" s="97"/>
      <c r="AU32" s="97"/>
      <c r="AV32" s="97"/>
      <c r="AW32" s="97"/>
      <c r="AX32" s="97"/>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c r="BW32" s="97"/>
      <c r="BX32" s="97"/>
      <c r="BY32" s="97"/>
      <c r="BZ32" s="97"/>
      <c r="CA32" s="97"/>
      <c r="CB32" s="97"/>
      <c r="CC32" s="97"/>
      <c r="CD32" s="97"/>
      <c r="CE32" s="97"/>
      <c r="CF32" s="97"/>
      <c r="CG32" s="97"/>
      <c r="CH32" s="97"/>
      <c r="CI32" s="97"/>
      <c r="CJ32" s="97"/>
      <c r="CK32" s="97"/>
      <c r="CL32" s="97"/>
      <c r="CM32" s="97"/>
      <c r="CN32" s="97"/>
      <c r="CO32" s="97"/>
      <c r="CP32" s="97"/>
      <c r="CQ32" s="97"/>
      <c r="CR32" s="97"/>
      <c r="CS32" s="97"/>
      <c r="CT32" s="97"/>
      <c r="CU32" s="97"/>
      <c r="CV32" s="97"/>
      <c r="CW32" s="97"/>
      <c r="CX32" s="97"/>
      <c r="CY32" s="97"/>
      <c r="CZ32" s="97"/>
      <c r="DA32" s="97"/>
      <c r="DB32" s="97"/>
      <c r="DC32" s="97"/>
      <c r="DD32" s="97"/>
      <c r="DE32" s="97"/>
      <c r="DF32" s="97"/>
      <c r="DG32" s="97"/>
      <c r="DH32" s="97"/>
      <c r="DI32" s="97"/>
      <c r="DJ32" s="97"/>
      <c r="DK32" s="97"/>
      <c r="DL32" s="97"/>
      <c r="DM32" s="97"/>
      <c r="DN32" s="97"/>
      <c r="DO32" s="97"/>
      <c r="DP32" s="97"/>
      <c r="DQ32" s="97"/>
      <c r="DR32" s="97"/>
      <c r="DS32" s="97"/>
      <c r="DT32" s="97"/>
      <c r="DU32" s="97"/>
      <c r="DV32" s="97"/>
      <c r="DW32" s="97"/>
      <c r="DX32" s="97"/>
      <c r="DY32" s="97"/>
      <c r="DZ32" s="97"/>
      <c r="EA32" s="97"/>
      <c r="EB32" s="97"/>
      <c r="EC32" s="97"/>
      <c r="ED32" s="97"/>
      <c r="EE32" s="97"/>
      <c r="EF32" s="97"/>
      <c r="EG32" s="97"/>
      <c r="EH32" s="97"/>
      <c r="EI32" s="97"/>
      <c r="EJ32" s="97"/>
      <c r="EK32" s="97"/>
      <c r="EL32" s="97"/>
      <c r="EM32" s="97"/>
      <c r="EN32" s="97"/>
      <c r="EO32" s="97"/>
      <c r="EP32" s="97"/>
      <c r="EQ32" s="97"/>
      <c r="ER32" s="97"/>
      <c r="ES32" s="97"/>
      <c r="ET32" s="97"/>
      <c r="EU32" s="97"/>
      <c r="EV32" s="97"/>
      <c r="EW32" s="97"/>
      <c r="EX32" s="97"/>
      <c r="EY32" s="97"/>
      <c r="EZ32" s="97"/>
      <c r="FA32" s="97"/>
      <c r="FB32" s="97"/>
      <c r="FC32" s="97"/>
      <c r="FD32" s="97"/>
      <c r="FE32" s="97"/>
      <c r="FF32" s="97"/>
      <c r="FG32" s="97"/>
      <c r="FH32" s="97"/>
      <c r="FI32" s="97"/>
      <c r="FJ32" s="97"/>
      <c r="FK32" s="97"/>
    </row>
    <row r="33" spans="1:167" s="4" customFormat="1" ht="67.5" hidden="1">
      <c r="A33" s="338" t="s">
        <v>2210</v>
      </c>
      <c r="B33" s="329">
        <v>40973</v>
      </c>
      <c r="C33" s="326" t="s">
        <v>261</v>
      </c>
      <c r="D33" s="325" t="s">
        <v>676</v>
      </c>
      <c r="E33" s="326" t="s">
        <v>2390</v>
      </c>
      <c r="F33" s="280" t="s">
        <v>2385</v>
      </c>
      <c r="G33" s="326" t="s">
        <v>690</v>
      </c>
      <c r="H33" s="326" t="s">
        <v>690</v>
      </c>
      <c r="I33" s="326" t="s">
        <v>690</v>
      </c>
      <c r="J33" s="326" t="s">
        <v>690</v>
      </c>
      <c r="K33" s="326" t="s">
        <v>1557</v>
      </c>
      <c r="L33" s="333"/>
      <c r="M33" s="339"/>
      <c r="N33" s="337" t="s">
        <v>150</v>
      </c>
      <c r="O33" s="337"/>
      <c r="P33" s="339"/>
      <c r="Q33" s="331"/>
      <c r="R33" s="332"/>
      <c r="S33" s="333" t="s">
        <v>2617</v>
      </c>
      <c r="T33" s="334"/>
      <c r="U33" s="190" t="s">
        <v>3009</v>
      </c>
      <c r="V33" s="334">
        <v>40948</v>
      </c>
      <c r="W33" s="335"/>
      <c r="Y33" s="167" t="str">
        <f>IF(Table17[[#This Row],[Required Resolution Date]]="","FALSE",IF($AA$1&gt;Table17[[#This Row],[Required Resolution Date]],"TRUE","FALSE"))</f>
        <v>FALSE</v>
      </c>
      <c r="Z33" s="4">
        <f t="shared" si="0"/>
        <v>0</v>
      </c>
      <c r="AB33" s="175" t="b">
        <f>OR(Table17[[#This Row],[Priority]]="04. High",Table17[[#This Row],[Priority]]="05. Critical")</f>
        <v>0</v>
      </c>
      <c r="AC33" s="284">
        <f ca="1">$AA$1-Table17[[#This Row],[Date captured]]</f>
        <v>17</v>
      </c>
      <c r="AD33" s="175" t="b">
        <f t="shared" ca="1" si="1"/>
        <v>0</v>
      </c>
      <c r="AE33" s="175" t="b">
        <f t="shared" ca="1" si="2"/>
        <v>0</v>
      </c>
      <c r="AF33" s="175" t="b">
        <f t="shared" ca="1" si="3"/>
        <v>0</v>
      </c>
      <c r="AG33" s="284">
        <f ca="1">Table17[[#This Row],[Required Resolution Date]]-$AA$1</f>
        <v>-40990</v>
      </c>
      <c r="AH33" s="175" t="b">
        <f t="shared" ca="1" si="4"/>
        <v>0</v>
      </c>
      <c r="AI33" s="327" t="b">
        <f>OR(Table17[[#This Row],[Priority]]="04. High",Table17[[#This Row],[Priority]]="05. Critical",Table17[[#This Row],[Priority]]="03. Moderate")</f>
        <v>1</v>
      </c>
    </row>
    <row r="34" spans="1:167" s="98" customFormat="1" ht="243">
      <c r="A34" s="177" t="s">
        <v>842</v>
      </c>
      <c r="B34" s="329">
        <v>40932</v>
      </c>
      <c r="C34" s="326" t="s">
        <v>166</v>
      </c>
      <c r="D34" s="325" t="s">
        <v>15</v>
      </c>
      <c r="E34" s="326" t="s">
        <v>180</v>
      </c>
      <c r="F34" s="189" t="s">
        <v>2087</v>
      </c>
      <c r="G34" s="326" t="s">
        <v>679</v>
      </c>
      <c r="H34" s="326" t="s">
        <v>679</v>
      </c>
      <c r="I34" s="326" t="s">
        <v>151</v>
      </c>
      <c r="J34" s="326" t="s">
        <v>151</v>
      </c>
      <c r="K34" s="326" t="s">
        <v>151</v>
      </c>
      <c r="L34" s="333" t="s">
        <v>166</v>
      </c>
      <c r="M34" s="189" t="s">
        <v>166</v>
      </c>
      <c r="N34" s="196" t="s">
        <v>149</v>
      </c>
      <c r="O34" s="196"/>
      <c r="P34" s="189" t="s">
        <v>2088</v>
      </c>
      <c r="Q34" s="331">
        <v>41052</v>
      </c>
      <c r="R34" s="187">
        <v>41073</v>
      </c>
      <c r="S34" s="190" t="s">
        <v>2089</v>
      </c>
      <c r="T34" s="326" t="s">
        <v>1564</v>
      </c>
      <c r="U34" s="326"/>
      <c r="V34" s="326"/>
      <c r="W34" s="184"/>
      <c r="X34" s="97"/>
      <c r="Y34" s="167" t="str">
        <f ca="1">IF(Table17[[#This Row],[Required Resolution Date]]="","FALSE",IF($AA$1&gt;Table17[[#This Row],[Required Resolution Date]],"TRUE","FALSE"))</f>
        <v>FALSE</v>
      </c>
      <c r="Z34" s="4">
        <f t="shared" ca="1" si="0"/>
        <v>0</v>
      </c>
      <c r="AA34" s="97"/>
      <c r="AB34" s="175" t="b">
        <f>OR(Table17[[#This Row],[Priority]]="04. High",Table17[[#This Row],[Priority]]="05. Critical")</f>
        <v>1</v>
      </c>
      <c r="AC34" s="284">
        <f ca="1">$AA$1-Table17[[#This Row],[Date captured]]</f>
        <v>58</v>
      </c>
      <c r="AD34" s="175" t="b">
        <f t="shared" ca="1" si="1"/>
        <v>1</v>
      </c>
      <c r="AE34" s="175" t="b">
        <f t="shared" ca="1" si="2"/>
        <v>0</v>
      </c>
      <c r="AF34" s="175" t="b">
        <f t="shared" ca="1" si="3"/>
        <v>0</v>
      </c>
      <c r="AG34" s="284">
        <f ca="1">Table17[[#This Row],[Required Resolution Date]]-$AA$1</f>
        <v>83</v>
      </c>
      <c r="AH34" s="175" t="b">
        <f t="shared" ca="1" si="4"/>
        <v>0</v>
      </c>
      <c r="AI34" s="327" t="b">
        <f>OR(Table17[[#This Row],[Priority]]="04. High",Table17[[#This Row],[Priority]]="05. Critical",Table17[[#This Row],[Priority]]="03. Moderate")</f>
        <v>1</v>
      </c>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7"/>
      <c r="CA34" s="97"/>
      <c r="CB34" s="97"/>
      <c r="CC34" s="97"/>
      <c r="CD34" s="97"/>
      <c r="CE34" s="97"/>
      <c r="CF34" s="97"/>
      <c r="CG34" s="97"/>
      <c r="CH34" s="97"/>
      <c r="CI34" s="97"/>
      <c r="CJ34" s="97"/>
      <c r="CK34" s="97"/>
      <c r="CL34" s="97"/>
      <c r="CM34" s="97"/>
      <c r="CN34" s="97"/>
      <c r="CO34" s="97"/>
      <c r="CP34" s="97"/>
      <c r="CQ34" s="97"/>
      <c r="CR34" s="97"/>
      <c r="CS34" s="97"/>
      <c r="CT34" s="97"/>
      <c r="CU34" s="97"/>
      <c r="CV34" s="97"/>
      <c r="CW34" s="97"/>
      <c r="CX34" s="97"/>
      <c r="CY34" s="97"/>
      <c r="CZ34" s="97"/>
      <c r="DA34" s="97"/>
      <c r="DB34" s="97"/>
      <c r="DC34" s="97"/>
      <c r="DD34" s="97"/>
      <c r="DE34" s="97"/>
      <c r="DF34" s="97"/>
      <c r="DG34" s="97"/>
      <c r="DH34" s="97"/>
      <c r="DI34" s="97"/>
      <c r="DJ34" s="97"/>
      <c r="DK34" s="97"/>
      <c r="DL34" s="97"/>
      <c r="DM34" s="97"/>
      <c r="DN34" s="97"/>
      <c r="DO34" s="97"/>
      <c r="DP34" s="97"/>
      <c r="DQ34" s="97"/>
      <c r="DR34" s="97"/>
      <c r="DS34" s="97"/>
      <c r="DT34" s="97"/>
      <c r="DU34" s="97"/>
      <c r="DV34" s="97"/>
      <c r="DW34" s="97"/>
      <c r="DX34" s="97"/>
      <c r="DY34" s="97"/>
      <c r="DZ34" s="97"/>
      <c r="EA34" s="97"/>
      <c r="EB34" s="97"/>
      <c r="EC34" s="97"/>
      <c r="ED34" s="97"/>
      <c r="EE34" s="97"/>
      <c r="EF34" s="97"/>
      <c r="EG34" s="97"/>
      <c r="EH34" s="97"/>
      <c r="EI34" s="97"/>
      <c r="EJ34" s="97"/>
      <c r="EK34" s="97"/>
      <c r="EL34" s="97"/>
      <c r="EM34" s="97"/>
      <c r="EN34" s="97"/>
      <c r="EO34" s="97"/>
      <c r="EP34" s="97"/>
      <c r="EQ34" s="97"/>
      <c r="ER34" s="97"/>
      <c r="ES34" s="97"/>
      <c r="ET34" s="97"/>
      <c r="EU34" s="97"/>
      <c r="EV34" s="97"/>
      <c r="EW34" s="97"/>
      <c r="EX34" s="97"/>
      <c r="EY34" s="97"/>
      <c r="EZ34" s="97"/>
      <c r="FA34" s="97"/>
      <c r="FB34" s="97"/>
      <c r="FC34" s="97"/>
      <c r="FD34" s="97"/>
      <c r="FE34" s="97"/>
      <c r="FF34" s="97"/>
      <c r="FG34" s="97"/>
      <c r="FH34" s="97"/>
      <c r="FI34" s="97"/>
      <c r="FJ34" s="97"/>
      <c r="FK34" s="97"/>
    </row>
    <row r="35" spans="1:167" s="98" customFormat="1" ht="94.5">
      <c r="A35" s="177" t="s">
        <v>844</v>
      </c>
      <c r="B35" s="329">
        <v>40933</v>
      </c>
      <c r="C35" s="326" t="s">
        <v>166</v>
      </c>
      <c r="D35" s="325" t="s">
        <v>15</v>
      </c>
      <c r="E35" s="326" t="s">
        <v>180</v>
      </c>
      <c r="F35" s="189" t="s">
        <v>2090</v>
      </c>
      <c r="G35" s="326" t="s">
        <v>151</v>
      </c>
      <c r="H35" s="326" t="s">
        <v>151</v>
      </c>
      <c r="I35" s="326" t="s">
        <v>151</v>
      </c>
      <c r="J35" s="326" t="s">
        <v>151</v>
      </c>
      <c r="K35" s="326" t="s">
        <v>151</v>
      </c>
      <c r="L35" s="333" t="s">
        <v>166</v>
      </c>
      <c r="M35" s="189" t="s">
        <v>166</v>
      </c>
      <c r="N35" s="196" t="s">
        <v>149</v>
      </c>
      <c r="O35" s="196"/>
      <c r="P35" s="189" t="s">
        <v>2091</v>
      </c>
      <c r="Q35" s="331">
        <v>40975</v>
      </c>
      <c r="R35" s="187">
        <v>40982</v>
      </c>
      <c r="S35" s="190" t="s">
        <v>2092</v>
      </c>
      <c r="T35" s="326" t="s">
        <v>1565</v>
      </c>
      <c r="U35" s="326"/>
      <c r="V35" s="326"/>
      <c r="W35" s="184"/>
      <c r="X35" s="97"/>
      <c r="Y35" s="167" t="str">
        <f ca="1">IF(Table17[[#This Row],[Required Resolution Date]]="","FALSE",IF($AA$1&gt;Table17[[#This Row],[Required Resolution Date]],"TRUE","FALSE"))</f>
        <v>TRUE</v>
      </c>
      <c r="Z35" s="4">
        <f t="shared" ca="1" si="0"/>
        <v>1</v>
      </c>
      <c r="AA35" s="97"/>
      <c r="AB35" s="175" t="b">
        <f>OR(Table17[[#This Row],[Priority]]="04. High",Table17[[#This Row],[Priority]]="05. Critical")</f>
        <v>1</v>
      </c>
      <c r="AC35" s="284">
        <f ca="1">$AA$1-Table17[[#This Row],[Date captured]]</f>
        <v>57</v>
      </c>
      <c r="AD35" s="175" t="b">
        <f t="shared" ca="1" si="1"/>
        <v>1</v>
      </c>
      <c r="AE35" s="175" t="b">
        <f t="shared" ca="1" si="2"/>
        <v>0</v>
      </c>
      <c r="AF35" s="175" t="b">
        <f t="shared" ca="1" si="3"/>
        <v>0</v>
      </c>
      <c r="AG35" s="284">
        <f ca="1">Table17[[#This Row],[Required Resolution Date]]-$AA$1</f>
        <v>-8</v>
      </c>
      <c r="AH35" s="175" t="b">
        <f t="shared" ca="1" si="4"/>
        <v>0</v>
      </c>
      <c r="AI35" s="327" t="b">
        <f>OR(Table17[[#This Row],[Priority]]="04. High",Table17[[#This Row],[Priority]]="05. Critical",Table17[[#This Row],[Priority]]="03. Moderate")</f>
        <v>1</v>
      </c>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97"/>
      <c r="CU35" s="97"/>
      <c r="CV35" s="97"/>
      <c r="CW35" s="97"/>
      <c r="CX35" s="97"/>
      <c r="CY35" s="97"/>
      <c r="CZ35" s="97"/>
      <c r="DA35" s="97"/>
      <c r="DB35" s="97"/>
      <c r="DC35" s="97"/>
      <c r="DD35" s="97"/>
      <c r="DE35" s="97"/>
      <c r="DF35" s="97"/>
      <c r="DG35" s="97"/>
      <c r="DH35" s="97"/>
      <c r="DI35" s="97"/>
      <c r="DJ35" s="97"/>
      <c r="DK35" s="97"/>
      <c r="DL35" s="97"/>
      <c r="DM35" s="97"/>
      <c r="DN35" s="97"/>
      <c r="DO35" s="97"/>
      <c r="DP35" s="97"/>
      <c r="DQ35" s="97"/>
      <c r="DR35" s="97"/>
      <c r="DS35" s="97"/>
      <c r="DT35" s="97"/>
      <c r="DU35" s="97"/>
      <c r="DV35" s="97"/>
      <c r="DW35" s="97"/>
      <c r="DX35" s="97"/>
      <c r="DY35" s="97"/>
      <c r="DZ35" s="97"/>
      <c r="EA35" s="97"/>
      <c r="EB35" s="97"/>
      <c r="EC35" s="97"/>
      <c r="ED35" s="97"/>
      <c r="EE35" s="97"/>
      <c r="EF35" s="97"/>
      <c r="EG35" s="97"/>
      <c r="EH35" s="97"/>
      <c r="EI35" s="97"/>
      <c r="EJ35" s="97"/>
      <c r="EK35" s="97"/>
      <c r="EL35" s="97"/>
      <c r="EM35" s="97"/>
      <c r="EN35" s="97"/>
      <c r="EO35" s="97"/>
      <c r="EP35" s="97"/>
      <c r="EQ35" s="97"/>
      <c r="ER35" s="97"/>
      <c r="ES35" s="97"/>
      <c r="ET35" s="97"/>
      <c r="EU35" s="97"/>
      <c r="EV35" s="97"/>
      <c r="EW35" s="97"/>
      <c r="EX35" s="97"/>
      <c r="EY35" s="97"/>
      <c r="EZ35" s="97"/>
      <c r="FA35" s="97"/>
      <c r="FB35" s="97"/>
      <c r="FC35" s="97"/>
      <c r="FD35" s="97"/>
      <c r="FE35" s="97"/>
      <c r="FF35" s="97"/>
      <c r="FG35" s="97"/>
      <c r="FH35" s="97"/>
      <c r="FI35" s="97"/>
      <c r="FJ35" s="97"/>
      <c r="FK35" s="97"/>
    </row>
    <row r="36" spans="1:167" s="4" customFormat="1" ht="300" hidden="1">
      <c r="A36" s="130" t="s">
        <v>594</v>
      </c>
      <c r="B36" s="78">
        <v>40674</v>
      </c>
      <c r="C36" s="92"/>
      <c r="D36" s="71" t="s">
        <v>676</v>
      </c>
      <c r="E36" s="91"/>
      <c r="F36" s="71" t="s">
        <v>688</v>
      </c>
      <c r="G36" s="91"/>
      <c r="H36" s="91"/>
      <c r="I36" s="91"/>
      <c r="J36" s="91"/>
      <c r="K36" s="91" t="s">
        <v>151</v>
      </c>
      <c r="L36" s="127"/>
      <c r="M36" s="71" t="s">
        <v>691</v>
      </c>
      <c r="N36" s="71" t="s">
        <v>311</v>
      </c>
      <c r="O36" s="71"/>
      <c r="P36" s="71"/>
      <c r="Q36" s="78">
        <v>40765</v>
      </c>
      <c r="R36" s="91">
        <v>40702</v>
      </c>
      <c r="S36" s="103" t="s">
        <v>693</v>
      </c>
      <c r="T36" s="103"/>
      <c r="U36" s="442" t="s">
        <v>3010</v>
      </c>
      <c r="V36" s="87">
        <v>40765</v>
      </c>
      <c r="W36" s="131"/>
      <c r="Y36" s="167" t="str">
        <f ca="1">IF(Table17[[#This Row],[Required Resolution Date]]="","FALSE",IF($AA$1&gt;Table17[[#This Row],[Required Resolution Date]],"TRUE","FALSE"))</f>
        <v>TRUE</v>
      </c>
      <c r="Z36" s="4">
        <f t="shared" ca="1" si="0"/>
        <v>1</v>
      </c>
      <c r="AB36" s="175" t="b">
        <f>OR(Table17[[#This Row],[Priority]]="04. High",Table17[[#This Row],[Priority]]="05. Critical")</f>
        <v>1</v>
      </c>
      <c r="AC36" s="284">
        <f ca="1">$AA$1-Table17[[#This Row],[Date captured]]</f>
        <v>316</v>
      </c>
      <c r="AD36" s="175" t="b">
        <f t="shared" ca="1" si="1"/>
        <v>0</v>
      </c>
      <c r="AE36" s="175" t="b">
        <f t="shared" ca="1" si="2"/>
        <v>0</v>
      </c>
      <c r="AF36" s="175" t="b">
        <f t="shared" ca="1" si="3"/>
        <v>1</v>
      </c>
      <c r="AG36" s="284">
        <f ca="1">Table17[[#This Row],[Required Resolution Date]]-$AA$1</f>
        <v>-288</v>
      </c>
      <c r="AH36" s="175" t="b">
        <f t="shared" ca="1" si="4"/>
        <v>0</v>
      </c>
      <c r="AI36" s="327" t="b">
        <f>OR(Table17[[#This Row],[Priority]]="04. High",Table17[[#This Row],[Priority]]="05. Critical",Table17[[#This Row],[Priority]]="03. Moderate")</f>
        <v>1</v>
      </c>
    </row>
    <row r="37" spans="1:167" s="98" customFormat="1" ht="229.5">
      <c r="A37" s="338" t="s">
        <v>1758</v>
      </c>
      <c r="B37" s="329">
        <v>40946</v>
      </c>
      <c r="C37" s="326" t="s">
        <v>818</v>
      </c>
      <c r="D37" s="325" t="s">
        <v>15</v>
      </c>
      <c r="E37" s="326" t="s">
        <v>184</v>
      </c>
      <c r="F37" s="277" t="s">
        <v>1943</v>
      </c>
      <c r="G37" s="326"/>
      <c r="H37" s="326"/>
      <c r="I37" s="326"/>
      <c r="J37" s="326"/>
      <c r="K37" s="326" t="s">
        <v>151</v>
      </c>
      <c r="L37" s="333" t="s">
        <v>2214</v>
      </c>
      <c r="M37" s="339" t="s">
        <v>2214</v>
      </c>
      <c r="N37" s="337" t="s">
        <v>149</v>
      </c>
      <c r="O37" s="337"/>
      <c r="P37" s="339"/>
      <c r="Q37" s="331">
        <v>40988</v>
      </c>
      <c r="R37" s="278">
        <v>40990</v>
      </c>
      <c r="S37" s="190" t="s">
        <v>2960</v>
      </c>
      <c r="T37" s="334" t="s">
        <v>1582</v>
      </c>
      <c r="U37" s="326"/>
      <c r="V37" s="334"/>
      <c r="W37" s="335"/>
      <c r="X37" s="97"/>
      <c r="Y37" s="167" t="str">
        <f ca="1">IF(Table17[[#This Row],[Required Resolution Date]]="","FALSE",IF($AA$1&gt;Table17[[#This Row],[Required Resolution Date]],"TRUE","FALSE"))</f>
        <v>FALSE</v>
      </c>
      <c r="Z37" s="4">
        <f t="shared" ca="1" si="0"/>
        <v>0</v>
      </c>
      <c r="AA37" s="97"/>
      <c r="AB37" s="175" t="b">
        <f>OR(Table17[[#This Row],[Priority]]="04. High",Table17[[#This Row],[Priority]]="05. Critical")</f>
        <v>1</v>
      </c>
      <c r="AC37" s="284">
        <f ca="1">$AA$1-Table17[[#This Row],[Date captured]]</f>
        <v>44</v>
      </c>
      <c r="AD37" s="175" t="b">
        <f t="shared" ca="1" si="1"/>
        <v>1</v>
      </c>
      <c r="AE37" s="175" t="b">
        <f t="shared" ca="1" si="2"/>
        <v>0</v>
      </c>
      <c r="AF37" s="175" t="b">
        <f t="shared" ca="1" si="3"/>
        <v>0</v>
      </c>
      <c r="AG37" s="284">
        <f ca="1">Table17[[#This Row],[Required Resolution Date]]-$AA$1</f>
        <v>0</v>
      </c>
      <c r="AH37" s="175" t="b">
        <f t="shared" ca="1" si="4"/>
        <v>0</v>
      </c>
      <c r="AI37" s="327" t="b">
        <f>OR(Table17[[#This Row],[Priority]]="04. High",Table17[[#This Row],[Priority]]="05. Critical",Table17[[#This Row],[Priority]]="03. Moderate")</f>
        <v>1</v>
      </c>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7"/>
      <c r="BP37" s="97"/>
      <c r="BQ37" s="97"/>
      <c r="BR37" s="97"/>
      <c r="BS37" s="97"/>
      <c r="BT37" s="97"/>
      <c r="BU37" s="97"/>
      <c r="BV37" s="97"/>
      <c r="BW37" s="97"/>
      <c r="BX37" s="97"/>
      <c r="BY37" s="97"/>
      <c r="BZ37" s="97"/>
      <c r="CA37" s="97"/>
      <c r="CB37" s="97"/>
      <c r="CC37" s="97"/>
      <c r="CD37" s="97"/>
      <c r="CE37" s="97"/>
      <c r="CF37" s="97"/>
      <c r="CG37" s="97"/>
      <c r="CH37" s="97"/>
      <c r="CI37" s="97"/>
      <c r="CJ37" s="97"/>
      <c r="CK37" s="97"/>
      <c r="CL37" s="97"/>
      <c r="CM37" s="97"/>
      <c r="CN37" s="97"/>
      <c r="CO37" s="97"/>
      <c r="CP37" s="97"/>
      <c r="CQ37" s="97"/>
      <c r="CR37" s="97"/>
      <c r="CS37" s="97"/>
      <c r="CT37" s="97"/>
      <c r="CU37" s="97"/>
      <c r="CV37" s="97"/>
      <c r="CW37" s="97"/>
      <c r="CX37" s="97"/>
      <c r="CY37" s="97"/>
      <c r="CZ37" s="97"/>
      <c r="DA37" s="97"/>
      <c r="DB37" s="97"/>
      <c r="DC37" s="97"/>
      <c r="DD37" s="97"/>
      <c r="DE37" s="97"/>
      <c r="DF37" s="97"/>
      <c r="DG37" s="97"/>
      <c r="DH37" s="97"/>
      <c r="DI37" s="97"/>
      <c r="DJ37" s="97"/>
      <c r="DK37" s="97"/>
      <c r="DL37" s="97"/>
      <c r="DM37" s="97"/>
      <c r="DN37" s="97"/>
      <c r="DO37" s="97"/>
      <c r="DP37" s="97"/>
      <c r="DQ37" s="97"/>
      <c r="DR37" s="97"/>
      <c r="DS37" s="97"/>
      <c r="DT37" s="97"/>
      <c r="DU37" s="97"/>
      <c r="DV37" s="97"/>
      <c r="DW37" s="97"/>
      <c r="DX37" s="97"/>
      <c r="DY37" s="97"/>
      <c r="DZ37" s="97"/>
      <c r="EA37" s="97"/>
      <c r="EB37" s="97"/>
      <c r="EC37" s="97"/>
      <c r="ED37" s="97"/>
      <c r="EE37" s="97"/>
      <c r="EF37" s="97"/>
      <c r="EG37" s="97"/>
      <c r="EH37" s="97"/>
      <c r="EI37" s="97"/>
      <c r="EJ37" s="97"/>
      <c r="EK37" s="97"/>
      <c r="EL37" s="97"/>
      <c r="EM37" s="97"/>
      <c r="EN37" s="97"/>
      <c r="EO37" s="97"/>
      <c r="EP37" s="97"/>
      <c r="EQ37" s="97"/>
      <c r="ER37" s="97"/>
      <c r="ES37" s="97"/>
      <c r="ET37" s="97"/>
      <c r="EU37" s="97"/>
      <c r="EV37" s="97"/>
      <c r="EW37" s="97"/>
      <c r="EX37" s="97"/>
      <c r="EY37" s="97"/>
      <c r="EZ37" s="97"/>
      <c r="FA37" s="97"/>
      <c r="FB37" s="97"/>
      <c r="FC37" s="97"/>
      <c r="FD37" s="97"/>
      <c r="FE37" s="97"/>
      <c r="FF37" s="97"/>
      <c r="FG37" s="97"/>
      <c r="FH37" s="97"/>
      <c r="FI37" s="97"/>
      <c r="FJ37" s="97"/>
      <c r="FK37" s="97"/>
    </row>
    <row r="38" spans="1:167" s="4" customFormat="1" ht="40.5" hidden="1">
      <c r="A38" s="338" t="s">
        <v>2388</v>
      </c>
      <c r="B38" s="329">
        <v>40973</v>
      </c>
      <c r="C38" s="326" t="s">
        <v>261</v>
      </c>
      <c r="D38" s="325" t="s">
        <v>676</v>
      </c>
      <c r="E38" s="326"/>
      <c r="F38" s="280" t="s">
        <v>2400</v>
      </c>
      <c r="G38" s="326" t="s">
        <v>151</v>
      </c>
      <c r="H38" s="326" t="s">
        <v>151</v>
      </c>
      <c r="I38" s="326" t="s">
        <v>151</v>
      </c>
      <c r="J38" s="326" t="s">
        <v>151</v>
      </c>
      <c r="K38" s="326" t="s">
        <v>151</v>
      </c>
      <c r="L38" s="333" t="s">
        <v>764</v>
      </c>
      <c r="M38" s="339" t="s">
        <v>2488</v>
      </c>
      <c r="N38" s="337" t="s">
        <v>150</v>
      </c>
      <c r="O38" s="337"/>
      <c r="P38" s="330" t="s">
        <v>321</v>
      </c>
      <c r="Q38" s="331">
        <v>40975</v>
      </c>
      <c r="R38" s="332">
        <v>40998</v>
      </c>
      <c r="S38" s="333" t="s">
        <v>2489</v>
      </c>
      <c r="T38" s="334" t="s">
        <v>1571</v>
      </c>
      <c r="U38" s="190" t="s">
        <v>2703</v>
      </c>
      <c r="V38" s="334">
        <v>40977</v>
      </c>
      <c r="W38" s="335"/>
      <c r="Y38" s="167" t="str">
        <f ca="1">IF(Table17[[#This Row],[Required Resolution Date]]="","FALSE",IF($AA$1&gt;Table17[[#This Row],[Required Resolution Date]],"TRUE","FALSE"))</f>
        <v>FALSE</v>
      </c>
      <c r="Z38" s="4">
        <f t="shared" ca="1" si="0"/>
        <v>0</v>
      </c>
      <c r="AB38" s="175" t="b">
        <f>OR(Table17[[#This Row],[Priority]]="04. High",Table17[[#This Row],[Priority]]="05. Critical")</f>
        <v>1</v>
      </c>
      <c r="AC38" s="284">
        <f ca="1">$AA$1-Table17[[#This Row],[Date captured]]</f>
        <v>17</v>
      </c>
      <c r="AD38" s="175" t="b">
        <f t="shared" ca="1" si="1"/>
        <v>0</v>
      </c>
      <c r="AE38" s="175" t="b">
        <f t="shared" ca="1" si="2"/>
        <v>0</v>
      </c>
      <c r="AF38" s="175" t="b">
        <f t="shared" ca="1" si="3"/>
        <v>0</v>
      </c>
      <c r="AG38" s="284">
        <f ca="1">Table17[[#This Row],[Required Resolution Date]]-$AA$1</f>
        <v>8</v>
      </c>
      <c r="AH38" s="175" t="b">
        <f t="shared" ca="1" si="4"/>
        <v>0</v>
      </c>
      <c r="AI38" s="327" t="b">
        <f>OR(Table17[[#This Row],[Priority]]="04. High",Table17[[#This Row],[Priority]]="05. Critical",Table17[[#This Row],[Priority]]="03. Moderate")</f>
        <v>1</v>
      </c>
    </row>
    <row r="39" spans="1:167" s="4" customFormat="1" ht="27" hidden="1">
      <c r="A39" s="338" t="s">
        <v>2389</v>
      </c>
      <c r="B39" s="329">
        <v>40974</v>
      </c>
      <c r="C39" s="326" t="s">
        <v>261</v>
      </c>
      <c r="D39" s="325" t="s">
        <v>676</v>
      </c>
      <c r="E39" s="326"/>
      <c r="F39" s="280" t="s">
        <v>2402</v>
      </c>
      <c r="G39" s="326" t="s">
        <v>690</v>
      </c>
      <c r="H39" s="326" t="s">
        <v>690</v>
      </c>
      <c r="I39" s="326" t="s">
        <v>690</v>
      </c>
      <c r="J39" s="326" t="s">
        <v>690</v>
      </c>
      <c r="K39" s="326" t="s">
        <v>1557</v>
      </c>
      <c r="L39" s="333" t="s">
        <v>261</v>
      </c>
      <c r="M39" s="339" t="s">
        <v>724</v>
      </c>
      <c r="N39" s="337" t="s">
        <v>150</v>
      </c>
      <c r="O39" s="337"/>
      <c r="P39" s="330" t="s">
        <v>321</v>
      </c>
      <c r="Q39" s="331">
        <v>40975</v>
      </c>
      <c r="R39" s="332">
        <v>40998</v>
      </c>
      <c r="S39" s="333" t="s">
        <v>2486</v>
      </c>
      <c r="T39" s="334" t="s">
        <v>1571</v>
      </c>
      <c r="U39" s="190" t="s">
        <v>2699</v>
      </c>
      <c r="V39" s="334">
        <v>40977</v>
      </c>
      <c r="W39" s="335"/>
      <c r="Y39" s="167" t="str">
        <f ca="1">IF(Table17[[#This Row],[Required Resolution Date]]="","FALSE",IF($AA$1&gt;Table17[[#This Row],[Required Resolution Date]],"TRUE","FALSE"))</f>
        <v>FALSE</v>
      </c>
      <c r="Z39" s="4">
        <f t="shared" ca="1" si="0"/>
        <v>0</v>
      </c>
      <c r="AB39" s="175" t="b">
        <f>OR(Table17[[#This Row],[Priority]]="04. High",Table17[[#This Row],[Priority]]="05. Critical")</f>
        <v>0</v>
      </c>
      <c r="AC39" s="284">
        <f ca="1">$AA$1-Table17[[#This Row],[Date captured]]</f>
        <v>16</v>
      </c>
      <c r="AD39" s="175" t="b">
        <f t="shared" ca="1" si="1"/>
        <v>0</v>
      </c>
      <c r="AE39" s="175" t="b">
        <f t="shared" ca="1" si="2"/>
        <v>0</v>
      </c>
      <c r="AF39" s="175" t="b">
        <f t="shared" ca="1" si="3"/>
        <v>0</v>
      </c>
      <c r="AG39" s="284">
        <f ca="1">Table17[[#This Row],[Required Resolution Date]]-$AA$1</f>
        <v>8</v>
      </c>
      <c r="AH39" s="175" t="b">
        <f t="shared" ca="1" si="4"/>
        <v>0</v>
      </c>
      <c r="AI39" s="327" t="b">
        <f>OR(Table17[[#This Row],[Priority]]="04. High",Table17[[#This Row],[Priority]]="05. Critical",Table17[[#This Row],[Priority]]="03. Moderate")</f>
        <v>1</v>
      </c>
    </row>
    <row r="40" spans="1:167" s="4" customFormat="1" ht="72" hidden="1">
      <c r="A40" s="338" t="s">
        <v>2390</v>
      </c>
      <c r="B40" s="329">
        <v>40974</v>
      </c>
      <c r="C40" s="141" t="s">
        <v>261</v>
      </c>
      <c r="D40" s="325" t="s">
        <v>676</v>
      </c>
      <c r="E40" s="141"/>
      <c r="F40" s="280" t="s">
        <v>2487</v>
      </c>
      <c r="G40" s="141" t="s">
        <v>151</v>
      </c>
      <c r="H40" s="141" t="s">
        <v>151</v>
      </c>
      <c r="I40" s="141" t="s">
        <v>151</v>
      </c>
      <c r="J40" s="141" t="s">
        <v>151</v>
      </c>
      <c r="K40" s="141" t="s">
        <v>151</v>
      </c>
      <c r="L40" s="333" t="s">
        <v>561</v>
      </c>
      <c r="M40" s="339" t="s">
        <v>2618</v>
      </c>
      <c r="N40" s="337" t="s">
        <v>150</v>
      </c>
      <c r="O40" s="337"/>
      <c r="P40" s="339" t="s">
        <v>321</v>
      </c>
      <c r="Q40" s="331">
        <v>40989</v>
      </c>
      <c r="R40" s="332">
        <v>40984</v>
      </c>
      <c r="S40" s="333" t="s">
        <v>2619</v>
      </c>
      <c r="T40" s="334" t="s">
        <v>1564</v>
      </c>
      <c r="U40" s="190" t="s">
        <v>2704</v>
      </c>
      <c r="V40" s="334">
        <v>40977</v>
      </c>
      <c r="W40" s="335"/>
      <c r="Y40" s="167" t="str">
        <f ca="1">IF(Table17[[#This Row],[Required Resolution Date]]="","FALSE",IF($AA$1&gt;Table17[[#This Row],[Required Resolution Date]],"TRUE","FALSE"))</f>
        <v>TRUE</v>
      </c>
      <c r="Z40" s="4">
        <f t="shared" ca="1" si="0"/>
        <v>1</v>
      </c>
      <c r="AB40" s="175" t="b">
        <f>OR(Table17[[#This Row],[Priority]]="04. High",Table17[[#This Row],[Priority]]="05. Critical")</f>
        <v>1</v>
      </c>
      <c r="AC40" s="284">
        <f ca="1">$AA$1-Table17[[#This Row],[Date captured]]</f>
        <v>16</v>
      </c>
      <c r="AD40" s="175" t="b">
        <f t="shared" ca="1" si="1"/>
        <v>0</v>
      </c>
      <c r="AE40" s="175" t="b">
        <f t="shared" ca="1" si="2"/>
        <v>0</v>
      </c>
      <c r="AF40" s="175" t="b">
        <f t="shared" ca="1" si="3"/>
        <v>0</v>
      </c>
      <c r="AG40" s="284">
        <f ca="1">Table17[[#This Row],[Required Resolution Date]]-$AA$1</f>
        <v>-6</v>
      </c>
      <c r="AH40" s="175" t="b">
        <f t="shared" ca="1" si="4"/>
        <v>0</v>
      </c>
      <c r="AI40" s="327" t="b">
        <f>OR(Table17[[#This Row],[Priority]]="04. High",Table17[[#This Row],[Priority]]="05. Critical",Table17[[#This Row],[Priority]]="03. Moderate")</f>
        <v>1</v>
      </c>
    </row>
    <row r="41" spans="1:167" s="98" customFormat="1" ht="84">
      <c r="A41" s="338" t="s">
        <v>2406</v>
      </c>
      <c r="B41" s="329">
        <v>40976</v>
      </c>
      <c r="C41" s="326" t="s">
        <v>1767</v>
      </c>
      <c r="D41" s="325" t="s">
        <v>15</v>
      </c>
      <c r="E41" s="326"/>
      <c r="F41" s="280" t="s">
        <v>2613</v>
      </c>
      <c r="G41" s="141" t="s">
        <v>151</v>
      </c>
      <c r="H41" s="141" t="s">
        <v>151</v>
      </c>
      <c r="I41" s="141" t="s">
        <v>151</v>
      </c>
      <c r="J41" s="141" t="s">
        <v>690</v>
      </c>
      <c r="K41" s="141" t="s">
        <v>151</v>
      </c>
      <c r="L41" s="333" t="s">
        <v>1767</v>
      </c>
      <c r="M41" s="339" t="s">
        <v>1767</v>
      </c>
      <c r="N41" s="337" t="s">
        <v>149</v>
      </c>
      <c r="O41" s="337"/>
      <c r="P41" s="339" t="s">
        <v>2614</v>
      </c>
      <c r="Q41" s="331">
        <v>40990</v>
      </c>
      <c r="R41" s="332">
        <v>40999</v>
      </c>
      <c r="S41" s="333"/>
      <c r="T41" s="334"/>
      <c r="U41" s="326"/>
      <c r="V41" s="334"/>
      <c r="W41" s="335"/>
      <c r="X41" s="97"/>
      <c r="Y41" s="167" t="str">
        <f ca="1">IF(Table17[[#This Row],[Required Resolution Date]]="","FALSE",IF($AA$1&gt;Table17[[#This Row],[Required Resolution Date]],"TRUE","FALSE"))</f>
        <v>FALSE</v>
      </c>
      <c r="Z41" s="4">
        <f t="shared" ca="1" si="0"/>
        <v>0</v>
      </c>
      <c r="AA41" s="97"/>
      <c r="AB41" s="175" t="b">
        <f>OR(Table17[[#This Row],[Priority]]="04. High",Table17[[#This Row],[Priority]]="05. Critical")</f>
        <v>1</v>
      </c>
      <c r="AC41" s="284">
        <f ca="1">$AA$1-Table17[[#This Row],[Date captured]]</f>
        <v>14</v>
      </c>
      <c r="AD41" s="175" t="b">
        <f t="shared" ca="1" si="1"/>
        <v>0</v>
      </c>
      <c r="AE41" s="175" t="b">
        <f t="shared" ca="1" si="2"/>
        <v>0</v>
      </c>
      <c r="AF41" s="175" t="b">
        <f t="shared" ca="1" si="3"/>
        <v>0</v>
      </c>
      <c r="AG41" s="284">
        <f ca="1">Table17[[#This Row],[Required Resolution Date]]-$AA$1</f>
        <v>9</v>
      </c>
      <c r="AH41" s="175" t="b">
        <f t="shared" ca="1" si="4"/>
        <v>0</v>
      </c>
      <c r="AI41" s="327" t="b">
        <f>OR(Table17[[#This Row],[Priority]]="04. High",Table17[[#This Row],[Priority]]="05. Critical",Table17[[#This Row],[Priority]]="03. Moderate")</f>
        <v>1</v>
      </c>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7"/>
      <c r="BQ41" s="97"/>
      <c r="BR41" s="97"/>
      <c r="BS41" s="97"/>
      <c r="BT41" s="97"/>
      <c r="BU41" s="97"/>
      <c r="BV41" s="97"/>
      <c r="BW41" s="97"/>
      <c r="BX41" s="97"/>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c r="DB41" s="97"/>
      <c r="DC41" s="97"/>
      <c r="DD41" s="97"/>
      <c r="DE41" s="97"/>
      <c r="DF41" s="97"/>
      <c r="DG41" s="97"/>
      <c r="DH41" s="97"/>
      <c r="DI41" s="97"/>
      <c r="DJ41" s="97"/>
      <c r="DK41" s="97"/>
      <c r="DL41" s="97"/>
      <c r="DM41" s="97"/>
      <c r="DN41" s="97"/>
      <c r="DO41" s="97"/>
      <c r="DP41" s="97"/>
      <c r="DQ41" s="97"/>
      <c r="DR41" s="97"/>
      <c r="DS41" s="97"/>
      <c r="DT41" s="97"/>
      <c r="DU41" s="97"/>
      <c r="DV41" s="97"/>
      <c r="DW41" s="97"/>
      <c r="DX41" s="97"/>
      <c r="DY41" s="97"/>
      <c r="DZ41" s="97"/>
      <c r="EA41" s="97"/>
      <c r="EB41" s="97"/>
      <c r="EC41" s="97"/>
      <c r="ED41" s="97"/>
      <c r="EE41" s="97"/>
      <c r="EF41" s="97"/>
      <c r="EG41" s="97"/>
      <c r="EH41" s="97"/>
      <c r="EI41" s="97"/>
      <c r="EJ41" s="97"/>
      <c r="EK41" s="97"/>
      <c r="EL41" s="97"/>
      <c r="EM41" s="97"/>
      <c r="EN41" s="97"/>
      <c r="EO41" s="97"/>
      <c r="EP41" s="97"/>
      <c r="EQ41" s="97"/>
      <c r="ER41" s="97"/>
      <c r="ES41" s="97"/>
      <c r="ET41" s="97"/>
      <c r="EU41" s="97"/>
      <c r="EV41" s="97"/>
      <c r="EW41" s="97"/>
      <c r="EX41" s="97"/>
      <c r="EY41" s="97"/>
      <c r="EZ41" s="97"/>
      <c r="FA41" s="97"/>
      <c r="FB41" s="97"/>
      <c r="FC41" s="97"/>
      <c r="FD41" s="97"/>
      <c r="FE41" s="97"/>
      <c r="FF41" s="97"/>
      <c r="FG41" s="97"/>
      <c r="FH41" s="97"/>
      <c r="FI41" s="97"/>
      <c r="FJ41" s="97"/>
      <c r="FK41" s="97"/>
    </row>
    <row r="42" spans="1:167" s="4" customFormat="1" ht="180">
      <c r="A42" s="338" t="s">
        <v>2409</v>
      </c>
      <c r="B42" s="329">
        <v>40977</v>
      </c>
      <c r="C42" s="326" t="s">
        <v>2635</v>
      </c>
      <c r="D42" s="325" t="s">
        <v>15</v>
      </c>
      <c r="E42" s="326"/>
      <c r="F42" s="280" t="s">
        <v>2636</v>
      </c>
      <c r="G42" s="326" t="s">
        <v>679</v>
      </c>
      <c r="H42" s="326" t="s">
        <v>679</v>
      </c>
      <c r="I42" s="326" t="s">
        <v>679</v>
      </c>
      <c r="J42" s="326" t="s">
        <v>151</v>
      </c>
      <c r="K42" s="326" t="s">
        <v>151</v>
      </c>
      <c r="L42" s="333" t="s">
        <v>567</v>
      </c>
      <c r="M42" s="339" t="s">
        <v>567</v>
      </c>
      <c r="N42" s="337" t="s">
        <v>149</v>
      </c>
      <c r="O42" s="337"/>
      <c r="P42" s="339" t="s">
        <v>2637</v>
      </c>
      <c r="Q42" s="331">
        <v>40991</v>
      </c>
      <c r="R42" s="332">
        <v>41029</v>
      </c>
      <c r="S42" s="333"/>
      <c r="T42" s="334" t="s">
        <v>1565</v>
      </c>
      <c r="U42" s="326"/>
      <c r="V42" s="334"/>
      <c r="W42" s="335"/>
      <c r="Y42" s="167" t="str">
        <f ca="1">IF(Table17[[#This Row],[Required Resolution Date]]="","FALSE",IF($AA$1&gt;Table17[[#This Row],[Required Resolution Date]],"TRUE","FALSE"))</f>
        <v>FALSE</v>
      </c>
      <c r="Z42" s="4">
        <f t="shared" ca="1" si="0"/>
        <v>0</v>
      </c>
      <c r="AB42" s="175" t="b">
        <f>OR(Table17[[#This Row],[Priority]]="04. High",Table17[[#This Row],[Priority]]="05. Critical")</f>
        <v>1</v>
      </c>
      <c r="AC42" s="284">
        <f ca="1">$AA$1-Table17[[#This Row],[Date captured]]</f>
        <v>13</v>
      </c>
      <c r="AD42" s="175" t="b">
        <f t="shared" ca="1" si="1"/>
        <v>0</v>
      </c>
      <c r="AE42" s="175" t="b">
        <f t="shared" ca="1" si="2"/>
        <v>0</v>
      </c>
      <c r="AF42" s="175" t="b">
        <f t="shared" ca="1" si="3"/>
        <v>0</v>
      </c>
      <c r="AG42" s="284">
        <f ca="1">Table17[[#This Row],[Required Resolution Date]]-$AA$1</f>
        <v>39</v>
      </c>
      <c r="AH42" s="175" t="b">
        <f t="shared" ca="1" si="4"/>
        <v>0</v>
      </c>
      <c r="AI42" s="327" t="b">
        <f>OR(Table17[[#This Row],[Priority]]="04. High",Table17[[#This Row],[Priority]]="05. Critical",Table17[[#This Row],[Priority]]="03. Moderate")</f>
        <v>1</v>
      </c>
    </row>
    <row r="43" spans="1:167" s="4" customFormat="1" ht="217.5" hidden="1" customHeight="1">
      <c r="A43" s="3" t="s">
        <v>595</v>
      </c>
      <c r="B43" s="64">
        <v>40687</v>
      </c>
      <c r="D43" s="56" t="s">
        <v>676</v>
      </c>
      <c r="E43" s="5"/>
      <c r="F43" s="56" t="s">
        <v>312</v>
      </c>
      <c r="G43" s="5"/>
      <c r="H43" s="5"/>
      <c r="I43" s="5"/>
      <c r="J43" s="5"/>
      <c r="K43" s="5" t="s">
        <v>152</v>
      </c>
      <c r="L43" s="342"/>
      <c r="M43" s="56" t="s">
        <v>166</v>
      </c>
      <c r="N43" s="56" t="s">
        <v>149</v>
      </c>
      <c r="O43" s="56"/>
      <c r="P43" s="56"/>
      <c r="Q43" s="64">
        <v>40709</v>
      </c>
      <c r="R43" s="5">
        <v>40690</v>
      </c>
      <c r="S43" s="68" t="s">
        <v>694</v>
      </c>
      <c r="T43" s="68"/>
      <c r="U43" s="441" t="s">
        <v>3011</v>
      </c>
      <c r="V43" s="63">
        <v>40709</v>
      </c>
      <c r="W43" s="31"/>
      <c r="Y43" s="167" t="str">
        <f ca="1">IF(Table17[[#This Row],[Required Resolution Date]]="","FALSE",IF($AA$1&gt;Table17[[#This Row],[Required Resolution Date]],"TRUE","FALSE"))</f>
        <v>TRUE</v>
      </c>
      <c r="Z43" s="4">
        <f t="shared" ca="1" si="0"/>
        <v>1</v>
      </c>
      <c r="AB43" s="175" t="b">
        <f>OR(Table17[[#This Row],[Priority]]="04. High",Table17[[#This Row],[Priority]]="05. Critical")</f>
        <v>1</v>
      </c>
      <c r="AC43" s="284">
        <f ca="1">$AA$1-Table17[[#This Row],[Date captured]]</f>
        <v>303</v>
      </c>
      <c r="AD43" s="175" t="b">
        <f t="shared" ca="1" si="1"/>
        <v>0</v>
      </c>
      <c r="AE43" s="175" t="b">
        <f t="shared" ca="1" si="2"/>
        <v>0</v>
      </c>
      <c r="AF43" s="175" t="b">
        <f t="shared" ca="1" si="3"/>
        <v>1</v>
      </c>
      <c r="AG43" s="284">
        <f ca="1">Table17[[#This Row],[Required Resolution Date]]-$AA$1</f>
        <v>-300</v>
      </c>
      <c r="AH43" s="175" t="b">
        <f t="shared" ca="1" si="4"/>
        <v>0</v>
      </c>
      <c r="AI43" s="327" t="b">
        <f>OR(Table17[[#This Row],[Priority]]="04. High",Table17[[#This Row],[Priority]]="05. Critical",Table17[[#This Row],[Priority]]="03. Moderate")</f>
        <v>1</v>
      </c>
    </row>
    <row r="44" spans="1:167" s="4" customFormat="1" ht="81">
      <c r="A44" s="338" t="s">
        <v>2410</v>
      </c>
      <c r="B44" s="329">
        <v>40949</v>
      </c>
      <c r="C44" s="326" t="s">
        <v>1492</v>
      </c>
      <c r="D44" s="325" t="s">
        <v>15</v>
      </c>
      <c r="E44" s="326"/>
      <c r="F44" s="400" t="s">
        <v>2644</v>
      </c>
      <c r="G44" s="326" t="s">
        <v>679</v>
      </c>
      <c r="H44" s="326" t="s">
        <v>679</v>
      </c>
      <c r="I44" s="326" t="s">
        <v>679</v>
      </c>
      <c r="J44" s="326" t="s">
        <v>679</v>
      </c>
      <c r="K44" s="326" t="s">
        <v>1558</v>
      </c>
      <c r="L44" s="333" t="s">
        <v>2291</v>
      </c>
      <c r="M44" s="339" t="s">
        <v>2645</v>
      </c>
      <c r="N44" s="337" t="s">
        <v>149</v>
      </c>
      <c r="O44" s="337"/>
      <c r="P44" s="189" t="s">
        <v>2647</v>
      </c>
      <c r="Q44" s="331">
        <v>40999</v>
      </c>
      <c r="R44" s="332">
        <v>41029</v>
      </c>
      <c r="S44" s="189" t="s">
        <v>2646</v>
      </c>
      <c r="T44" s="334" t="s">
        <v>1582</v>
      </c>
      <c r="U44" s="326"/>
      <c r="V44" s="334"/>
      <c r="W44" s="335"/>
      <c r="Y44" s="167" t="str">
        <f ca="1">IF(Table17[[#This Row],[Required Resolution Date]]="","FALSE",IF($AA$1&gt;Table17[[#This Row],[Required Resolution Date]],"TRUE","FALSE"))</f>
        <v>FALSE</v>
      </c>
      <c r="Z44" s="4">
        <f t="shared" ca="1" si="0"/>
        <v>0</v>
      </c>
      <c r="AB44" s="175" t="b">
        <f>OR(Table17[[#This Row],[Priority]]="04. High",Table17[[#This Row],[Priority]]="05. Critical")</f>
        <v>0</v>
      </c>
      <c r="AC44" s="284">
        <f ca="1">$AA$1-Table17[[#This Row],[Date captured]]</f>
        <v>41</v>
      </c>
      <c r="AD44" s="175" t="b">
        <f t="shared" ca="1" si="1"/>
        <v>1</v>
      </c>
      <c r="AE44" s="175" t="b">
        <f t="shared" ca="1" si="2"/>
        <v>0</v>
      </c>
      <c r="AF44" s="175" t="b">
        <f t="shared" ca="1" si="3"/>
        <v>0</v>
      </c>
      <c r="AG44" s="284">
        <f ca="1">Table17[[#This Row],[Required Resolution Date]]-$AA$1</f>
        <v>39</v>
      </c>
      <c r="AH44" s="175" t="b">
        <f t="shared" ca="1" si="4"/>
        <v>0</v>
      </c>
      <c r="AI44" s="327" t="b">
        <f>OR(Table17[[#This Row],[Priority]]="04. High",Table17[[#This Row],[Priority]]="05. Critical",Table17[[#This Row],[Priority]]="03. Moderate")</f>
        <v>0</v>
      </c>
    </row>
    <row r="45" spans="1:167" ht="81">
      <c r="A45" s="338" t="s">
        <v>2411</v>
      </c>
      <c r="B45" s="329">
        <v>40949</v>
      </c>
      <c r="C45" s="326" t="s">
        <v>1492</v>
      </c>
      <c r="D45" s="325" t="s">
        <v>15</v>
      </c>
      <c r="E45" s="326"/>
      <c r="F45" s="400" t="s">
        <v>2648</v>
      </c>
      <c r="G45" s="326" t="s">
        <v>679</v>
      </c>
      <c r="H45" s="326" t="s">
        <v>679</v>
      </c>
      <c r="I45" s="326" t="s">
        <v>679</v>
      </c>
      <c r="J45" s="326" t="s">
        <v>679</v>
      </c>
      <c r="K45" s="326" t="s">
        <v>1558</v>
      </c>
      <c r="L45" s="333" t="s">
        <v>2291</v>
      </c>
      <c r="M45" s="339" t="s">
        <v>2645</v>
      </c>
      <c r="N45" s="337" t="s">
        <v>149</v>
      </c>
      <c r="O45" s="337"/>
      <c r="P45" s="339" t="s">
        <v>2649</v>
      </c>
      <c r="Q45" s="331">
        <v>40984</v>
      </c>
      <c r="R45" s="332">
        <v>40999</v>
      </c>
      <c r="S45" s="189" t="s">
        <v>2854</v>
      </c>
      <c r="T45" s="334" t="s">
        <v>1942</v>
      </c>
      <c r="U45" s="326"/>
      <c r="V45" s="334"/>
      <c r="W45" s="335"/>
      <c r="Y45" s="176" t="str">
        <f ca="1">IF(Table17[[#This Row],[Required Resolution Date]]="","FALSE",IF($AA$1&gt;Table17[[#This Row],[Required Resolution Date]],"TRUE","FALSE"))</f>
        <v>FALSE</v>
      </c>
      <c r="Z45" s="175">
        <f t="shared" ca="1" si="0"/>
        <v>0</v>
      </c>
      <c r="AB45" s="175" t="b">
        <f>OR(Table17[[#This Row],[Priority]]="04. High",Table17[[#This Row],[Priority]]="05. Critical")</f>
        <v>0</v>
      </c>
      <c r="AC45" s="284">
        <f ca="1">$AA$1-Table17[[#This Row],[Date captured]]</f>
        <v>41</v>
      </c>
      <c r="AD45" s="175" t="b">
        <f t="shared" ca="1" si="1"/>
        <v>1</v>
      </c>
      <c r="AE45" s="175" t="b">
        <f t="shared" ca="1" si="2"/>
        <v>0</v>
      </c>
      <c r="AF45" s="175" t="b">
        <f t="shared" ca="1" si="3"/>
        <v>0</v>
      </c>
      <c r="AG45" s="284">
        <f ca="1">Table17[[#This Row],[Required Resolution Date]]-$AA$1</f>
        <v>9</v>
      </c>
      <c r="AH45" s="175" t="b">
        <f t="shared" ca="1" si="4"/>
        <v>0</v>
      </c>
      <c r="AI45" s="327" t="b">
        <f>OR(Table17[[#This Row],[Priority]]="04. High",Table17[[#This Row],[Priority]]="05. Critical",Table17[[#This Row],[Priority]]="03. Moderate")</f>
        <v>0</v>
      </c>
    </row>
    <row r="46" spans="1:167" s="4" customFormat="1" ht="60">
      <c r="A46" s="338" t="s">
        <v>2412</v>
      </c>
      <c r="B46" s="329">
        <v>40949</v>
      </c>
      <c r="C46" s="326" t="s">
        <v>1492</v>
      </c>
      <c r="D46" s="325" t="s">
        <v>15</v>
      </c>
      <c r="E46" s="326"/>
      <c r="F46" s="400" t="s">
        <v>2650</v>
      </c>
      <c r="G46" s="326" t="s">
        <v>679</v>
      </c>
      <c r="H46" s="326" t="s">
        <v>679</v>
      </c>
      <c r="I46" s="326" t="s">
        <v>679</v>
      </c>
      <c r="J46" s="326" t="s">
        <v>679</v>
      </c>
      <c r="K46" s="326" t="s">
        <v>1558</v>
      </c>
      <c r="L46" s="333" t="s">
        <v>2291</v>
      </c>
      <c r="M46" s="339" t="s">
        <v>2645</v>
      </c>
      <c r="N46" s="337" t="s">
        <v>149</v>
      </c>
      <c r="O46" s="337"/>
      <c r="P46" s="339" t="s">
        <v>2651</v>
      </c>
      <c r="Q46" s="331">
        <v>40999</v>
      </c>
      <c r="R46" s="332">
        <v>41060</v>
      </c>
      <c r="S46" s="189" t="s">
        <v>2652</v>
      </c>
      <c r="T46" s="334" t="s">
        <v>1582</v>
      </c>
      <c r="U46" s="326"/>
      <c r="V46" s="334"/>
      <c r="W46" s="335"/>
      <c r="Y46" s="167" t="str">
        <f ca="1">IF(Table17[[#This Row],[Required Resolution Date]]="","FALSE",IF($AA$1&gt;Table17[[#This Row],[Required Resolution Date]],"TRUE","FALSE"))</f>
        <v>FALSE</v>
      </c>
      <c r="Z46" s="4">
        <f t="shared" ca="1" si="0"/>
        <v>0</v>
      </c>
      <c r="AB46" s="175" t="b">
        <f>OR(Table17[[#This Row],[Priority]]="04. High",Table17[[#This Row],[Priority]]="05. Critical")</f>
        <v>0</v>
      </c>
      <c r="AC46" s="284">
        <f ca="1">$AA$1-Table17[[#This Row],[Date captured]]</f>
        <v>41</v>
      </c>
      <c r="AD46" s="175" t="b">
        <f t="shared" ca="1" si="1"/>
        <v>1</v>
      </c>
      <c r="AE46" s="175" t="b">
        <f t="shared" ca="1" si="2"/>
        <v>0</v>
      </c>
      <c r="AF46" s="175" t="b">
        <f t="shared" ca="1" si="3"/>
        <v>0</v>
      </c>
      <c r="AG46" s="284">
        <f ca="1">Table17[[#This Row],[Required Resolution Date]]-$AA$1</f>
        <v>70</v>
      </c>
      <c r="AH46" s="175" t="b">
        <f t="shared" ca="1" si="4"/>
        <v>0</v>
      </c>
      <c r="AI46" s="327" t="b">
        <f>OR(Table17[[#This Row],[Priority]]="04. High",Table17[[#This Row],[Priority]]="05. Critical",Table17[[#This Row],[Priority]]="03. Moderate")</f>
        <v>0</v>
      </c>
    </row>
    <row r="47" spans="1:167" ht="84">
      <c r="A47" s="338" t="s">
        <v>2413</v>
      </c>
      <c r="B47" s="329">
        <v>40960</v>
      </c>
      <c r="C47" s="326" t="s">
        <v>2293</v>
      </c>
      <c r="D47" s="325" t="s">
        <v>15</v>
      </c>
      <c r="E47" s="326"/>
      <c r="F47" s="400" t="s">
        <v>2653</v>
      </c>
      <c r="G47" s="326" t="s">
        <v>690</v>
      </c>
      <c r="H47" s="326" t="s">
        <v>690</v>
      </c>
      <c r="I47" s="326" t="s">
        <v>690</v>
      </c>
      <c r="J47" s="326" t="s">
        <v>679</v>
      </c>
      <c r="K47" s="326" t="s">
        <v>1557</v>
      </c>
      <c r="L47" s="333" t="s">
        <v>2293</v>
      </c>
      <c r="M47" s="339" t="s">
        <v>2293</v>
      </c>
      <c r="N47" s="337" t="s">
        <v>149</v>
      </c>
      <c r="O47" s="337"/>
      <c r="P47" s="339" t="s">
        <v>2655</v>
      </c>
      <c r="Q47" s="331">
        <v>40982</v>
      </c>
      <c r="R47" s="332">
        <v>41029</v>
      </c>
      <c r="S47" s="189" t="s">
        <v>2654</v>
      </c>
      <c r="T47" s="334" t="s">
        <v>1574</v>
      </c>
      <c r="U47" s="326"/>
      <c r="V47" s="334"/>
      <c r="W47" s="335"/>
      <c r="Y47" s="176" t="str">
        <f ca="1">IF(Table17[[#This Row],[Required Resolution Date]]="","FALSE",IF($AA$1&gt;Table17[[#This Row],[Required Resolution Date]],"TRUE","FALSE"))</f>
        <v>FALSE</v>
      </c>
      <c r="Z47" s="175">
        <f t="shared" ca="1" si="0"/>
        <v>0</v>
      </c>
      <c r="AB47" s="175" t="b">
        <f>OR(Table17[[#This Row],[Priority]]="04. High",Table17[[#This Row],[Priority]]="05. Critical")</f>
        <v>0</v>
      </c>
      <c r="AC47" s="284">
        <f ca="1">$AA$1-Table17[[#This Row],[Date captured]]</f>
        <v>30</v>
      </c>
      <c r="AD47" s="175" t="b">
        <f t="shared" ca="1" si="1"/>
        <v>1</v>
      </c>
      <c r="AE47" s="175" t="b">
        <f t="shared" ca="1" si="2"/>
        <v>0</v>
      </c>
      <c r="AF47" s="175" t="b">
        <f t="shared" ca="1" si="3"/>
        <v>0</v>
      </c>
      <c r="AG47" s="284">
        <f ca="1">Table17[[#This Row],[Required Resolution Date]]-$AA$1</f>
        <v>39</v>
      </c>
      <c r="AH47" s="175" t="b">
        <f t="shared" ca="1" si="4"/>
        <v>0</v>
      </c>
      <c r="AI47" s="327" t="b">
        <f>OR(Table17[[#This Row],[Priority]]="04. High",Table17[[#This Row],[Priority]]="05. Critical",Table17[[#This Row],[Priority]]="03. Moderate")</f>
        <v>1</v>
      </c>
    </row>
    <row r="48" spans="1:167" s="98" customFormat="1" ht="67.5" hidden="1">
      <c r="A48" s="338" t="s">
        <v>2414</v>
      </c>
      <c r="B48" s="329">
        <v>40976</v>
      </c>
      <c r="C48" s="326" t="s">
        <v>261</v>
      </c>
      <c r="D48" s="325" t="s">
        <v>676</v>
      </c>
      <c r="E48" s="326"/>
      <c r="F48" s="280" t="s">
        <v>2656</v>
      </c>
      <c r="G48" s="326" t="s">
        <v>151</v>
      </c>
      <c r="H48" s="326" t="s">
        <v>690</v>
      </c>
      <c r="I48" s="326" t="s">
        <v>690</v>
      </c>
      <c r="J48" s="326" t="s">
        <v>151</v>
      </c>
      <c r="K48" s="326" t="s">
        <v>151</v>
      </c>
      <c r="L48" s="333" t="s">
        <v>261</v>
      </c>
      <c r="M48" s="339" t="s">
        <v>403</v>
      </c>
      <c r="N48" s="337" t="s">
        <v>149</v>
      </c>
      <c r="O48" s="337"/>
      <c r="P48" s="339" t="s">
        <v>2803</v>
      </c>
      <c r="Q48" s="331">
        <v>40982</v>
      </c>
      <c r="R48" s="332">
        <v>40990</v>
      </c>
      <c r="S48" s="333" t="s">
        <v>2961</v>
      </c>
      <c r="T48" s="334" t="s">
        <v>1574</v>
      </c>
      <c r="U48" s="190" t="s">
        <v>2993</v>
      </c>
      <c r="V48" s="334">
        <v>40987</v>
      </c>
      <c r="W48" s="335"/>
      <c r="X48" s="97"/>
      <c r="Y48" s="167" t="str">
        <f ca="1">IF(Table17[[#This Row],[Required Resolution Date]]="","FALSE",IF($AA$1&gt;Table17[[#This Row],[Required Resolution Date]],"TRUE","FALSE"))</f>
        <v>FALSE</v>
      </c>
      <c r="Z48" s="4">
        <f t="shared" ca="1" si="0"/>
        <v>0</v>
      </c>
      <c r="AA48" s="97"/>
      <c r="AB48" s="175" t="b">
        <f>OR(Table17[[#This Row],[Priority]]="04. High",Table17[[#This Row],[Priority]]="05. Critical")</f>
        <v>1</v>
      </c>
      <c r="AC48" s="284">
        <f ca="1">$AA$1-Table17[[#This Row],[Date captured]]</f>
        <v>14</v>
      </c>
      <c r="AD48" s="175" t="b">
        <f t="shared" ca="1" si="1"/>
        <v>0</v>
      </c>
      <c r="AE48" s="175" t="b">
        <f t="shared" ca="1" si="2"/>
        <v>0</v>
      </c>
      <c r="AF48" s="175" t="b">
        <f t="shared" ca="1" si="3"/>
        <v>0</v>
      </c>
      <c r="AG48" s="284">
        <f ca="1">Table17[[#This Row],[Required Resolution Date]]-$AA$1</f>
        <v>0</v>
      </c>
      <c r="AH48" s="175" t="b">
        <f t="shared" ca="1" si="4"/>
        <v>0</v>
      </c>
      <c r="AI48" s="327" t="b">
        <f>OR(Table17[[#This Row],[Priority]]="04. High",Table17[[#This Row],[Priority]]="05. Critical",Table17[[#This Row],[Priority]]="03. Moderate")</f>
        <v>1</v>
      </c>
      <c r="AJ48" s="97"/>
      <c r="AK48" s="97"/>
      <c r="AL48" s="97"/>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c r="BM48" s="97"/>
      <c r="BN48" s="97"/>
      <c r="BO48" s="97"/>
      <c r="BP48" s="97"/>
      <c r="BQ48" s="97"/>
      <c r="BR48" s="97"/>
      <c r="BS48" s="97"/>
      <c r="BT48" s="97"/>
      <c r="BU48" s="97"/>
      <c r="BV48" s="97"/>
      <c r="BW48" s="97"/>
      <c r="BX48" s="97"/>
      <c r="BY48" s="97"/>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c r="DB48" s="97"/>
      <c r="DC48" s="97"/>
      <c r="DD48" s="97"/>
      <c r="DE48" s="97"/>
      <c r="DF48" s="97"/>
      <c r="DG48" s="97"/>
      <c r="DH48" s="97"/>
      <c r="DI48" s="97"/>
      <c r="DJ48" s="97"/>
      <c r="DK48" s="97"/>
      <c r="DL48" s="97"/>
      <c r="DM48" s="97"/>
      <c r="DN48" s="97"/>
      <c r="DO48" s="97"/>
      <c r="DP48" s="97"/>
      <c r="DQ48" s="97"/>
      <c r="DR48" s="97"/>
      <c r="DS48" s="97"/>
      <c r="DT48" s="97"/>
      <c r="DU48" s="97"/>
      <c r="DV48" s="97"/>
      <c r="DW48" s="97"/>
      <c r="DX48" s="97"/>
      <c r="DY48" s="97"/>
      <c r="DZ48" s="97"/>
      <c r="EA48" s="97"/>
      <c r="EB48" s="97"/>
      <c r="EC48" s="97"/>
      <c r="ED48" s="97"/>
      <c r="EE48" s="97"/>
      <c r="EF48" s="97"/>
      <c r="EG48" s="97"/>
      <c r="EH48" s="97"/>
      <c r="EI48" s="97"/>
      <c r="EJ48" s="97"/>
      <c r="EK48" s="97"/>
      <c r="EL48" s="97"/>
      <c r="EM48" s="97"/>
      <c r="EN48" s="97"/>
      <c r="EO48" s="97"/>
      <c r="EP48" s="97"/>
      <c r="EQ48" s="97"/>
      <c r="ER48" s="97"/>
      <c r="ES48" s="97"/>
      <c r="ET48" s="97"/>
      <c r="EU48" s="97"/>
      <c r="EV48" s="97"/>
      <c r="EW48" s="97"/>
      <c r="EX48" s="97"/>
      <c r="EY48" s="97"/>
      <c r="EZ48" s="97"/>
      <c r="FA48" s="97"/>
      <c r="FB48" s="97"/>
      <c r="FC48" s="97"/>
      <c r="FD48" s="97"/>
      <c r="FE48" s="97"/>
      <c r="FF48" s="97"/>
      <c r="FG48" s="97"/>
      <c r="FH48" s="97"/>
      <c r="FI48" s="97"/>
      <c r="FJ48" s="97"/>
      <c r="FK48" s="97"/>
    </row>
    <row r="49" spans="1:167" ht="182.25" customHeight="1">
      <c r="A49" s="338" t="s">
        <v>2745</v>
      </c>
      <c r="B49" s="329">
        <v>40980</v>
      </c>
      <c r="C49" s="326" t="s">
        <v>818</v>
      </c>
      <c r="D49" s="325" t="s">
        <v>15</v>
      </c>
      <c r="E49" s="326" t="s">
        <v>180</v>
      </c>
      <c r="F49" s="280" t="s">
        <v>2754</v>
      </c>
      <c r="G49" s="326" t="s">
        <v>690</v>
      </c>
      <c r="H49" s="326" t="s">
        <v>690</v>
      </c>
      <c r="I49" s="326" t="s">
        <v>690</v>
      </c>
      <c r="J49" s="326" t="s">
        <v>690</v>
      </c>
      <c r="K49" s="326" t="s">
        <v>1557</v>
      </c>
      <c r="L49" s="333" t="s">
        <v>818</v>
      </c>
      <c r="M49" s="339" t="s">
        <v>2782</v>
      </c>
      <c r="N49" s="337" t="s">
        <v>149</v>
      </c>
      <c r="O49" s="337"/>
      <c r="P49" s="339" t="s">
        <v>2781</v>
      </c>
      <c r="Q49" s="331">
        <v>41005</v>
      </c>
      <c r="R49" s="332">
        <v>41005</v>
      </c>
      <c r="S49" s="190" t="s">
        <v>2784</v>
      </c>
      <c r="T49" s="334" t="s">
        <v>1565</v>
      </c>
      <c r="U49" s="326"/>
      <c r="V49" s="334"/>
      <c r="W49" s="335"/>
      <c r="Y49" s="176" t="str">
        <f ca="1">IF(Table17[[#This Row],[Required Resolution Date]]="","FALSE",IF($AA$1&gt;Table17[[#This Row],[Required Resolution Date]],"TRUE","FALSE"))</f>
        <v>FALSE</v>
      </c>
      <c r="Z49" s="175">
        <f t="shared" ca="1" si="0"/>
        <v>0</v>
      </c>
      <c r="AB49" s="175" t="b">
        <f>OR(Table17[[#This Row],[Priority]]="04. High",Table17[[#This Row],[Priority]]="05. Critical")</f>
        <v>0</v>
      </c>
      <c r="AC49" s="284">
        <f ca="1">$AA$1-Table17[[#This Row],[Date captured]]</f>
        <v>10</v>
      </c>
      <c r="AD49" s="175" t="b">
        <f t="shared" ca="1" si="1"/>
        <v>0</v>
      </c>
      <c r="AE49" s="175" t="b">
        <f t="shared" ca="1" si="2"/>
        <v>0</v>
      </c>
      <c r="AF49" s="175" t="b">
        <f t="shared" ca="1" si="3"/>
        <v>0</v>
      </c>
      <c r="AG49" s="284">
        <f ca="1">Table17[[#This Row],[Required Resolution Date]]-$AA$1</f>
        <v>15</v>
      </c>
      <c r="AH49" s="175" t="b">
        <f t="shared" ca="1" si="4"/>
        <v>0</v>
      </c>
      <c r="AI49" s="327" t="b">
        <f>OR(Table17[[#This Row],[Priority]]="04. High",Table17[[#This Row],[Priority]]="05. Critical",Table17[[#This Row],[Priority]]="03. Moderate")</f>
        <v>1</v>
      </c>
    </row>
    <row r="50" spans="1:167" s="4" customFormat="1" ht="310.5">
      <c r="A50" s="174" t="s">
        <v>651</v>
      </c>
      <c r="B50" s="142">
        <v>40883</v>
      </c>
      <c r="C50" s="326" t="s">
        <v>1570</v>
      </c>
      <c r="D50" s="143" t="s">
        <v>15</v>
      </c>
      <c r="E50" s="143"/>
      <c r="F50" s="324" t="s">
        <v>821</v>
      </c>
      <c r="G50" s="326" t="s">
        <v>151</v>
      </c>
      <c r="H50" s="326" t="s">
        <v>151</v>
      </c>
      <c r="I50" s="326" t="s">
        <v>151</v>
      </c>
      <c r="J50" s="326" t="s">
        <v>151</v>
      </c>
      <c r="K50" s="326" t="s">
        <v>151</v>
      </c>
      <c r="L50" s="333" t="s">
        <v>1728</v>
      </c>
      <c r="M50" s="324" t="s">
        <v>567</v>
      </c>
      <c r="N50" s="324" t="s">
        <v>149</v>
      </c>
      <c r="O50" s="324"/>
      <c r="P50" s="324" t="s">
        <v>1729</v>
      </c>
      <c r="Q50" s="331">
        <v>40991</v>
      </c>
      <c r="R50" s="144">
        <v>40991</v>
      </c>
      <c r="S50" s="324" t="s">
        <v>2783</v>
      </c>
      <c r="T50" s="324" t="s">
        <v>1565</v>
      </c>
      <c r="U50" s="324"/>
      <c r="V50" s="143"/>
      <c r="W50" s="326"/>
      <c r="Y50" s="167" t="str">
        <f ca="1">IF(Table17[[#This Row],[Required Resolution Date]]="","FALSE",IF($AA$1&gt;Table17[[#This Row],[Required Resolution Date]],"TRUE","FALSE"))</f>
        <v>FALSE</v>
      </c>
      <c r="Z50" s="4">
        <f t="shared" ca="1" si="0"/>
        <v>0</v>
      </c>
      <c r="AB50" s="175" t="b">
        <f>OR(Table17[[#This Row],[Priority]]="04. High",Table17[[#This Row],[Priority]]="05. Critical")</f>
        <v>1</v>
      </c>
      <c r="AC50" s="284">
        <f ca="1">$AA$1-Table17[[#This Row],[Date captured]]</f>
        <v>107</v>
      </c>
      <c r="AD50" s="175" t="b">
        <f t="shared" ca="1" si="1"/>
        <v>0</v>
      </c>
      <c r="AE50" s="175" t="b">
        <f t="shared" ca="1" si="2"/>
        <v>1</v>
      </c>
      <c r="AF50" s="175" t="b">
        <f t="shared" ca="1" si="3"/>
        <v>0</v>
      </c>
      <c r="AG50" s="284">
        <f ca="1">Table17[[#This Row],[Required Resolution Date]]-$AA$1</f>
        <v>1</v>
      </c>
      <c r="AH50" s="175" t="b">
        <f t="shared" ca="1" si="4"/>
        <v>1</v>
      </c>
      <c r="AI50" s="327" t="b">
        <f>OR(Table17[[#This Row],[Priority]]="04. High",Table17[[#This Row],[Priority]]="05. Critical",Table17[[#This Row],[Priority]]="03. Moderate")</f>
        <v>1</v>
      </c>
    </row>
    <row r="51" spans="1:167" s="4" customFormat="1" ht="324">
      <c r="A51" s="174" t="s">
        <v>668</v>
      </c>
      <c r="B51" s="329">
        <v>40914</v>
      </c>
      <c r="C51" s="326" t="s">
        <v>1562</v>
      </c>
      <c r="D51" s="325" t="s">
        <v>15</v>
      </c>
      <c r="E51" s="326" t="s">
        <v>180</v>
      </c>
      <c r="F51" s="195" t="s">
        <v>2952</v>
      </c>
      <c r="G51" s="326" t="s">
        <v>679</v>
      </c>
      <c r="H51" s="326" t="s">
        <v>690</v>
      </c>
      <c r="I51" s="326" t="s">
        <v>151</v>
      </c>
      <c r="J51" s="326" t="s">
        <v>1563</v>
      </c>
      <c r="K51" s="326" t="s">
        <v>151</v>
      </c>
      <c r="L51" s="333" t="s">
        <v>1562</v>
      </c>
      <c r="M51" s="195" t="s">
        <v>1562</v>
      </c>
      <c r="N51" s="333" t="s">
        <v>149</v>
      </c>
      <c r="O51" s="333"/>
      <c r="P51" s="195" t="s">
        <v>2954</v>
      </c>
      <c r="Q51" s="331">
        <v>41004</v>
      </c>
      <c r="R51" s="331">
        <v>41004</v>
      </c>
      <c r="S51" s="190" t="s">
        <v>2953</v>
      </c>
      <c r="T51" s="326" t="s">
        <v>1564</v>
      </c>
      <c r="U51" s="326"/>
      <c r="V51" s="326"/>
      <c r="W51" s="326"/>
      <c r="Y51" s="167" t="str">
        <f ca="1">IF(Table17[[#This Row],[Required Resolution Date]]="","FALSE",IF($AA$1&gt;Table17[[#This Row],[Required Resolution Date]],"TRUE","FALSE"))</f>
        <v>FALSE</v>
      </c>
      <c r="Z51" s="4">
        <f t="shared" ca="1" si="0"/>
        <v>0</v>
      </c>
      <c r="AB51" s="175" t="b">
        <f>OR(Table17[[#This Row],[Priority]]="04. High",Table17[[#This Row],[Priority]]="05. Critical")</f>
        <v>1</v>
      </c>
      <c r="AC51" s="284">
        <f ca="1">$AA$1-Table17[[#This Row],[Date captured]]</f>
        <v>76</v>
      </c>
      <c r="AD51" s="175" t="b">
        <f t="shared" ca="1" si="1"/>
        <v>1</v>
      </c>
      <c r="AE51" s="175" t="b">
        <f t="shared" ca="1" si="2"/>
        <v>0</v>
      </c>
      <c r="AF51" s="175" t="b">
        <f t="shared" ca="1" si="3"/>
        <v>0</v>
      </c>
      <c r="AG51" s="284">
        <f ca="1">Table17[[#This Row],[Required Resolution Date]]-$AA$1</f>
        <v>14</v>
      </c>
      <c r="AH51" s="175" t="b">
        <f t="shared" ca="1" si="4"/>
        <v>0</v>
      </c>
      <c r="AI51" s="327" t="b">
        <f>OR(Table17[[#This Row],[Priority]]="04. High",Table17[[#This Row],[Priority]]="05. Critical",Table17[[#This Row],[Priority]]="03. Moderate")</f>
        <v>1</v>
      </c>
    </row>
    <row r="52" spans="1:167" ht="162">
      <c r="A52" s="177" t="s">
        <v>675</v>
      </c>
      <c r="B52" s="329">
        <v>40926</v>
      </c>
      <c r="C52" s="326" t="s">
        <v>1719</v>
      </c>
      <c r="D52" s="325" t="s">
        <v>15</v>
      </c>
      <c r="E52" s="326"/>
      <c r="F52" s="199" t="s">
        <v>1720</v>
      </c>
      <c r="G52" s="326"/>
      <c r="H52" s="326"/>
      <c r="I52" s="326"/>
      <c r="J52" s="326"/>
      <c r="K52" s="326" t="s">
        <v>151</v>
      </c>
      <c r="L52" s="333" t="s">
        <v>1721</v>
      </c>
      <c r="M52" s="333" t="s">
        <v>261</v>
      </c>
      <c r="N52" s="196" t="s">
        <v>149</v>
      </c>
      <c r="P52" s="189" t="s">
        <v>1722</v>
      </c>
      <c r="Q52" s="331">
        <v>40975</v>
      </c>
      <c r="R52" s="187">
        <v>40990</v>
      </c>
      <c r="S52" s="190" t="s">
        <v>2225</v>
      </c>
      <c r="T52" s="326" t="s">
        <v>1564</v>
      </c>
      <c r="U52" s="326"/>
      <c r="V52" s="326"/>
      <c r="W52" s="184"/>
      <c r="Y52" s="176" t="str">
        <f ca="1">IF(Table17[[#This Row],[Required Resolution Date]]="","FALSE",IF($AA$1&gt;Table17[[#This Row],[Required Resolution Date]],"TRUE","FALSE"))</f>
        <v>FALSE</v>
      </c>
      <c r="Z52" s="175">
        <f t="shared" ca="1" si="0"/>
        <v>0</v>
      </c>
      <c r="AB52" s="175" t="b">
        <f>OR(Table17[[#This Row],[Priority]]="04. High",Table17[[#This Row],[Priority]]="05. Critical")</f>
        <v>1</v>
      </c>
      <c r="AC52" s="284">
        <f ca="1">$AA$1-Table17[[#This Row],[Date captured]]</f>
        <v>64</v>
      </c>
      <c r="AD52" s="175" t="b">
        <f t="shared" ca="1" si="1"/>
        <v>1</v>
      </c>
      <c r="AE52" s="175" t="b">
        <f t="shared" ca="1" si="2"/>
        <v>0</v>
      </c>
      <c r="AF52" s="175" t="b">
        <f t="shared" ca="1" si="3"/>
        <v>0</v>
      </c>
      <c r="AG52" s="284">
        <f ca="1">Table17[[#This Row],[Required Resolution Date]]-$AA$1</f>
        <v>0</v>
      </c>
      <c r="AH52" s="175" t="b">
        <f t="shared" ca="1" si="4"/>
        <v>0</v>
      </c>
      <c r="AI52" s="327" t="b">
        <f>OR(Table17[[#This Row],[Priority]]="04. High",Table17[[#This Row],[Priority]]="05. Critical",Table17[[#This Row],[Priority]]="03. Moderate")</f>
        <v>1</v>
      </c>
    </row>
    <row r="53" spans="1:167" s="4" customFormat="1" ht="27" hidden="1">
      <c r="A53" s="338" t="s">
        <v>2416</v>
      </c>
      <c r="B53" s="329">
        <v>40976</v>
      </c>
      <c r="C53" s="141" t="s">
        <v>261</v>
      </c>
      <c r="D53" s="325" t="s">
        <v>676</v>
      </c>
      <c r="E53" s="141"/>
      <c r="F53" s="280" t="s">
        <v>2622</v>
      </c>
      <c r="G53" s="141" t="s">
        <v>151</v>
      </c>
      <c r="H53" s="141" t="s">
        <v>690</v>
      </c>
      <c r="I53" s="141" t="s">
        <v>151</v>
      </c>
      <c r="J53" s="141" t="s">
        <v>151</v>
      </c>
      <c r="K53" s="326" t="s">
        <v>151</v>
      </c>
      <c r="L53" s="333" t="s">
        <v>764</v>
      </c>
      <c r="M53" s="339" t="s">
        <v>2623</v>
      </c>
      <c r="N53" s="337" t="s">
        <v>150</v>
      </c>
      <c r="O53" s="337"/>
      <c r="P53" s="339"/>
      <c r="Q53" s="331"/>
      <c r="R53" s="332"/>
      <c r="S53" s="333" t="s">
        <v>2624</v>
      </c>
      <c r="T53" s="334" t="s">
        <v>1571</v>
      </c>
      <c r="U53" s="190" t="s">
        <v>2707</v>
      </c>
      <c r="V53" s="334">
        <v>40977</v>
      </c>
      <c r="W53" s="335"/>
      <c r="Y53" s="167" t="str">
        <f>IF(Table17[[#This Row],[Required Resolution Date]]="","FALSE",IF($AA$1&gt;Table17[[#This Row],[Required Resolution Date]],"TRUE","FALSE"))</f>
        <v>FALSE</v>
      </c>
      <c r="Z53" s="4">
        <f t="shared" si="0"/>
        <v>0</v>
      </c>
      <c r="AB53" s="175" t="b">
        <f>OR(Table17[[#This Row],[Priority]]="04. High",Table17[[#This Row],[Priority]]="05. Critical")</f>
        <v>1</v>
      </c>
      <c r="AC53" s="284">
        <f ca="1">$AA$1-Table17[[#This Row],[Date captured]]</f>
        <v>14</v>
      </c>
      <c r="AD53" s="175" t="b">
        <f t="shared" ca="1" si="1"/>
        <v>0</v>
      </c>
      <c r="AE53" s="175" t="b">
        <f t="shared" ca="1" si="2"/>
        <v>0</v>
      </c>
      <c r="AF53" s="175" t="b">
        <f t="shared" ca="1" si="3"/>
        <v>0</v>
      </c>
      <c r="AG53" s="284">
        <f ca="1">Table17[[#This Row],[Required Resolution Date]]-$AA$1</f>
        <v>-40990</v>
      </c>
      <c r="AH53" s="175" t="b">
        <f t="shared" ca="1" si="4"/>
        <v>0</v>
      </c>
      <c r="AI53" s="327" t="b">
        <f>OR(Table17[[#This Row],[Priority]]="04. High",Table17[[#This Row],[Priority]]="05. Critical",Table17[[#This Row],[Priority]]="03. Moderate")</f>
        <v>1</v>
      </c>
    </row>
    <row r="54" spans="1:167" ht="132" hidden="1">
      <c r="A54" s="130" t="s">
        <v>596</v>
      </c>
      <c r="B54" s="78">
        <v>40687</v>
      </c>
      <c r="C54" s="92"/>
      <c r="D54" s="71" t="s">
        <v>676</v>
      </c>
      <c r="E54" s="91"/>
      <c r="F54" s="71" t="s">
        <v>689</v>
      </c>
      <c r="G54" s="91"/>
      <c r="H54" s="91"/>
      <c r="I54" s="91"/>
      <c r="J54" s="91"/>
      <c r="K54" s="91" t="s">
        <v>1557</v>
      </c>
      <c r="L54" s="127"/>
      <c r="M54" s="71" t="s">
        <v>692</v>
      </c>
      <c r="N54" s="71" t="s">
        <v>149</v>
      </c>
      <c r="O54" s="71"/>
      <c r="P54" s="71"/>
      <c r="Q54" s="78">
        <v>40723</v>
      </c>
      <c r="R54" s="91">
        <v>40697</v>
      </c>
      <c r="S54" s="103" t="s">
        <v>695</v>
      </c>
      <c r="T54" s="103"/>
      <c r="U54" s="442" t="s">
        <v>3012</v>
      </c>
      <c r="V54" s="87">
        <v>40723</v>
      </c>
      <c r="W54" s="131"/>
      <c r="Y54" s="176" t="str">
        <f ca="1">IF(Table17[[#This Row],[Required Resolution Date]]="","FALSE",IF($AA$1&gt;Table17[[#This Row],[Required Resolution Date]],"TRUE","FALSE"))</f>
        <v>TRUE</v>
      </c>
      <c r="Z54" s="175">
        <f t="shared" ca="1" si="0"/>
        <v>1</v>
      </c>
      <c r="AB54" s="175" t="b">
        <f>OR(Table17[[#This Row],[Priority]]="04. High",Table17[[#This Row],[Priority]]="05. Critical")</f>
        <v>0</v>
      </c>
      <c r="AC54" s="284">
        <f ca="1">$AA$1-Table17[[#This Row],[Date captured]]</f>
        <v>303</v>
      </c>
      <c r="AD54" s="175" t="b">
        <f t="shared" ca="1" si="1"/>
        <v>0</v>
      </c>
      <c r="AE54" s="175" t="b">
        <f t="shared" ca="1" si="2"/>
        <v>0</v>
      </c>
      <c r="AF54" s="175" t="b">
        <f t="shared" ca="1" si="3"/>
        <v>1</v>
      </c>
      <c r="AG54" s="284">
        <f ca="1">Table17[[#This Row],[Required Resolution Date]]-$AA$1</f>
        <v>-293</v>
      </c>
      <c r="AH54" s="175" t="b">
        <f t="shared" ca="1" si="4"/>
        <v>0</v>
      </c>
      <c r="AI54" s="327" t="b">
        <f>OR(Table17[[#This Row],[Priority]]="04. High",Table17[[#This Row],[Priority]]="05. Critical",Table17[[#This Row],[Priority]]="03. Moderate")</f>
        <v>1</v>
      </c>
    </row>
    <row r="55" spans="1:167" ht="54" hidden="1">
      <c r="A55" s="338" t="s">
        <v>2914</v>
      </c>
      <c r="B55" s="329">
        <v>40980</v>
      </c>
      <c r="C55" s="326" t="s">
        <v>261</v>
      </c>
      <c r="D55" s="325" t="s">
        <v>676</v>
      </c>
      <c r="E55" s="326" t="s">
        <v>180</v>
      </c>
      <c r="F55" s="189" t="s">
        <v>2740</v>
      </c>
      <c r="G55" s="326" t="s">
        <v>151</v>
      </c>
      <c r="H55" s="326" t="s">
        <v>151</v>
      </c>
      <c r="I55" s="326" t="s">
        <v>151</v>
      </c>
      <c r="J55" s="326" t="s">
        <v>151</v>
      </c>
      <c r="K55" s="326" t="s">
        <v>151</v>
      </c>
      <c r="L55" s="333" t="s">
        <v>764</v>
      </c>
      <c r="M55" s="339" t="s">
        <v>461</v>
      </c>
      <c r="N55" s="337" t="s">
        <v>150</v>
      </c>
      <c r="O55" s="337"/>
      <c r="P55" s="339"/>
      <c r="Q55" s="331">
        <v>40980</v>
      </c>
      <c r="R55" s="332">
        <v>40982</v>
      </c>
      <c r="S55" s="333" t="s">
        <v>2764</v>
      </c>
      <c r="T55" s="334" t="s">
        <v>1571</v>
      </c>
      <c r="U55" s="190"/>
      <c r="V55" s="334">
        <v>40987</v>
      </c>
      <c r="W55" s="335"/>
      <c r="Y55" s="176" t="str">
        <f ca="1">IF(Table17[[#This Row],[Required Resolution Date]]="","FALSE",IF($AA$1&gt;Table17[[#This Row],[Required Resolution Date]],"TRUE","FALSE"))</f>
        <v>TRUE</v>
      </c>
      <c r="Z55" s="175">
        <f t="shared" ca="1" si="0"/>
        <v>1</v>
      </c>
      <c r="AB55" s="175" t="b">
        <f>OR(Table17[[#This Row],[Priority]]="04. High",Table17[[#This Row],[Priority]]="05. Critical")</f>
        <v>1</v>
      </c>
      <c r="AC55" s="284">
        <f ca="1">$AA$1-Table17[[#This Row],[Date captured]]</f>
        <v>10</v>
      </c>
      <c r="AD55" s="175" t="b">
        <f t="shared" ca="1" si="1"/>
        <v>0</v>
      </c>
      <c r="AE55" s="175" t="b">
        <f t="shared" ca="1" si="2"/>
        <v>0</v>
      </c>
      <c r="AF55" s="175" t="b">
        <f t="shared" ca="1" si="3"/>
        <v>0</v>
      </c>
      <c r="AG55" s="284">
        <f ca="1">Table17[[#This Row],[Required Resolution Date]]-$AA$1</f>
        <v>-8</v>
      </c>
      <c r="AH55" s="175" t="b">
        <f t="shared" ca="1" si="4"/>
        <v>0</v>
      </c>
      <c r="AI55" s="327" t="b">
        <f>OR(Table17[[#This Row],[Priority]]="04. High",Table17[[#This Row],[Priority]]="05. Critical",Table17[[#This Row],[Priority]]="03. Moderate")</f>
        <v>1</v>
      </c>
    </row>
    <row r="56" spans="1:167" s="98" customFormat="1" ht="40.5" hidden="1">
      <c r="A56" s="338" t="s">
        <v>2915</v>
      </c>
      <c r="B56" s="329">
        <v>40976</v>
      </c>
      <c r="C56" s="326" t="s">
        <v>261</v>
      </c>
      <c r="D56" s="325" t="s">
        <v>676</v>
      </c>
      <c r="E56" s="326"/>
      <c r="F56" s="189" t="s">
        <v>2625</v>
      </c>
      <c r="G56" s="326" t="s">
        <v>151</v>
      </c>
      <c r="H56" s="326" t="s">
        <v>151</v>
      </c>
      <c r="I56" s="326" t="s">
        <v>151</v>
      </c>
      <c r="J56" s="326" t="s">
        <v>151</v>
      </c>
      <c r="K56" s="326" t="s">
        <v>151</v>
      </c>
      <c r="L56" s="333" t="s">
        <v>261</v>
      </c>
      <c r="M56" s="339" t="s">
        <v>403</v>
      </c>
      <c r="N56" s="337" t="s">
        <v>150</v>
      </c>
      <c r="O56" s="337"/>
      <c r="P56" s="189"/>
      <c r="Q56" s="331"/>
      <c r="R56" s="332"/>
      <c r="S56" s="333" t="s">
        <v>2624</v>
      </c>
      <c r="T56" s="334" t="s">
        <v>1571</v>
      </c>
      <c r="U56" s="190" t="s">
        <v>2708</v>
      </c>
      <c r="V56" s="334">
        <v>40977</v>
      </c>
      <c r="W56" s="335"/>
      <c r="X56" s="97"/>
      <c r="Y56" s="167" t="str">
        <f>IF(Table17[[#This Row],[Required Resolution Date]]="","FALSE",IF($AA$1&gt;Table17[[#This Row],[Required Resolution Date]],"TRUE","FALSE"))</f>
        <v>FALSE</v>
      </c>
      <c r="Z56" s="4">
        <f t="shared" si="0"/>
        <v>0</v>
      </c>
      <c r="AA56" s="97"/>
      <c r="AB56" s="175" t="b">
        <f>OR(Table17[[#This Row],[Priority]]="04. High",Table17[[#This Row],[Priority]]="05. Critical")</f>
        <v>1</v>
      </c>
      <c r="AC56" s="284">
        <f ca="1">$AA$1-Table17[[#This Row],[Date captured]]</f>
        <v>14</v>
      </c>
      <c r="AD56" s="175" t="b">
        <f t="shared" ca="1" si="1"/>
        <v>0</v>
      </c>
      <c r="AE56" s="175" t="b">
        <f t="shared" ca="1" si="2"/>
        <v>0</v>
      </c>
      <c r="AF56" s="175" t="b">
        <f t="shared" ca="1" si="3"/>
        <v>0</v>
      </c>
      <c r="AG56" s="284">
        <f ca="1">Table17[[#This Row],[Required Resolution Date]]-$AA$1</f>
        <v>-40990</v>
      </c>
      <c r="AH56" s="175" t="b">
        <f t="shared" ca="1" si="4"/>
        <v>0</v>
      </c>
      <c r="AI56" s="327" t="b">
        <f>OR(Table17[[#This Row],[Priority]]="04. High",Table17[[#This Row],[Priority]]="05. Critical",Table17[[#This Row],[Priority]]="03. Moderate")</f>
        <v>1</v>
      </c>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7"/>
      <c r="BQ56" s="97"/>
      <c r="BR56" s="97"/>
      <c r="BS56" s="97"/>
      <c r="BT56" s="97"/>
      <c r="BU56" s="97"/>
      <c r="BV56" s="97"/>
      <c r="BW56" s="97"/>
      <c r="BX56" s="97"/>
      <c r="BY56" s="97"/>
      <c r="BZ56" s="97"/>
      <c r="CA56" s="97"/>
      <c r="CB56" s="97"/>
      <c r="CC56" s="97"/>
      <c r="CD56" s="97"/>
      <c r="CE56" s="97"/>
      <c r="CF56" s="97"/>
      <c r="CG56" s="97"/>
      <c r="CH56" s="97"/>
      <c r="CI56" s="97"/>
      <c r="CJ56" s="97"/>
      <c r="CK56" s="97"/>
      <c r="CL56" s="97"/>
      <c r="CM56" s="97"/>
      <c r="CN56" s="97"/>
      <c r="CO56" s="97"/>
      <c r="CP56" s="97"/>
      <c r="CQ56" s="97"/>
      <c r="CR56" s="97"/>
      <c r="CS56" s="97"/>
      <c r="CT56" s="97"/>
      <c r="CU56" s="97"/>
      <c r="CV56" s="97"/>
      <c r="CW56" s="97"/>
      <c r="CX56" s="97"/>
      <c r="CY56" s="97"/>
      <c r="CZ56" s="97"/>
      <c r="DA56" s="97"/>
      <c r="DB56" s="97"/>
      <c r="DC56" s="97"/>
      <c r="DD56" s="97"/>
      <c r="DE56" s="97"/>
      <c r="DF56" s="97"/>
      <c r="DG56" s="97"/>
      <c r="DH56" s="97"/>
      <c r="DI56" s="97"/>
      <c r="DJ56" s="97"/>
      <c r="DK56" s="97"/>
      <c r="DL56" s="97"/>
      <c r="DM56" s="97"/>
      <c r="DN56" s="97"/>
      <c r="DO56" s="97"/>
      <c r="DP56" s="97"/>
      <c r="DQ56" s="97"/>
      <c r="DR56" s="97"/>
      <c r="DS56" s="97"/>
      <c r="DT56" s="97"/>
      <c r="DU56" s="97"/>
      <c r="DV56" s="97"/>
      <c r="DW56" s="97"/>
      <c r="DX56" s="97"/>
      <c r="DY56" s="97"/>
      <c r="DZ56" s="97"/>
      <c r="EA56" s="97"/>
      <c r="EB56" s="97"/>
      <c r="EC56" s="97"/>
      <c r="ED56" s="97"/>
      <c r="EE56" s="97"/>
      <c r="EF56" s="97"/>
      <c r="EG56" s="97"/>
      <c r="EH56" s="97"/>
      <c r="EI56" s="97"/>
      <c r="EJ56" s="97"/>
      <c r="EK56" s="97"/>
      <c r="EL56" s="97"/>
      <c r="EM56" s="97"/>
      <c r="EN56" s="97"/>
      <c r="EO56" s="97"/>
      <c r="EP56" s="97"/>
      <c r="EQ56" s="97"/>
      <c r="ER56" s="97"/>
      <c r="ES56" s="97"/>
      <c r="ET56" s="97"/>
      <c r="EU56" s="97"/>
      <c r="EV56" s="97"/>
      <c r="EW56" s="97"/>
      <c r="EX56" s="97"/>
      <c r="EY56" s="97"/>
      <c r="EZ56" s="97"/>
      <c r="FA56" s="97"/>
      <c r="FB56" s="97"/>
      <c r="FC56" s="97"/>
      <c r="FD56" s="97"/>
      <c r="FE56" s="97"/>
      <c r="FF56" s="97"/>
      <c r="FG56" s="97"/>
      <c r="FH56" s="97"/>
      <c r="FI56" s="97"/>
      <c r="FJ56" s="97"/>
      <c r="FK56" s="97"/>
    </row>
    <row r="57" spans="1:167" ht="108" customHeight="1">
      <c r="A57" s="177" t="s">
        <v>840</v>
      </c>
      <c r="B57" s="329">
        <v>40926</v>
      </c>
      <c r="C57" s="326" t="s">
        <v>166</v>
      </c>
      <c r="D57" s="325" t="s">
        <v>15</v>
      </c>
      <c r="E57" s="326"/>
      <c r="F57" s="189" t="s">
        <v>1723</v>
      </c>
      <c r="G57" s="326" t="s">
        <v>151</v>
      </c>
      <c r="H57" s="326" t="s">
        <v>151</v>
      </c>
      <c r="I57" s="326" t="s">
        <v>1563</v>
      </c>
      <c r="J57" s="326" t="s">
        <v>1563</v>
      </c>
      <c r="K57" s="326" t="s">
        <v>152</v>
      </c>
      <c r="L57" s="333" t="s">
        <v>1763</v>
      </c>
      <c r="M57" s="189" t="s">
        <v>1764</v>
      </c>
      <c r="N57" s="196" t="s">
        <v>149</v>
      </c>
      <c r="P57" s="189" t="s">
        <v>1773</v>
      </c>
      <c r="Q57" s="331">
        <v>41004</v>
      </c>
      <c r="R57" s="187">
        <v>41004</v>
      </c>
      <c r="S57" s="190" t="s">
        <v>2940</v>
      </c>
      <c r="T57" s="326" t="s">
        <v>1564</v>
      </c>
      <c r="U57" s="326"/>
      <c r="V57" s="326"/>
      <c r="W57" s="184"/>
      <c r="Y57" s="176" t="str">
        <f ca="1">IF(Table17[[#This Row],[Required Resolution Date]]="","FALSE",IF($AA$1&gt;Table17[[#This Row],[Required Resolution Date]],"TRUE","FALSE"))</f>
        <v>FALSE</v>
      </c>
      <c r="Z57" s="175">
        <f t="shared" ca="1" si="0"/>
        <v>0</v>
      </c>
      <c r="AB57" s="175" t="b">
        <f>OR(Table17[[#This Row],[Priority]]="04. High",Table17[[#This Row],[Priority]]="05. Critical")</f>
        <v>1</v>
      </c>
      <c r="AC57" s="284">
        <f ca="1">$AA$1-Table17[[#This Row],[Date captured]]</f>
        <v>64</v>
      </c>
      <c r="AD57" s="175" t="b">
        <f t="shared" ca="1" si="1"/>
        <v>1</v>
      </c>
      <c r="AE57" s="175" t="b">
        <f t="shared" ca="1" si="2"/>
        <v>0</v>
      </c>
      <c r="AF57" s="175" t="b">
        <f t="shared" ca="1" si="3"/>
        <v>0</v>
      </c>
      <c r="AG57" s="284">
        <f ca="1">Table17[[#This Row],[Required Resolution Date]]-$AA$1</f>
        <v>14</v>
      </c>
      <c r="AH57" s="175" t="b">
        <f t="shared" ca="1" si="4"/>
        <v>0</v>
      </c>
      <c r="AI57" s="327" t="b">
        <f>OR(Table17[[#This Row],[Priority]]="04. High",Table17[[#This Row],[Priority]]="05. Critical",Table17[[#This Row],[Priority]]="03. Moderate")</f>
        <v>1</v>
      </c>
    </row>
    <row r="58" spans="1:167" ht="396">
      <c r="A58" s="338" t="s">
        <v>2204</v>
      </c>
      <c r="B58" s="329">
        <v>40961</v>
      </c>
      <c r="C58" s="190" t="s">
        <v>753</v>
      </c>
      <c r="D58" s="325" t="s">
        <v>15</v>
      </c>
      <c r="E58" s="326" t="s">
        <v>196</v>
      </c>
      <c r="F58" s="190" t="s">
        <v>2217</v>
      </c>
      <c r="G58" s="326" t="s">
        <v>151</v>
      </c>
      <c r="H58" s="326" t="s">
        <v>151</v>
      </c>
      <c r="I58" s="326" t="s">
        <v>151</v>
      </c>
      <c r="J58" s="326" t="s">
        <v>151</v>
      </c>
      <c r="K58" s="326" t="s">
        <v>151</v>
      </c>
      <c r="L58" s="333" t="s">
        <v>2214</v>
      </c>
      <c r="M58" s="333" t="s">
        <v>2214</v>
      </c>
      <c r="N58" s="337" t="s">
        <v>150</v>
      </c>
      <c r="O58" s="337"/>
      <c r="P58" s="339" t="s">
        <v>2215</v>
      </c>
      <c r="Q58" s="331">
        <v>40968</v>
      </c>
      <c r="R58" s="332">
        <v>40990</v>
      </c>
      <c r="S58" s="190" t="s">
        <v>2962</v>
      </c>
      <c r="T58" s="334" t="s">
        <v>1582</v>
      </c>
      <c r="U58" s="326"/>
      <c r="V58" s="334"/>
      <c r="W58" s="335"/>
      <c r="Y58" s="176" t="str">
        <f ca="1">IF(Table17[[#This Row],[Required Resolution Date]]="","FALSE",IF($AA$1&gt;Table17[[#This Row],[Required Resolution Date]],"TRUE","FALSE"))</f>
        <v>FALSE</v>
      </c>
      <c r="Z58" s="175">
        <f t="shared" ca="1" si="0"/>
        <v>0</v>
      </c>
      <c r="AB58" s="175" t="b">
        <f>OR(Table17[[#This Row],[Priority]]="04. High",Table17[[#This Row],[Priority]]="05. Critical")</f>
        <v>1</v>
      </c>
      <c r="AC58" s="284">
        <f ca="1">$AA$1-Table17[[#This Row],[Date captured]]</f>
        <v>29</v>
      </c>
      <c r="AD58" s="175" t="b">
        <f t="shared" ca="1" si="1"/>
        <v>0</v>
      </c>
      <c r="AE58" s="175" t="b">
        <f t="shared" ca="1" si="2"/>
        <v>0</v>
      </c>
      <c r="AF58" s="175" t="b">
        <f t="shared" ca="1" si="3"/>
        <v>0</v>
      </c>
      <c r="AG58" s="284">
        <f ca="1">Table17[[#This Row],[Required Resolution Date]]-$AA$1</f>
        <v>0</v>
      </c>
      <c r="AH58" s="175" t="b">
        <f t="shared" ca="1" si="4"/>
        <v>0</v>
      </c>
      <c r="AI58" s="327" t="b">
        <f>OR(Table17[[#This Row],[Priority]]="04. High",Table17[[#This Row],[Priority]]="05. Critical",Table17[[#This Row],[Priority]]="03. Moderate")</f>
        <v>1</v>
      </c>
    </row>
    <row r="59" spans="1:167" ht="117.75" customHeight="1">
      <c r="A59" s="338" t="s">
        <v>2211</v>
      </c>
      <c r="B59" s="329">
        <v>40973</v>
      </c>
      <c r="C59" s="326" t="s">
        <v>261</v>
      </c>
      <c r="D59" s="325" t="s">
        <v>15</v>
      </c>
      <c r="E59" s="326"/>
      <c r="F59" s="280" t="s">
        <v>2386</v>
      </c>
      <c r="G59" s="326" t="s">
        <v>151</v>
      </c>
      <c r="H59" s="326" t="s">
        <v>151</v>
      </c>
      <c r="I59" s="326" t="s">
        <v>690</v>
      </c>
      <c r="J59" s="326" t="s">
        <v>151</v>
      </c>
      <c r="K59" s="326" t="s">
        <v>151</v>
      </c>
      <c r="L59" s="333" t="s">
        <v>261</v>
      </c>
      <c r="M59" s="339" t="s">
        <v>2469</v>
      </c>
      <c r="N59" s="337" t="s">
        <v>150</v>
      </c>
      <c r="O59" s="337"/>
      <c r="P59" s="339" t="s">
        <v>2911</v>
      </c>
      <c r="Q59" s="331">
        <v>40991</v>
      </c>
      <c r="R59" s="332">
        <v>40990</v>
      </c>
      <c r="S59" s="190" t="s">
        <v>2896</v>
      </c>
      <c r="T59" s="334" t="s">
        <v>1564</v>
      </c>
      <c r="U59" s="326"/>
      <c r="V59" s="334"/>
      <c r="W59" s="335"/>
      <c r="Y59" s="176" t="str">
        <f ca="1">IF(Table17[[#This Row],[Required Resolution Date]]="","FALSE",IF($AA$1&gt;Table17[[#This Row],[Required Resolution Date]],"TRUE","FALSE"))</f>
        <v>FALSE</v>
      </c>
      <c r="Z59" s="175">
        <f t="shared" ca="1" si="0"/>
        <v>0</v>
      </c>
      <c r="AB59" s="175" t="b">
        <f>OR(Table17[[#This Row],[Priority]]="04. High",Table17[[#This Row],[Priority]]="05. Critical")</f>
        <v>1</v>
      </c>
      <c r="AC59" s="284">
        <f ca="1">$AA$1-Table17[[#This Row],[Date captured]]</f>
        <v>17</v>
      </c>
      <c r="AD59" s="175" t="b">
        <f t="shared" ca="1" si="1"/>
        <v>0</v>
      </c>
      <c r="AE59" s="175" t="b">
        <f t="shared" ca="1" si="2"/>
        <v>0</v>
      </c>
      <c r="AF59" s="175" t="b">
        <f t="shared" ca="1" si="3"/>
        <v>0</v>
      </c>
      <c r="AG59" s="284">
        <f ca="1">Table17[[#This Row],[Required Resolution Date]]-$AA$1</f>
        <v>0</v>
      </c>
      <c r="AH59" s="175" t="b">
        <f t="shared" ca="1" si="4"/>
        <v>0</v>
      </c>
      <c r="AI59" s="327" t="b">
        <f>OR(Table17[[#This Row],[Priority]]="04. High",Table17[[#This Row],[Priority]]="05. Critical",Table17[[#This Row],[Priority]]="03. Moderate")</f>
        <v>1</v>
      </c>
    </row>
    <row r="60" spans="1:167" ht="111" customHeight="1">
      <c r="A60" s="338" t="s">
        <v>2212</v>
      </c>
      <c r="B60" s="329">
        <v>40973</v>
      </c>
      <c r="C60" s="326" t="s">
        <v>261</v>
      </c>
      <c r="D60" s="325" t="s">
        <v>15</v>
      </c>
      <c r="E60" s="326"/>
      <c r="F60" s="280" t="s">
        <v>2387</v>
      </c>
      <c r="G60" s="326" t="s">
        <v>151</v>
      </c>
      <c r="H60" s="326" t="s">
        <v>151</v>
      </c>
      <c r="I60" s="326" t="s">
        <v>690</v>
      </c>
      <c r="J60" s="326" t="s">
        <v>151</v>
      </c>
      <c r="K60" s="326" t="s">
        <v>151</v>
      </c>
      <c r="L60" s="333" t="s">
        <v>261</v>
      </c>
      <c r="M60" s="339" t="s">
        <v>2469</v>
      </c>
      <c r="N60" s="337" t="s">
        <v>150</v>
      </c>
      <c r="O60" s="337"/>
      <c r="P60" s="339" t="s">
        <v>2492</v>
      </c>
      <c r="Q60" s="331">
        <v>40991</v>
      </c>
      <c r="R60" s="332">
        <v>40990</v>
      </c>
      <c r="S60" s="190" t="s">
        <v>2897</v>
      </c>
      <c r="T60" s="334" t="s">
        <v>1564</v>
      </c>
      <c r="U60" s="326"/>
      <c r="V60" s="334"/>
      <c r="W60" s="335"/>
      <c r="Y60" s="176" t="str">
        <f ca="1">IF(Table17[[#This Row],[Required Resolution Date]]="","FALSE",IF($AA$1&gt;Table17[[#This Row],[Required Resolution Date]],"TRUE","FALSE"))</f>
        <v>FALSE</v>
      </c>
      <c r="Z60" s="175">
        <f t="shared" ca="1" si="0"/>
        <v>0</v>
      </c>
      <c r="AB60" s="175" t="b">
        <f>OR(Table17[[#This Row],[Priority]]="04. High",Table17[[#This Row],[Priority]]="05. Critical")</f>
        <v>1</v>
      </c>
      <c r="AC60" s="284">
        <f ca="1">$AA$1-Table17[[#This Row],[Date captured]]</f>
        <v>17</v>
      </c>
      <c r="AD60" s="175" t="b">
        <f t="shared" ca="1" si="1"/>
        <v>0</v>
      </c>
      <c r="AE60" s="175" t="b">
        <f t="shared" ca="1" si="2"/>
        <v>0</v>
      </c>
      <c r="AF60" s="175" t="b">
        <f t="shared" ca="1" si="3"/>
        <v>0</v>
      </c>
      <c r="AG60" s="284">
        <f ca="1">Table17[[#This Row],[Required Resolution Date]]-$AA$1</f>
        <v>0</v>
      </c>
      <c r="AH60" s="175" t="b">
        <f t="shared" ca="1" si="4"/>
        <v>0</v>
      </c>
      <c r="AI60" s="327" t="b">
        <f>OR(Table17[[#This Row],[Priority]]="04. High",Table17[[#This Row],[Priority]]="05. Critical",Table17[[#This Row],[Priority]]="03. Moderate")</f>
        <v>1</v>
      </c>
    </row>
    <row r="61" spans="1:167" ht="75" customHeight="1">
      <c r="A61" s="338" t="s">
        <v>2213</v>
      </c>
      <c r="B61" s="329">
        <v>40973</v>
      </c>
      <c r="C61" s="326" t="s">
        <v>261</v>
      </c>
      <c r="D61" s="325" t="s">
        <v>15</v>
      </c>
      <c r="E61" s="326"/>
      <c r="F61" s="280" t="s">
        <v>2395</v>
      </c>
      <c r="G61" s="326" t="s">
        <v>151</v>
      </c>
      <c r="H61" s="326" t="s">
        <v>151</v>
      </c>
      <c r="I61" s="326" t="s">
        <v>151</v>
      </c>
      <c r="J61" s="326" t="s">
        <v>151</v>
      </c>
      <c r="K61" s="326" t="s">
        <v>151</v>
      </c>
      <c r="L61" s="333" t="s">
        <v>2468</v>
      </c>
      <c r="M61" s="339" t="s">
        <v>2490</v>
      </c>
      <c r="N61" s="337" t="s">
        <v>150</v>
      </c>
      <c r="O61" s="337"/>
      <c r="P61" s="330" t="s">
        <v>2491</v>
      </c>
      <c r="Q61" s="331">
        <v>41029</v>
      </c>
      <c r="R61" s="332">
        <v>41029</v>
      </c>
      <c r="S61" s="190" t="s">
        <v>2941</v>
      </c>
      <c r="T61" s="334" t="s">
        <v>1564</v>
      </c>
      <c r="U61" s="326"/>
      <c r="V61" s="334"/>
      <c r="W61" s="335"/>
      <c r="Y61" s="176" t="str">
        <f ca="1">IF(Table17[[#This Row],[Required Resolution Date]]="","FALSE",IF($AA$1&gt;Table17[[#This Row],[Required Resolution Date]],"TRUE","FALSE"))</f>
        <v>FALSE</v>
      </c>
      <c r="Z61" s="175">
        <f t="shared" ca="1" si="0"/>
        <v>0</v>
      </c>
      <c r="AB61" s="175" t="b">
        <f>OR(Table17[[#This Row],[Priority]]="04. High",Table17[[#This Row],[Priority]]="05. Critical")</f>
        <v>1</v>
      </c>
      <c r="AC61" s="284">
        <f ca="1">$AA$1-Table17[[#This Row],[Date captured]]</f>
        <v>17</v>
      </c>
      <c r="AD61" s="175" t="b">
        <f t="shared" ca="1" si="1"/>
        <v>0</v>
      </c>
      <c r="AE61" s="175" t="b">
        <f t="shared" ca="1" si="2"/>
        <v>0</v>
      </c>
      <c r="AF61" s="175" t="b">
        <f t="shared" ca="1" si="3"/>
        <v>0</v>
      </c>
      <c r="AG61" s="284">
        <f ca="1">Table17[[#This Row],[Required Resolution Date]]-$AA$1</f>
        <v>39</v>
      </c>
      <c r="AH61" s="175" t="b">
        <f t="shared" ca="1" si="4"/>
        <v>0</v>
      </c>
      <c r="AI61" s="327" t="b">
        <f>OR(Table17[[#This Row],[Priority]]="04. High",Table17[[#This Row],[Priority]]="05. Critical",Table17[[#This Row],[Priority]]="03. Moderate")</f>
        <v>1</v>
      </c>
    </row>
    <row r="62" spans="1:167" s="4" customFormat="1" ht="81.75" hidden="1" customHeight="1">
      <c r="A62" s="338" t="s">
        <v>2620</v>
      </c>
      <c r="B62" s="329">
        <v>40948</v>
      </c>
      <c r="C62" s="326" t="s">
        <v>261</v>
      </c>
      <c r="D62" s="325" t="s">
        <v>676</v>
      </c>
      <c r="E62" s="326" t="s">
        <v>2366</v>
      </c>
      <c r="F62" s="189" t="s">
        <v>2739</v>
      </c>
      <c r="G62" s="326" t="s">
        <v>151</v>
      </c>
      <c r="H62" s="326" t="s">
        <v>151</v>
      </c>
      <c r="I62" s="326" t="s">
        <v>151</v>
      </c>
      <c r="J62" s="326" t="s">
        <v>151</v>
      </c>
      <c r="K62" s="326" t="s">
        <v>151</v>
      </c>
      <c r="L62" s="333" t="s">
        <v>561</v>
      </c>
      <c r="M62" s="339" t="s">
        <v>461</v>
      </c>
      <c r="N62" s="337" t="s">
        <v>150</v>
      </c>
      <c r="O62" s="337"/>
      <c r="P62" s="407" t="s">
        <v>2621</v>
      </c>
      <c r="Q62" s="331">
        <v>40978</v>
      </c>
      <c r="R62" s="332">
        <v>40991</v>
      </c>
      <c r="S62" s="189" t="s">
        <v>2963</v>
      </c>
      <c r="T62" s="334" t="s">
        <v>1571</v>
      </c>
      <c r="U62" s="190" t="s">
        <v>3013</v>
      </c>
      <c r="V62" s="334">
        <v>40987</v>
      </c>
      <c r="W62" s="335"/>
      <c r="Y62" s="167" t="str">
        <f ca="1">IF(Table17[[#This Row],[Required Resolution Date]]="","FALSE",IF($AA$1&gt;Table17[[#This Row],[Required Resolution Date]],"TRUE","FALSE"))</f>
        <v>FALSE</v>
      </c>
      <c r="Z62" s="4">
        <f t="shared" ca="1" si="0"/>
        <v>0</v>
      </c>
      <c r="AB62" s="175" t="b">
        <f>OR(Table17[[#This Row],[Priority]]="04. High",Table17[[#This Row],[Priority]]="05. Critical")</f>
        <v>1</v>
      </c>
      <c r="AC62" s="284">
        <f ca="1">$AA$1-Table17[[#This Row],[Date captured]]</f>
        <v>42</v>
      </c>
      <c r="AD62" s="175" t="b">
        <f t="shared" ca="1" si="1"/>
        <v>1</v>
      </c>
      <c r="AE62" s="175" t="b">
        <f t="shared" ca="1" si="2"/>
        <v>0</v>
      </c>
      <c r="AF62" s="175" t="b">
        <f t="shared" ca="1" si="3"/>
        <v>0</v>
      </c>
      <c r="AG62" s="284">
        <f ca="1">Table17[[#This Row],[Required Resolution Date]]-$AA$1</f>
        <v>1</v>
      </c>
      <c r="AH62" s="175" t="b">
        <f t="shared" ca="1" si="4"/>
        <v>1</v>
      </c>
      <c r="AI62" s="327" t="b">
        <f>OR(Table17[[#This Row],[Priority]]="04. High",Table17[[#This Row],[Priority]]="05. Critical",Table17[[#This Row],[Priority]]="03. Moderate")</f>
        <v>1</v>
      </c>
    </row>
    <row r="63" spans="1:167" ht="81" hidden="1">
      <c r="A63" s="338" t="s">
        <v>2741</v>
      </c>
      <c r="B63" s="329">
        <v>40980</v>
      </c>
      <c r="C63" s="326" t="s">
        <v>261</v>
      </c>
      <c r="D63" s="325" t="s">
        <v>676</v>
      </c>
      <c r="E63" s="326" t="s">
        <v>180</v>
      </c>
      <c r="F63" s="280" t="s">
        <v>2742</v>
      </c>
      <c r="G63" s="326" t="s">
        <v>151</v>
      </c>
      <c r="H63" s="326" t="s">
        <v>151</v>
      </c>
      <c r="I63" s="326" t="s">
        <v>151</v>
      </c>
      <c r="J63" s="326" t="s">
        <v>151</v>
      </c>
      <c r="K63" s="326" t="s">
        <v>151</v>
      </c>
      <c r="L63" s="333" t="s">
        <v>261</v>
      </c>
      <c r="M63" s="339" t="s">
        <v>461</v>
      </c>
      <c r="N63" s="337" t="s">
        <v>150</v>
      </c>
      <c r="O63" s="337"/>
      <c r="P63" s="339"/>
      <c r="Q63" s="331">
        <v>40982</v>
      </c>
      <c r="R63" s="332">
        <v>40982</v>
      </c>
      <c r="S63" s="333" t="s">
        <v>2964</v>
      </c>
      <c r="T63" s="334" t="s">
        <v>1571</v>
      </c>
      <c r="U63" s="190" t="s">
        <v>3014</v>
      </c>
      <c r="V63" s="334">
        <v>40987</v>
      </c>
      <c r="W63" s="335"/>
      <c r="Y63" s="176" t="str">
        <f ca="1">IF(Table17[[#This Row],[Required Resolution Date]]="","FALSE",IF($AA$1&gt;Table17[[#This Row],[Required Resolution Date]],"TRUE","FALSE"))</f>
        <v>TRUE</v>
      </c>
      <c r="Z63" s="175">
        <f t="shared" ca="1" si="0"/>
        <v>1</v>
      </c>
      <c r="AB63" s="175" t="b">
        <f>OR(Table17[[#This Row],[Priority]]="04. High",Table17[[#This Row],[Priority]]="05. Critical")</f>
        <v>1</v>
      </c>
      <c r="AC63" s="284">
        <f ca="1">$AA$1-Table17[[#This Row],[Date captured]]</f>
        <v>10</v>
      </c>
      <c r="AD63" s="175" t="b">
        <f t="shared" ca="1" si="1"/>
        <v>0</v>
      </c>
      <c r="AE63" s="175" t="b">
        <f t="shared" ca="1" si="2"/>
        <v>0</v>
      </c>
      <c r="AF63" s="175" t="b">
        <f t="shared" ca="1" si="3"/>
        <v>0</v>
      </c>
      <c r="AG63" s="284">
        <f ca="1">Table17[[#This Row],[Required Resolution Date]]-$AA$1</f>
        <v>-8</v>
      </c>
      <c r="AH63" s="175" t="b">
        <f t="shared" ca="1" si="4"/>
        <v>0</v>
      </c>
      <c r="AI63" s="327" t="b">
        <f>OR(Table17[[#This Row],[Priority]]="04. High",Table17[[#This Row],[Priority]]="05. Critical",Table17[[#This Row],[Priority]]="03. Moderate")</f>
        <v>1</v>
      </c>
    </row>
    <row r="64" spans="1:167" s="140" customFormat="1" ht="129" hidden="1" customHeight="1">
      <c r="A64" s="174" t="s">
        <v>652</v>
      </c>
      <c r="B64" s="142">
        <v>40883</v>
      </c>
      <c r="C64" s="326" t="s">
        <v>1570</v>
      </c>
      <c r="D64" s="143" t="s">
        <v>676</v>
      </c>
      <c r="E64" s="143"/>
      <c r="F64" s="324" t="s">
        <v>2283</v>
      </c>
      <c r="G64" s="326" t="s">
        <v>151</v>
      </c>
      <c r="H64" s="326" t="s">
        <v>151</v>
      </c>
      <c r="I64" s="326" t="s">
        <v>151</v>
      </c>
      <c r="J64" s="326" t="s">
        <v>151</v>
      </c>
      <c r="K64" s="326" t="s">
        <v>151</v>
      </c>
      <c r="L64" s="333" t="s">
        <v>261</v>
      </c>
      <c r="M64" s="324" t="s">
        <v>724</v>
      </c>
      <c r="N64" s="324" t="s">
        <v>150</v>
      </c>
      <c r="O64" s="324"/>
      <c r="P64" s="324" t="s">
        <v>2510</v>
      </c>
      <c r="Q64" s="331">
        <v>40975</v>
      </c>
      <c r="R64" s="144">
        <v>40998</v>
      </c>
      <c r="S64" s="324" t="s">
        <v>2788</v>
      </c>
      <c r="T64" s="324" t="s">
        <v>1571</v>
      </c>
      <c r="U64" s="271" t="s">
        <v>2942</v>
      </c>
      <c r="V64" s="157">
        <v>40984</v>
      </c>
      <c r="W64" s="326"/>
      <c r="Y64" s="176" t="str">
        <f ca="1">IF(Table17[[#This Row],[Required Resolution Date]]="","FALSE",IF($AA$1&gt;Table17[[#This Row],[Required Resolution Date]],"TRUE","FALSE"))</f>
        <v>FALSE</v>
      </c>
      <c r="Z64" s="175">
        <f t="shared" ca="1" si="0"/>
        <v>0</v>
      </c>
      <c r="AB64" s="175" t="b">
        <f>OR(Table17[[#This Row],[Priority]]="04. High",Table17[[#This Row],[Priority]]="05. Critical")</f>
        <v>1</v>
      </c>
      <c r="AC64" s="284">
        <f ca="1">$AA$1-Table17[[#This Row],[Date captured]]</f>
        <v>107</v>
      </c>
      <c r="AD64" s="175" t="b">
        <f t="shared" ca="1" si="1"/>
        <v>0</v>
      </c>
      <c r="AE64" s="175" t="b">
        <f t="shared" ca="1" si="2"/>
        <v>1</v>
      </c>
      <c r="AF64" s="175" t="b">
        <f t="shared" ca="1" si="3"/>
        <v>0</v>
      </c>
      <c r="AG64" s="284">
        <f ca="1">Table17[[#This Row],[Required Resolution Date]]-$AA$1</f>
        <v>8</v>
      </c>
      <c r="AH64" s="175" t="b">
        <f t="shared" ca="1" si="4"/>
        <v>0</v>
      </c>
      <c r="AI64" s="327" t="b">
        <f>OR(Table17[[#This Row],[Priority]]="04. High",Table17[[#This Row],[Priority]]="05. Critical",Table17[[#This Row],[Priority]]="03. Moderate")</f>
        <v>1</v>
      </c>
    </row>
    <row r="65" spans="1:167" ht="229.5">
      <c r="A65" s="174" t="s">
        <v>661</v>
      </c>
      <c r="B65" s="145">
        <v>40889</v>
      </c>
      <c r="C65" s="326" t="s">
        <v>1570</v>
      </c>
      <c r="D65" s="325" t="s">
        <v>15</v>
      </c>
      <c r="E65" s="326"/>
      <c r="F65" s="146" t="s">
        <v>832</v>
      </c>
      <c r="G65" s="326" t="s">
        <v>690</v>
      </c>
      <c r="H65" s="326" t="s">
        <v>690</v>
      </c>
      <c r="I65" s="326" t="s">
        <v>690</v>
      </c>
      <c r="J65" s="326" t="s">
        <v>690</v>
      </c>
      <c r="K65" s="326" t="s">
        <v>1557</v>
      </c>
      <c r="L65" s="333" t="s">
        <v>261</v>
      </c>
      <c r="M65" s="146" t="s">
        <v>1689</v>
      </c>
      <c r="N65" s="146" t="s">
        <v>150</v>
      </c>
      <c r="O65" s="146"/>
      <c r="P65" s="195" t="s">
        <v>1941</v>
      </c>
      <c r="Q65" s="147">
        <v>40990</v>
      </c>
      <c r="R65" s="331">
        <v>41060</v>
      </c>
      <c r="S65" s="149" t="s">
        <v>2285</v>
      </c>
      <c r="T65" s="149" t="s">
        <v>1942</v>
      </c>
      <c r="U65" s="149"/>
      <c r="V65" s="150"/>
      <c r="W65" s="326"/>
      <c r="Y65" s="176" t="str">
        <f ca="1">IF(Table17[[#This Row],[Required Resolution Date]]="","FALSE",IF($AA$1&gt;Table17[[#This Row],[Required Resolution Date]],"TRUE","FALSE"))</f>
        <v>FALSE</v>
      </c>
      <c r="Z65" s="175">
        <f t="shared" ca="1" si="0"/>
        <v>0</v>
      </c>
      <c r="AB65" s="175" t="b">
        <f>OR(Table17[[#This Row],[Priority]]="04. High",Table17[[#This Row],[Priority]]="05. Critical")</f>
        <v>0</v>
      </c>
      <c r="AC65" s="284">
        <f ca="1">$AA$1-Table17[[#This Row],[Date captured]]</f>
        <v>101</v>
      </c>
      <c r="AD65" s="175" t="b">
        <f t="shared" ca="1" si="1"/>
        <v>0</v>
      </c>
      <c r="AE65" s="175" t="b">
        <f t="shared" ca="1" si="2"/>
        <v>1</v>
      </c>
      <c r="AF65" s="175" t="b">
        <f t="shared" ca="1" si="3"/>
        <v>0</v>
      </c>
      <c r="AG65" s="284">
        <f ca="1">Table17[[#This Row],[Required Resolution Date]]-$AA$1</f>
        <v>70</v>
      </c>
      <c r="AH65" s="175" t="b">
        <f t="shared" ca="1" si="4"/>
        <v>0</v>
      </c>
      <c r="AI65" s="327" t="b">
        <f>OR(Table17[[#This Row],[Priority]]="04. High",Table17[[#This Row],[Priority]]="05. Critical",Table17[[#This Row],[Priority]]="03. Moderate")</f>
        <v>1</v>
      </c>
    </row>
    <row r="66" spans="1:167" ht="162">
      <c r="A66" s="177" t="s">
        <v>674</v>
      </c>
      <c r="B66" s="329">
        <v>40925</v>
      </c>
      <c r="C66" s="326" t="s">
        <v>1570</v>
      </c>
      <c r="D66" s="325" t="s">
        <v>15</v>
      </c>
      <c r="E66" s="326"/>
      <c r="F66" s="189" t="s">
        <v>1688</v>
      </c>
      <c r="G66" s="326" t="s">
        <v>690</v>
      </c>
      <c r="H66" s="326" t="s">
        <v>690</v>
      </c>
      <c r="I66" s="326" t="s">
        <v>690</v>
      </c>
      <c r="J66" s="326" t="s">
        <v>690</v>
      </c>
      <c r="K66" s="326" t="s">
        <v>1557</v>
      </c>
      <c r="L66" s="333" t="s">
        <v>261</v>
      </c>
      <c r="M66" s="189" t="s">
        <v>261</v>
      </c>
      <c r="N66" s="196" t="s">
        <v>150</v>
      </c>
      <c r="P66" s="189"/>
      <c r="Q66" s="331">
        <v>40982</v>
      </c>
      <c r="R66" s="187">
        <v>40990</v>
      </c>
      <c r="S66" s="190" t="s">
        <v>2965</v>
      </c>
      <c r="T66" s="326"/>
      <c r="U66" s="326"/>
      <c r="V66" s="326"/>
      <c r="W66" s="184"/>
      <c r="Y66" s="176" t="str">
        <f ca="1">IF(Table17[[#This Row],[Required Resolution Date]]="","FALSE",IF($AA$1&gt;Table17[[#This Row],[Required Resolution Date]],"TRUE","FALSE"))</f>
        <v>FALSE</v>
      </c>
      <c r="Z66" s="175">
        <f t="shared" ca="1" si="0"/>
        <v>0</v>
      </c>
      <c r="AB66" s="175" t="b">
        <f>OR(Table17[[#This Row],[Priority]]="04. High",Table17[[#This Row],[Priority]]="05. Critical")</f>
        <v>0</v>
      </c>
      <c r="AC66" s="284">
        <f ca="1">$AA$1-Table17[[#This Row],[Date captured]]</f>
        <v>65</v>
      </c>
      <c r="AD66" s="175" t="b">
        <f t="shared" ca="1" si="1"/>
        <v>1</v>
      </c>
      <c r="AE66" s="175" t="b">
        <f t="shared" ca="1" si="2"/>
        <v>0</v>
      </c>
      <c r="AF66" s="175" t="b">
        <f t="shared" ca="1" si="3"/>
        <v>0</v>
      </c>
      <c r="AG66" s="284">
        <f ca="1">Table17[[#This Row],[Required Resolution Date]]-$AA$1</f>
        <v>0</v>
      </c>
      <c r="AH66" s="175" t="b">
        <f t="shared" ca="1" si="4"/>
        <v>0</v>
      </c>
      <c r="AI66" s="327" t="b">
        <f>OR(Table17[[#This Row],[Priority]]="04. High",Table17[[#This Row],[Priority]]="05. Critical",Table17[[#This Row],[Priority]]="03. Moderate")</f>
        <v>1</v>
      </c>
    </row>
    <row r="67" spans="1:167" s="140" customFormat="1" ht="98.25" hidden="1" customHeight="1">
      <c r="A67" s="3" t="s">
        <v>597</v>
      </c>
      <c r="B67" s="64">
        <v>40695</v>
      </c>
      <c r="C67" s="64"/>
      <c r="D67" s="56" t="s">
        <v>676</v>
      </c>
      <c r="E67" s="56"/>
      <c r="F67" s="56" t="s">
        <v>698</v>
      </c>
      <c r="G67" s="5"/>
      <c r="H67" s="5"/>
      <c r="I67" s="5"/>
      <c r="J67" s="5"/>
      <c r="K67" s="5" t="s">
        <v>1558</v>
      </c>
      <c r="L67" s="342"/>
      <c r="M67" s="56" t="s">
        <v>697</v>
      </c>
      <c r="N67" s="56" t="s">
        <v>150</v>
      </c>
      <c r="O67" s="56"/>
      <c r="P67" s="56"/>
      <c r="Q67" s="64">
        <v>40828</v>
      </c>
      <c r="R67" s="5">
        <v>40831</v>
      </c>
      <c r="S67" s="68" t="s">
        <v>696</v>
      </c>
      <c r="T67" s="5"/>
      <c r="U67" s="444" t="s">
        <v>3015</v>
      </c>
      <c r="V67" s="5">
        <v>40828</v>
      </c>
      <c r="W67" s="31"/>
      <c r="Y67" s="176" t="str">
        <f ca="1">IF(Table17[[#This Row],[Required Resolution Date]]="","FALSE",IF($AA$1&gt;Table17[[#This Row],[Required Resolution Date]],"TRUE","FALSE"))</f>
        <v>TRUE</v>
      </c>
      <c r="Z67" s="175">
        <f t="shared" ref="Z67:Z131" ca="1" si="5">IF(Y67="TRUE",1,0)</f>
        <v>1</v>
      </c>
      <c r="AB67" s="175" t="b">
        <f>OR(Table17[[#This Row],[Priority]]="04. High",Table17[[#This Row],[Priority]]="05. Critical")</f>
        <v>0</v>
      </c>
      <c r="AC67" s="284">
        <f ca="1">$AA$1-Table17[[#This Row],[Date captured]]</f>
        <v>295</v>
      </c>
      <c r="AD67" s="175" t="b">
        <f t="shared" ref="AD67:AD130" ca="1" si="6">IF(AC67&lt;30,FALSE,IF(AC67&gt;90,FALSE,TRUE))</f>
        <v>0</v>
      </c>
      <c r="AE67" s="175" t="b">
        <f t="shared" ref="AE67:AE126" ca="1" si="7">IF(AC67&lt;91,FALSE,IF(AC67&gt;180,FALSE,TRUE))</f>
        <v>0</v>
      </c>
      <c r="AF67" s="175" t="b">
        <f t="shared" ref="AF67:AF130" ca="1" si="8">IF(AC67&gt;180,TRUE,FALSE)</f>
        <v>1</v>
      </c>
      <c r="AG67" s="284">
        <f ca="1">Table17[[#This Row],[Required Resolution Date]]-$AA$1</f>
        <v>-159</v>
      </c>
      <c r="AH67" s="175" t="b">
        <f t="shared" ref="AH67:AH130" ca="1" si="9">IF(AG67&lt;1,FALSE,IF(AG67&gt;7,FALSE,TRUE))</f>
        <v>0</v>
      </c>
      <c r="AI67" s="327" t="b">
        <f>OR(Table17[[#This Row],[Priority]]="04. High",Table17[[#This Row],[Priority]]="05. Critical",Table17[[#This Row],[Priority]]="03. Moderate")</f>
        <v>0</v>
      </c>
    </row>
    <row r="68" spans="1:167" s="140" customFormat="1" ht="123.75" customHeight="1">
      <c r="A68" s="410" t="s">
        <v>1761</v>
      </c>
      <c r="B68" s="329">
        <v>40947</v>
      </c>
      <c r="C68" s="333" t="s">
        <v>1966</v>
      </c>
      <c r="D68" s="325" t="s">
        <v>15</v>
      </c>
      <c r="E68" s="326" t="s">
        <v>564</v>
      </c>
      <c r="F68" s="280" t="s">
        <v>1976</v>
      </c>
      <c r="G68" s="326" t="s">
        <v>690</v>
      </c>
      <c r="H68" s="326" t="s">
        <v>690</v>
      </c>
      <c r="I68" s="326" t="s">
        <v>690</v>
      </c>
      <c r="J68" s="326" t="s">
        <v>690</v>
      </c>
      <c r="K68" s="326" t="s">
        <v>151</v>
      </c>
      <c r="L68" s="333" t="s">
        <v>186</v>
      </c>
      <c r="M68" s="339" t="s">
        <v>186</v>
      </c>
      <c r="N68" s="337" t="s">
        <v>311</v>
      </c>
      <c r="O68" s="337"/>
      <c r="P68" s="339" t="s">
        <v>2734</v>
      </c>
      <c r="Q68" s="331">
        <v>40982</v>
      </c>
      <c r="R68" s="332">
        <v>41066</v>
      </c>
      <c r="S68" s="333" t="s">
        <v>2109</v>
      </c>
      <c r="T68" s="334" t="s">
        <v>1574</v>
      </c>
      <c r="U68" s="326"/>
      <c r="V68" s="334"/>
      <c r="W68" s="411"/>
      <c r="Y68" s="176"/>
      <c r="Z68" s="175"/>
      <c r="AB68" s="175" t="b">
        <f>OR(Table17[[#This Row],[Priority]]="04. High",Table17[[#This Row],[Priority]]="05. Critical")</f>
        <v>1</v>
      </c>
      <c r="AC68" s="284">
        <f ca="1">$AA$1-Table17[[#This Row],[Date captured]]</f>
        <v>43</v>
      </c>
      <c r="AD68" s="175" t="b">
        <f t="shared" ca="1" si="6"/>
        <v>1</v>
      </c>
      <c r="AE68" s="175" t="b">
        <f t="shared" ca="1" si="7"/>
        <v>0</v>
      </c>
      <c r="AF68" s="175" t="b">
        <f t="shared" ca="1" si="8"/>
        <v>0</v>
      </c>
      <c r="AG68" s="284">
        <f ca="1">Table17[[#This Row],[Required Resolution Date]]-$AA$1</f>
        <v>76</v>
      </c>
      <c r="AH68" s="175" t="b">
        <f t="shared" ca="1" si="9"/>
        <v>0</v>
      </c>
      <c r="AI68" s="327" t="b">
        <f>OR(Table17[[#This Row],[Priority]]="04. High",Table17[[#This Row],[Priority]]="05. Critical",Table17[[#This Row],[Priority]]="03. Moderate")</f>
        <v>1</v>
      </c>
    </row>
    <row r="69" spans="1:167" ht="84.75" hidden="1" customHeight="1">
      <c r="A69" s="130" t="s">
        <v>598</v>
      </c>
      <c r="B69" s="78">
        <v>40701</v>
      </c>
      <c r="C69" s="92"/>
      <c r="D69" s="71" t="s">
        <v>676</v>
      </c>
      <c r="E69" s="71"/>
      <c r="F69" s="71" t="s">
        <v>699</v>
      </c>
      <c r="G69" s="91"/>
      <c r="H69" s="91"/>
      <c r="I69" s="91"/>
      <c r="J69" s="91"/>
      <c r="K69" s="91" t="s">
        <v>152</v>
      </c>
      <c r="L69" s="127"/>
      <c r="M69" s="71" t="s">
        <v>166</v>
      </c>
      <c r="N69" s="71" t="s">
        <v>149</v>
      </c>
      <c r="O69" s="71"/>
      <c r="P69" s="71"/>
      <c r="Q69" s="78">
        <v>40723</v>
      </c>
      <c r="R69" s="91">
        <v>40723</v>
      </c>
      <c r="S69" s="103" t="s">
        <v>702</v>
      </c>
      <c r="T69" s="103"/>
      <c r="U69" s="442" t="s">
        <v>3016</v>
      </c>
      <c r="V69" s="87">
        <v>40723</v>
      </c>
      <c r="W69" s="131"/>
      <c r="Y69" s="176" t="str">
        <f ca="1">IF(Table17[[#This Row],[Required Resolution Date]]="","FALSE",IF($AA$1&gt;Table17[[#This Row],[Required Resolution Date]],"TRUE","FALSE"))</f>
        <v>TRUE</v>
      </c>
      <c r="Z69" s="175">
        <f t="shared" ca="1" si="5"/>
        <v>1</v>
      </c>
      <c r="AB69" s="175" t="b">
        <f>OR(Table17[[#This Row],[Priority]]="04. High",Table17[[#This Row],[Priority]]="05. Critical")</f>
        <v>1</v>
      </c>
      <c r="AC69" s="284">
        <f ca="1">$AA$1-Table17[[#This Row],[Date captured]]</f>
        <v>289</v>
      </c>
      <c r="AD69" s="175" t="b">
        <f t="shared" ca="1" si="6"/>
        <v>0</v>
      </c>
      <c r="AE69" s="175" t="b">
        <f t="shared" ca="1" si="7"/>
        <v>0</v>
      </c>
      <c r="AF69" s="175" t="b">
        <f t="shared" ca="1" si="8"/>
        <v>1</v>
      </c>
      <c r="AG69" s="284">
        <f ca="1">Table17[[#This Row],[Required Resolution Date]]-$AA$1</f>
        <v>-267</v>
      </c>
      <c r="AH69" s="175" t="b">
        <f t="shared" ca="1" si="9"/>
        <v>0</v>
      </c>
      <c r="AI69" s="327" t="b">
        <f>OR(Table17[[#This Row],[Priority]]="04. High",Table17[[#This Row],[Priority]]="05. Critical",Table17[[#This Row],[Priority]]="03. Moderate")</f>
        <v>1</v>
      </c>
    </row>
    <row r="70" spans="1:167" s="98" customFormat="1" ht="264" hidden="1">
      <c r="A70" s="3" t="s">
        <v>599</v>
      </c>
      <c r="B70" s="64">
        <v>40695</v>
      </c>
      <c r="C70" s="4"/>
      <c r="D70" s="56" t="s">
        <v>676</v>
      </c>
      <c r="E70" s="56"/>
      <c r="F70" s="56" t="s">
        <v>700</v>
      </c>
      <c r="G70" s="5"/>
      <c r="H70" s="5"/>
      <c r="I70" s="5"/>
      <c r="J70" s="5"/>
      <c r="K70" s="5" t="s">
        <v>152</v>
      </c>
      <c r="L70" s="429"/>
      <c r="M70" s="387" t="s">
        <v>701</v>
      </c>
      <c r="N70" s="387" t="s">
        <v>311</v>
      </c>
      <c r="O70" s="387"/>
      <c r="P70" s="387"/>
      <c r="Q70" s="405">
        <v>40786</v>
      </c>
      <c r="R70" s="432">
        <v>40724</v>
      </c>
      <c r="S70" s="433" t="s">
        <v>703</v>
      </c>
      <c r="T70" s="433"/>
      <c r="U70" s="445" t="s">
        <v>3017</v>
      </c>
      <c r="V70" s="434">
        <v>40786</v>
      </c>
      <c r="W70" s="31"/>
      <c r="X70" s="97"/>
      <c r="Y70" s="167" t="str">
        <f ca="1">IF(Table17[[#This Row],[Required Resolution Date]]="","FALSE",IF($AA$1&gt;Table17[[#This Row],[Required Resolution Date]],"TRUE","FALSE"))</f>
        <v>TRUE</v>
      </c>
      <c r="Z70" s="4">
        <f t="shared" ca="1" si="5"/>
        <v>1</v>
      </c>
      <c r="AA70" s="97"/>
      <c r="AB70" s="175" t="b">
        <f>OR(Table17[[#This Row],[Priority]]="04. High",Table17[[#This Row],[Priority]]="05. Critical")</f>
        <v>1</v>
      </c>
      <c r="AC70" s="284">
        <f ca="1">$AA$1-Table17[[#This Row],[Date captured]]</f>
        <v>295</v>
      </c>
      <c r="AD70" s="175" t="b">
        <f t="shared" ca="1" si="6"/>
        <v>0</v>
      </c>
      <c r="AE70" s="175" t="b">
        <f t="shared" ca="1" si="7"/>
        <v>0</v>
      </c>
      <c r="AF70" s="175" t="b">
        <f t="shared" ca="1" si="8"/>
        <v>1</v>
      </c>
      <c r="AG70" s="284">
        <f ca="1">Table17[[#This Row],[Required Resolution Date]]-$AA$1</f>
        <v>-266</v>
      </c>
      <c r="AH70" s="175" t="b">
        <f t="shared" ca="1" si="9"/>
        <v>0</v>
      </c>
      <c r="AI70" s="327" t="b">
        <f>OR(Table17[[#This Row],[Priority]]="04. High",Table17[[#This Row],[Priority]]="05. Critical",Table17[[#This Row],[Priority]]="03. Moderate")</f>
        <v>1</v>
      </c>
      <c r="AJ70" s="97"/>
      <c r="AK70" s="97"/>
      <c r="AL70" s="97"/>
      <c r="AM70" s="97"/>
      <c r="AN70" s="97"/>
      <c r="AO70" s="97"/>
      <c r="AP70" s="97"/>
      <c r="AQ70" s="97"/>
      <c r="AR70" s="97"/>
      <c r="AS70" s="97"/>
      <c r="AT70" s="97"/>
      <c r="AU70" s="97"/>
      <c r="AV70" s="97"/>
      <c r="AW70" s="97"/>
      <c r="AX70" s="97"/>
      <c r="AY70" s="97"/>
      <c r="AZ70" s="97"/>
      <c r="BA70" s="97"/>
      <c r="BB70" s="97"/>
      <c r="BC70" s="97"/>
      <c r="BD70" s="97"/>
      <c r="BE70" s="97"/>
      <c r="BF70" s="97"/>
      <c r="BG70" s="97"/>
      <c r="BH70" s="97"/>
      <c r="BI70" s="97"/>
      <c r="BJ70" s="97"/>
      <c r="BK70" s="97"/>
      <c r="BL70" s="97"/>
      <c r="BM70" s="97"/>
      <c r="BN70" s="97"/>
      <c r="BO70" s="97"/>
      <c r="BP70" s="97"/>
      <c r="BQ70" s="97"/>
      <c r="BR70" s="97"/>
      <c r="BS70" s="97"/>
      <c r="BT70" s="97"/>
      <c r="BU70" s="97"/>
      <c r="BV70" s="97"/>
      <c r="BW70" s="97"/>
      <c r="BX70" s="97"/>
      <c r="BY70" s="97"/>
      <c r="BZ70" s="97"/>
      <c r="CA70" s="97"/>
      <c r="CB70" s="97"/>
      <c r="CC70" s="97"/>
      <c r="CD70" s="97"/>
      <c r="CE70" s="97"/>
      <c r="CF70" s="97"/>
      <c r="CG70" s="97"/>
      <c r="CH70" s="97"/>
      <c r="CI70" s="97"/>
      <c r="CJ70" s="97"/>
      <c r="CK70" s="97"/>
      <c r="CL70" s="97"/>
      <c r="CM70" s="97"/>
      <c r="CN70" s="97"/>
      <c r="CO70" s="97"/>
      <c r="CP70" s="97"/>
      <c r="CQ70" s="97"/>
      <c r="CR70" s="97"/>
      <c r="CS70" s="97"/>
      <c r="CT70" s="97"/>
      <c r="CU70" s="97"/>
      <c r="CV70" s="97"/>
      <c r="CW70" s="97"/>
      <c r="CX70" s="97"/>
      <c r="CY70" s="97"/>
      <c r="CZ70" s="97"/>
      <c r="DA70" s="97"/>
      <c r="DB70" s="97"/>
      <c r="DC70" s="97"/>
      <c r="DD70" s="97"/>
      <c r="DE70" s="97"/>
      <c r="DF70" s="97"/>
      <c r="DG70" s="97"/>
      <c r="DH70" s="97"/>
      <c r="DI70" s="97"/>
      <c r="DJ70" s="97"/>
      <c r="DK70" s="97"/>
      <c r="DL70" s="97"/>
      <c r="DM70" s="97"/>
      <c r="DN70" s="97"/>
      <c r="DO70" s="97"/>
      <c r="DP70" s="97"/>
      <c r="DQ70" s="97"/>
      <c r="DR70" s="97"/>
      <c r="DS70" s="97"/>
      <c r="DT70" s="97"/>
      <c r="DU70" s="97"/>
      <c r="DV70" s="97"/>
      <c r="DW70" s="97"/>
      <c r="DX70" s="97"/>
      <c r="DY70" s="97"/>
      <c r="DZ70" s="97"/>
      <c r="EA70" s="97"/>
      <c r="EB70" s="97"/>
      <c r="EC70" s="97"/>
      <c r="ED70" s="97"/>
      <c r="EE70" s="97"/>
      <c r="EF70" s="97"/>
      <c r="EG70" s="97"/>
      <c r="EH70" s="97"/>
      <c r="EI70" s="97"/>
      <c r="EJ70" s="97"/>
      <c r="EK70" s="97"/>
      <c r="EL70" s="97"/>
      <c r="EM70" s="97"/>
      <c r="EN70" s="97"/>
      <c r="EO70" s="97"/>
      <c r="EP70" s="97"/>
      <c r="EQ70" s="97"/>
      <c r="ER70" s="97"/>
      <c r="ES70" s="97"/>
      <c r="ET70" s="97"/>
      <c r="EU70" s="97"/>
      <c r="EV70" s="97"/>
      <c r="EW70" s="97"/>
      <c r="EX70" s="97"/>
      <c r="EY70" s="97"/>
      <c r="EZ70" s="97"/>
      <c r="FA70" s="97"/>
      <c r="FB70" s="97"/>
      <c r="FC70" s="97"/>
      <c r="FD70" s="97"/>
      <c r="FE70" s="97"/>
      <c r="FF70" s="97"/>
      <c r="FG70" s="97"/>
      <c r="FH70" s="97"/>
      <c r="FI70" s="97"/>
      <c r="FJ70" s="97"/>
      <c r="FK70" s="97"/>
    </row>
    <row r="71" spans="1:167" ht="103.5" customHeight="1">
      <c r="A71" s="338" t="s">
        <v>1762</v>
      </c>
      <c r="B71" s="329">
        <v>40947</v>
      </c>
      <c r="C71" s="333" t="s">
        <v>1966</v>
      </c>
      <c r="D71" s="325" t="s">
        <v>15</v>
      </c>
      <c r="E71" s="326" t="s">
        <v>565</v>
      </c>
      <c r="F71" s="277" t="s">
        <v>1978</v>
      </c>
      <c r="G71" s="326" t="s">
        <v>679</v>
      </c>
      <c r="H71" s="326" t="s">
        <v>151</v>
      </c>
      <c r="I71" s="326" t="s">
        <v>151</v>
      </c>
      <c r="J71" s="326" t="s">
        <v>151</v>
      </c>
      <c r="K71" s="326" t="s">
        <v>152</v>
      </c>
      <c r="L71" s="323" t="s">
        <v>1679</v>
      </c>
      <c r="M71" s="323" t="s">
        <v>1768</v>
      </c>
      <c r="N71" s="337" t="s">
        <v>311</v>
      </c>
      <c r="O71" s="337"/>
      <c r="P71" s="339" t="s">
        <v>1769</v>
      </c>
      <c r="Q71" s="331">
        <v>41017</v>
      </c>
      <c r="R71" s="332">
        <v>41024</v>
      </c>
      <c r="S71" s="190" t="s">
        <v>2591</v>
      </c>
      <c r="T71" s="334" t="s">
        <v>1574</v>
      </c>
      <c r="U71" s="326"/>
      <c r="V71" s="334"/>
      <c r="W71" s="335"/>
      <c r="Y71" s="176" t="str">
        <f ca="1">IF(Table17[[#This Row],[Required Resolution Date]]="","FALSE",IF($AA$1&gt;Table17[[#This Row],[Required Resolution Date]],"TRUE","FALSE"))</f>
        <v>FALSE</v>
      </c>
      <c r="Z71" s="175">
        <f t="shared" ca="1" si="5"/>
        <v>0</v>
      </c>
      <c r="AB71" s="175" t="b">
        <f>OR(Table17[[#This Row],[Priority]]="04. High",Table17[[#This Row],[Priority]]="05. Critical")</f>
        <v>1</v>
      </c>
      <c r="AC71" s="284">
        <f ca="1">$AA$1-Table17[[#This Row],[Date captured]]</f>
        <v>43</v>
      </c>
      <c r="AD71" s="175" t="b">
        <f t="shared" ca="1" si="6"/>
        <v>1</v>
      </c>
      <c r="AE71" s="175" t="b">
        <f t="shared" ca="1" si="7"/>
        <v>0</v>
      </c>
      <c r="AF71" s="175" t="b">
        <f t="shared" ca="1" si="8"/>
        <v>0</v>
      </c>
      <c r="AG71" s="284">
        <f ca="1">Table17[[#This Row],[Required Resolution Date]]-$AA$1</f>
        <v>34</v>
      </c>
      <c r="AH71" s="175" t="b">
        <f t="shared" ca="1" si="9"/>
        <v>0</v>
      </c>
      <c r="AI71" s="327" t="b">
        <f>OR(Table17[[#This Row],[Priority]]="04. High",Table17[[#This Row],[Priority]]="05. Critical",Table17[[#This Row],[Priority]]="03. Moderate")</f>
        <v>1</v>
      </c>
    </row>
    <row r="72" spans="1:167" s="4" customFormat="1" ht="183.75" hidden="1" customHeight="1">
      <c r="A72" s="90" t="s">
        <v>32</v>
      </c>
      <c r="B72" s="64">
        <v>40619</v>
      </c>
      <c r="C72" s="91"/>
      <c r="D72" s="56" t="s">
        <v>676</v>
      </c>
      <c r="E72" s="91"/>
      <c r="F72" s="56" t="s">
        <v>704</v>
      </c>
      <c r="G72" s="91"/>
      <c r="H72" s="91"/>
      <c r="I72" s="91"/>
      <c r="J72" s="91"/>
      <c r="K72" s="91" t="s">
        <v>152</v>
      </c>
      <c r="L72" s="127"/>
      <c r="M72" s="56" t="s">
        <v>709</v>
      </c>
      <c r="N72" s="56" t="s">
        <v>149</v>
      </c>
      <c r="O72" s="56"/>
      <c r="P72" s="56"/>
      <c r="Q72" s="64">
        <v>40730</v>
      </c>
      <c r="R72" s="93">
        <v>40689</v>
      </c>
      <c r="S72" s="68" t="s">
        <v>711</v>
      </c>
      <c r="T72" s="68"/>
      <c r="U72" s="441" t="s">
        <v>3018</v>
      </c>
      <c r="V72" s="63">
        <v>40730</v>
      </c>
      <c r="W72" s="31"/>
      <c r="Y72" s="167" t="str">
        <f ca="1">IF(Table17[[#This Row],[Required Resolution Date]]="","FALSE",IF($AA$1&gt;Table17[[#This Row],[Required Resolution Date]],"TRUE","FALSE"))</f>
        <v>TRUE</v>
      </c>
      <c r="Z72" s="4">
        <f t="shared" ca="1" si="5"/>
        <v>1</v>
      </c>
      <c r="AB72" s="175" t="b">
        <f>OR(Table17[[#This Row],[Priority]]="04. High",Table17[[#This Row],[Priority]]="05. Critical")</f>
        <v>1</v>
      </c>
      <c r="AC72" s="284">
        <f ca="1">$AA$1-Table17[[#This Row],[Date captured]]</f>
        <v>371</v>
      </c>
      <c r="AD72" s="175" t="b">
        <f t="shared" ca="1" si="6"/>
        <v>0</v>
      </c>
      <c r="AE72" s="175" t="b">
        <f t="shared" ca="1" si="7"/>
        <v>0</v>
      </c>
      <c r="AF72" s="175" t="b">
        <f t="shared" ca="1" si="8"/>
        <v>1</v>
      </c>
      <c r="AG72" s="284">
        <f ca="1">Table17[[#This Row],[Required Resolution Date]]-$AA$1</f>
        <v>-301</v>
      </c>
      <c r="AH72" s="175" t="b">
        <f t="shared" ca="1" si="9"/>
        <v>0</v>
      </c>
      <c r="AI72" s="327" t="b">
        <f>OR(Table17[[#This Row],[Priority]]="04. High",Table17[[#This Row],[Priority]]="05. Critical",Table17[[#This Row],[Priority]]="03. Moderate")</f>
        <v>1</v>
      </c>
    </row>
    <row r="73" spans="1:167" ht="117.75" hidden="1" customHeight="1">
      <c r="A73" s="3" t="s">
        <v>601</v>
      </c>
      <c r="B73" s="64">
        <v>40751</v>
      </c>
      <c r="C73" s="4"/>
      <c r="D73" s="56" t="s">
        <v>676</v>
      </c>
      <c r="E73" s="5"/>
      <c r="F73" s="56" t="s">
        <v>705</v>
      </c>
      <c r="G73" s="5"/>
      <c r="H73" s="5"/>
      <c r="I73" s="5"/>
      <c r="J73" s="5"/>
      <c r="K73" s="5" t="s">
        <v>151</v>
      </c>
      <c r="L73" s="342"/>
      <c r="M73" s="56" t="s">
        <v>710</v>
      </c>
      <c r="N73" s="56" t="s">
        <v>311</v>
      </c>
      <c r="O73" s="56"/>
      <c r="P73" s="56"/>
      <c r="Q73" s="64">
        <v>40779</v>
      </c>
      <c r="R73" s="5">
        <v>40801</v>
      </c>
      <c r="S73" s="68" t="s">
        <v>712</v>
      </c>
      <c r="T73" s="68"/>
      <c r="U73" s="441" t="s">
        <v>3019</v>
      </c>
      <c r="V73" s="63">
        <v>40779</v>
      </c>
      <c r="W73" s="31"/>
      <c r="Y73" s="176" t="str">
        <f ca="1">IF(Table17[[#This Row],[Required Resolution Date]]="","FALSE",IF($AA$1&gt;Table17[[#This Row],[Required Resolution Date]],"TRUE","FALSE"))</f>
        <v>TRUE</v>
      </c>
      <c r="Z73" s="175">
        <f t="shared" ca="1" si="5"/>
        <v>1</v>
      </c>
      <c r="AB73" s="175" t="b">
        <f>OR(Table17[[#This Row],[Priority]]="04. High",Table17[[#This Row],[Priority]]="05. Critical")</f>
        <v>1</v>
      </c>
      <c r="AC73" s="284">
        <f ca="1">$AA$1-Table17[[#This Row],[Date captured]]</f>
        <v>239</v>
      </c>
      <c r="AD73" s="175" t="b">
        <f t="shared" ca="1" si="6"/>
        <v>0</v>
      </c>
      <c r="AE73" s="175" t="b">
        <f t="shared" ca="1" si="7"/>
        <v>0</v>
      </c>
      <c r="AF73" s="175" t="b">
        <f t="shared" ca="1" si="8"/>
        <v>1</v>
      </c>
      <c r="AG73" s="284">
        <f ca="1">Table17[[#This Row],[Required Resolution Date]]-$AA$1</f>
        <v>-189</v>
      </c>
      <c r="AH73" s="175" t="b">
        <f t="shared" ca="1" si="9"/>
        <v>0</v>
      </c>
      <c r="AI73" s="327" t="b">
        <f>OR(Table17[[#This Row],[Priority]]="04. High",Table17[[#This Row],[Priority]]="05. Critical",Table17[[#This Row],[Priority]]="03. Moderate")</f>
        <v>1</v>
      </c>
    </row>
    <row r="74" spans="1:167" s="4" customFormat="1" ht="324" hidden="1">
      <c r="A74" s="3" t="s">
        <v>602</v>
      </c>
      <c r="B74" s="78">
        <v>40757</v>
      </c>
      <c r="D74" s="71" t="s">
        <v>676</v>
      </c>
      <c r="E74" s="5"/>
      <c r="F74" s="71" t="s">
        <v>706</v>
      </c>
      <c r="G74" s="5"/>
      <c r="H74" s="5"/>
      <c r="I74" s="5"/>
      <c r="J74" s="5"/>
      <c r="K74" s="5" t="s">
        <v>151</v>
      </c>
      <c r="L74" s="342"/>
      <c r="M74" s="71" t="s">
        <v>186</v>
      </c>
      <c r="N74" s="71" t="s">
        <v>311</v>
      </c>
      <c r="O74" s="71"/>
      <c r="P74" s="71"/>
      <c r="Q74" s="66">
        <v>40884</v>
      </c>
      <c r="R74" s="5">
        <v>40891</v>
      </c>
      <c r="S74" s="103" t="s">
        <v>713</v>
      </c>
      <c r="T74" s="103"/>
      <c r="U74" s="442" t="s">
        <v>3020</v>
      </c>
      <c r="V74" s="87">
        <v>40896</v>
      </c>
      <c r="W74" s="31"/>
      <c r="Y74" s="167" t="str">
        <f ca="1">IF(Table17[[#This Row],[Required Resolution Date]]="","FALSE",IF($AA$1&gt;Table17[[#This Row],[Required Resolution Date]],"TRUE","FALSE"))</f>
        <v>TRUE</v>
      </c>
      <c r="Z74" s="4">
        <f t="shared" ca="1" si="5"/>
        <v>1</v>
      </c>
      <c r="AB74" s="175" t="b">
        <f>OR(Table17[[#This Row],[Priority]]="04. High",Table17[[#This Row],[Priority]]="05. Critical")</f>
        <v>1</v>
      </c>
      <c r="AC74" s="284">
        <f ca="1">$AA$1-Table17[[#This Row],[Date captured]]</f>
        <v>233</v>
      </c>
      <c r="AD74" s="175" t="b">
        <f t="shared" ca="1" si="6"/>
        <v>0</v>
      </c>
      <c r="AE74" s="175" t="b">
        <f t="shared" ca="1" si="7"/>
        <v>0</v>
      </c>
      <c r="AF74" s="175" t="b">
        <f t="shared" ca="1" si="8"/>
        <v>1</v>
      </c>
      <c r="AG74" s="284">
        <f ca="1">Table17[[#This Row],[Required Resolution Date]]-$AA$1</f>
        <v>-99</v>
      </c>
      <c r="AH74" s="175" t="b">
        <f t="shared" ca="1" si="9"/>
        <v>0</v>
      </c>
      <c r="AI74" s="327" t="b">
        <f>OR(Table17[[#This Row],[Priority]]="04. High",Table17[[#This Row],[Priority]]="05. Critical",Table17[[#This Row],[Priority]]="03. Moderate")</f>
        <v>1</v>
      </c>
    </row>
    <row r="75" spans="1:167" ht="360" hidden="1">
      <c r="A75" s="3" t="s">
        <v>603</v>
      </c>
      <c r="B75" s="64">
        <v>40758</v>
      </c>
      <c r="C75" s="4"/>
      <c r="D75" s="56" t="s">
        <v>676</v>
      </c>
      <c r="E75" s="5"/>
      <c r="F75" s="56" t="s">
        <v>714</v>
      </c>
      <c r="G75" s="5"/>
      <c r="H75" s="5"/>
      <c r="I75" s="5"/>
      <c r="J75" s="5"/>
      <c r="K75" s="5" t="s">
        <v>1557</v>
      </c>
      <c r="L75" s="342"/>
      <c r="M75" s="56" t="s">
        <v>523</v>
      </c>
      <c r="N75" s="56" t="s">
        <v>154</v>
      </c>
      <c r="O75" s="56"/>
      <c r="P75" s="56"/>
      <c r="Q75" s="64">
        <v>40849</v>
      </c>
      <c r="R75" s="78">
        <v>40865</v>
      </c>
      <c r="S75" s="68" t="s">
        <v>725</v>
      </c>
      <c r="T75" s="68"/>
      <c r="U75" s="441" t="s">
        <v>3021</v>
      </c>
      <c r="V75" s="63">
        <v>40858</v>
      </c>
      <c r="W75" s="31"/>
      <c r="Y75" s="176" t="str">
        <f ca="1">IF(Table17[[#This Row],[Required Resolution Date]]="","FALSE",IF($AA$1&gt;Table17[[#This Row],[Required Resolution Date]],"TRUE","FALSE"))</f>
        <v>TRUE</v>
      </c>
      <c r="Z75" s="175">
        <f t="shared" ca="1" si="5"/>
        <v>1</v>
      </c>
      <c r="AB75" s="175" t="b">
        <f>OR(Table17[[#This Row],[Priority]]="04. High",Table17[[#This Row],[Priority]]="05. Critical")</f>
        <v>0</v>
      </c>
      <c r="AC75" s="284">
        <f ca="1">$AA$1-Table17[[#This Row],[Date captured]]</f>
        <v>232</v>
      </c>
      <c r="AD75" s="175" t="b">
        <f t="shared" ca="1" si="6"/>
        <v>0</v>
      </c>
      <c r="AE75" s="175" t="b">
        <f t="shared" ca="1" si="7"/>
        <v>0</v>
      </c>
      <c r="AF75" s="175" t="b">
        <f t="shared" ca="1" si="8"/>
        <v>1</v>
      </c>
      <c r="AG75" s="284">
        <f ca="1">Table17[[#This Row],[Required Resolution Date]]-$AA$1</f>
        <v>-125</v>
      </c>
      <c r="AH75" s="175" t="b">
        <f t="shared" ca="1" si="9"/>
        <v>0</v>
      </c>
      <c r="AI75" s="327" t="b">
        <f>OR(Table17[[#This Row],[Priority]]="04. High",Table17[[#This Row],[Priority]]="05. Critical",Table17[[#This Row],[Priority]]="03. Moderate")</f>
        <v>1</v>
      </c>
    </row>
    <row r="76" spans="1:167" ht="72">
      <c r="A76" s="338" t="s">
        <v>2205</v>
      </c>
      <c r="B76" s="329">
        <v>40961</v>
      </c>
      <c r="C76" s="326" t="s">
        <v>2234</v>
      </c>
      <c r="D76" s="325" t="s">
        <v>15</v>
      </c>
      <c r="E76" s="326"/>
      <c r="F76" s="280" t="s">
        <v>2235</v>
      </c>
      <c r="G76" s="326" t="s">
        <v>151</v>
      </c>
      <c r="H76" s="326" t="s">
        <v>151</v>
      </c>
      <c r="I76" s="326" t="s">
        <v>151</v>
      </c>
      <c r="J76" s="326" t="s">
        <v>151</v>
      </c>
      <c r="K76" s="326" t="s">
        <v>151</v>
      </c>
      <c r="L76" s="326" t="s">
        <v>186</v>
      </c>
      <c r="M76" s="330" t="s">
        <v>2236</v>
      </c>
      <c r="N76" s="337" t="s">
        <v>311</v>
      </c>
      <c r="O76" s="337"/>
      <c r="P76" s="339" t="s">
        <v>2237</v>
      </c>
      <c r="Q76" s="331">
        <v>41010</v>
      </c>
      <c r="R76" s="332">
        <v>41017</v>
      </c>
      <c r="S76" s="333" t="s">
        <v>2804</v>
      </c>
      <c r="T76" s="334" t="s">
        <v>1574</v>
      </c>
      <c r="U76" s="326"/>
      <c r="V76" s="334"/>
      <c r="W76" s="335"/>
      <c r="Y76" s="176" t="str">
        <f ca="1">IF(Table17[[#This Row],[Required Resolution Date]]="","FALSE",IF($AA$1&gt;Table17[[#This Row],[Required Resolution Date]],"TRUE","FALSE"))</f>
        <v>FALSE</v>
      </c>
      <c r="Z76" s="175">
        <f t="shared" ca="1" si="5"/>
        <v>0</v>
      </c>
      <c r="AB76" s="175" t="b">
        <f>OR(Table17[[#This Row],[Priority]]="04. High",Table17[[#This Row],[Priority]]="05. Critical")</f>
        <v>1</v>
      </c>
      <c r="AC76" s="284">
        <f ca="1">$AA$1-Table17[[#This Row],[Date captured]]</f>
        <v>29</v>
      </c>
      <c r="AD76" s="175" t="b">
        <f t="shared" ca="1" si="6"/>
        <v>0</v>
      </c>
      <c r="AE76" s="175" t="b">
        <f t="shared" ca="1" si="7"/>
        <v>0</v>
      </c>
      <c r="AF76" s="175" t="b">
        <f t="shared" ca="1" si="8"/>
        <v>0</v>
      </c>
      <c r="AG76" s="284">
        <f ca="1">Table17[[#This Row],[Required Resolution Date]]-$AA$1</f>
        <v>27</v>
      </c>
      <c r="AH76" s="175" t="b">
        <f t="shared" ca="1" si="9"/>
        <v>0</v>
      </c>
      <c r="AI76" s="327" t="b">
        <f>OR(Table17[[#This Row],[Priority]]="04. High",Table17[[#This Row],[Priority]]="05. Critical",Table17[[#This Row],[Priority]]="03. Moderate")</f>
        <v>1</v>
      </c>
    </row>
    <row r="77" spans="1:167" s="4" customFormat="1" ht="213.75" hidden="1" customHeight="1">
      <c r="A77" s="3" t="s">
        <v>605</v>
      </c>
      <c r="B77" s="64">
        <v>40758</v>
      </c>
      <c r="D77" s="56" t="s">
        <v>676</v>
      </c>
      <c r="E77" s="5"/>
      <c r="F77" s="56" t="s">
        <v>715</v>
      </c>
      <c r="G77" s="5"/>
      <c r="H77" s="5"/>
      <c r="I77" s="5"/>
      <c r="J77" s="5"/>
      <c r="K77" s="5" t="s">
        <v>151</v>
      </c>
      <c r="L77" s="342"/>
      <c r="M77" s="56" t="s">
        <v>722</v>
      </c>
      <c r="N77" s="56" t="s">
        <v>311</v>
      </c>
      <c r="O77" s="56"/>
      <c r="P77" s="56"/>
      <c r="Q77" s="64">
        <v>40779</v>
      </c>
      <c r="R77" s="105">
        <v>40765</v>
      </c>
      <c r="S77" s="68" t="s">
        <v>726</v>
      </c>
      <c r="T77" s="68"/>
      <c r="U77" s="441" t="s">
        <v>3022</v>
      </c>
      <c r="V77" s="63">
        <v>40779</v>
      </c>
      <c r="W77" s="31"/>
      <c r="Y77" s="167" t="str">
        <f ca="1">IF(Table17[[#This Row],[Required Resolution Date]]="","FALSE",IF($AA$1&gt;Table17[[#This Row],[Required Resolution Date]],"TRUE","FALSE"))</f>
        <v>TRUE</v>
      </c>
      <c r="Z77" s="4">
        <f t="shared" ca="1" si="5"/>
        <v>1</v>
      </c>
      <c r="AB77" s="175" t="b">
        <f>OR(Table17[[#This Row],[Priority]]="04. High",Table17[[#This Row],[Priority]]="05. Critical")</f>
        <v>1</v>
      </c>
      <c r="AC77" s="284">
        <f ca="1">$AA$1-Table17[[#This Row],[Date captured]]</f>
        <v>232</v>
      </c>
      <c r="AD77" s="175" t="b">
        <f t="shared" ca="1" si="6"/>
        <v>0</v>
      </c>
      <c r="AE77" s="175" t="b">
        <f t="shared" ca="1" si="7"/>
        <v>0</v>
      </c>
      <c r="AF77" s="175" t="b">
        <f t="shared" ca="1" si="8"/>
        <v>1</v>
      </c>
      <c r="AG77" s="284">
        <f ca="1">Table17[[#This Row],[Required Resolution Date]]-$AA$1</f>
        <v>-225</v>
      </c>
      <c r="AH77" s="175" t="b">
        <f t="shared" ca="1" si="9"/>
        <v>0</v>
      </c>
      <c r="AI77" s="327" t="b">
        <f>OR(Table17[[#This Row],[Priority]]="04. High",Table17[[#This Row],[Priority]]="05. Critical",Table17[[#This Row],[Priority]]="03. Moderate")</f>
        <v>1</v>
      </c>
    </row>
    <row r="78" spans="1:167" s="98" customFormat="1" ht="144" hidden="1">
      <c r="A78" s="3" t="s">
        <v>606</v>
      </c>
      <c r="B78" s="78">
        <v>40758</v>
      </c>
      <c r="C78" s="4"/>
      <c r="D78" s="71" t="s">
        <v>676</v>
      </c>
      <c r="E78" s="5"/>
      <c r="F78" s="71" t="s">
        <v>716</v>
      </c>
      <c r="G78" s="5"/>
      <c r="H78" s="5"/>
      <c r="I78" s="5"/>
      <c r="J78" s="5"/>
      <c r="K78" s="5" t="s">
        <v>151</v>
      </c>
      <c r="L78" s="342"/>
      <c r="M78" s="71" t="s">
        <v>723</v>
      </c>
      <c r="N78" s="71" t="s">
        <v>311</v>
      </c>
      <c r="O78" s="71"/>
      <c r="P78" s="71"/>
      <c r="Q78" s="78">
        <v>40786</v>
      </c>
      <c r="R78" s="105">
        <v>40765</v>
      </c>
      <c r="S78" s="103" t="s">
        <v>727</v>
      </c>
      <c r="T78" s="103"/>
      <c r="U78" s="442" t="s">
        <v>3023</v>
      </c>
      <c r="V78" s="87">
        <v>40786</v>
      </c>
      <c r="W78" s="31"/>
      <c r="X78" s="97"/>
      <c r="Y78" s="167" t="str">
        <f ca="1">IF(Table17[[#This Row],[Required Resolution Date]]="","FALSE",IF($AA$1&gt;Table17[[#This Row],[Required Resolution Date]],"TRUE","FALSE"))</f>
        <v>TRUE</v>
      </c>
      <c r="Z78" s="4">
        <f t="shared" ca="1" si="5"/>
        <v>1</v>
      </c>
      <c r="AA78" s="97"/>
      <c r="AB78" s="175" t="b">
        <f>OR(Table17[[#This Row],[Priority]]="04. High",Table17[[#This Row],[Priority]]="05. Critical")</f>
        <v>1</v>
      </c>
      <c r="AC78" s="284">
        <f ca="1">$AA$1-Table17[[#This Row],[Date captured]]</f>
        <v>232</v>
      </c>
      <c r="AD78" s="175" t="b">
        <f t="shared" ca="1" si="6"/>
        <v>0</v>
      </c>
      <c r="AE78" s="175" t="b">
        <f t="shared" ca="1" si="7"/>
        <v>0</v>
      </c>
      <c r="AF78" s="175" t="b">
        <f t="shared" ca="1" si="8"/>
        <v>1</v>
      </c>
      <c r="AG78" s="284">
        <f ca="1">Table17[[#This Row],[Required Resolution Date]]-$AA$1</f>
        <v>-225</v>
      </c>
      <c r="AH78" s="175" t="b">
        <f t="shared" ca="1" si="9"/>
        <v>0</v>
      </c>
      <c r="AI78" s="327" t="b">
        <f>OR(Table17[[#This Row],[Priority]]="04. High",Table17[[#This Row],[Priority]]="05. Critical",Table17[[#This Row],[Priority]]="03. Moderate")</f>
        <v>1</v>
      </c>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c r="DE78" s="97"/>
      <c r="DF78" s="97"/>
      <c r="DG78" s="97"/>
      <c r="DH78" s="97"/>
      <c r="DI78" s="97"/>
      <c r="DJ78" s="97"/>
      <c r="DK78" s="97"/>
      <c r="DL78" s="97"/>
      <c r="DM78" s="97"/>
      <c r="DN78" s="97"/>
      <c r="DO78" s="97"/>
      <c r="DP78" s="97"/>
      <c r="DQ78" s="97"/>
      <c r="DR78" s="97"/>
      <c r="DS78" s="97"/>
      <c r="DT78" s="97"/>
      <c r="DU78" s="97"/>
      <c r="DV78" s="97"/>
      <c r="DW78" s="97"/>
      <c r="DX78" s="97"/>
      <c r="DY78" s="97"/>
      <c r="DZ78" s="97"/>
      <c r="EA78" s="97"/>
      <c r="EB78" s="97"/>
      <c r="EC78" s="97"/>
      <c r="ED78" s="97"/>
      <c r="EE78" s="97"/>
      <c r="EF78" s="97"/>
      <c r="EG78" s="97"/>
      <c r="EH78" s="97"/>
      <c r="EI78" s="97"/>
      <c r="EJ78" s="97"/>
      <c r="EK78" s="97"/>
      <c r="EL78" s="97"/>
      <c r="EM78" s="97"/>
      <c r="EN78" s="97"/>
      <c r="EO78" s="97"/>
      <c r="EP78" s="97"/>
      <c r="EQ78" s="97"/>
      <c r="ER78" s="97"/>
      <c r="ES78" s="97"/>
      <c r="ET78" s="97"/>
      <c r="EU78" s="97"/>
      <c r="EV78" s="97"/>
      <c r="EW78" s="97"/>
      <c r="EX78" s="97"/>
      <c r="EY78" s="97"/>
      <c r="EZ78" s="97"/>
      <c r="FA78" s="97"/>
      <c r="FB78" s="97"/>
      <c r="FC78" s="97"/>
      <c r="FD78" s="97"/>
      <c r="FE78" s="97"/>
      <c r="FF78" s="97"/>
      <c r="FG78" s="97"/>
      <c r="FH78" s="97"/>
      <c r="FI78" s="97"/>
      <c r="FJ78" s="97"/>
      <c r="FK78" s="97"/>
    </row>
    <row r="79" spans="1:167" s="98" customFormat="1" ht="60" hidden="1">
      <c r="A79" s="3" t="s">
        <v>607</v>
      </c>
      <c r="B79" s="64">
        <v>40764</v>
      </c>
      <c r="C79" s="4"/>
      <c r="D79" s="56" t="s">
        <v>676</v>
      </c>
      <c r="E79" s="5"/>
      <c r="F79" s="56" t="s">
        <v>717</v>
      </c>
      <c r="G79" s="5"/>
      <c r="H79" s="5"/>
      <c r="I79" s="5"/>
      <c r="J79" s="5"/>
      <c r="K79" s="5" t="s">
        <v>151</v>
      </c>
      <c r="L79" s="342"/>
      <c r="M79" s="56" t="s">
        <v>724</v>
      </c>
      <c r="N79" s="71" t="s">
        <v>150</v>
      </c>
      <c r="O79" s="71"/>
      <c r="P79" s="71"/>
      <c r="Q79" s="64">
        <v>40786</v>
      </c>
      <c r="R79" s="105">
        <v>40765</v>
      </c>
      <c r="S79" s="68" t="s">
        <v>728</v>
      </c>
      <c r="T79" s="68"/>
      <c r="U79" s="441" t="s">
        <v>3024</v>
      </c>
      <c r="V79" s="63">
        <v>40786</v>
      </c>
      <c r="W79" s="31"/>
      <c r="X79" s="97"/>
      <c r="Y79" s="167" t="str">
        <f ca="1">IF(Table17[[#This Row],[Required Resolution Date]]="","FALSE",IF($AA$1&gt;Table17[[#This Row],[Required Resolution Date]],"TRUE","FALSE"))</f>
        <v>TRUE</v>
      </c>
      <c r="Z79" s="4">
        <f t="shared" ca="1" si="5"/>
        <v>1</v>
      </c>
      <c r="AA79" s="97"/>
      <c r="AB79" s="175" t="b">
        <f>OR(Table17[[#This Row],[Priority]]="04. High",Table17[[#This Row],[Priority]]="05. Critical")</f>
        <v>1</v>
      </c>
      <c r="AC79" s="284">
        <f ca="1">$AA$1-Table17[[#This Row],[Date captured]]</f>
        <v>226</v>
      </c>
      <c r="AD79" s="175" t="b">
        <f t="shared" ca="1" si="6"/>
        <v>0</v>
      </c>
      <c r="AE79" s="175" t="b">
        <f t="shared" ca="1" si="7"/>
        <v>0</v>
      </c>
      <c r="AF79" s="175" t="b">
        <f t="shared" ca="1" si="8"/>
        <v>1</v>
      </c>
      <c r="AG79" s="284">
        <f ca="1">Table17[[#This Row],[Required Resolution Date]]-$AA$1</f>
        <v>-225</v>
      </c>
      <c r="AH79" s="175" t="b">
        <f t="shared" ca="1" si="9"/>
        <v>0</v>
      </c>
      <c r="AI79" s="327" t="b">
        <f>OR(Table17[[#This Row],[Priority]]="04. High",Table17[[#This Row],[Priority]]="05. Critical",Table17[[#This Row],[Priority]]="03. Moderate")</f>
        <v>1</v>
      </c>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c r="BM79" s="97"/>
      <c r="BN79" s="97"/>
      <c r="BO79" s="97"/>
      <c r="BP79" s="97"/>
      <c r="BQ79" s="97"/>
      <c r="BR79" s="97"/>
      <c r="BS79" s="97"/>
      <c r="BT79" s="97"/>
      <c r="BU79" s="97"/>
      <c r="BV79" s="97"/>
      <c r="BW79" s="97"/>
      <c r="BX79" s="97"/>
      <c r="BY79" s="97"/>
      <c r="BZ79" s="97"/>
      <c r="CA79" s="97"/>
      <c r="CB79" s="97"/>
      <c r="CC79" s="97"/>
      <c r="CD79" s="97"/>
      <c r="CE79" s="97"/>
      <c r="CF79" s="97"/>
      <c r="CG79" s="97"/>
      <c r="CH79" s="97"/>
      <c r="CI79" s="97"/>
      <c r="CJ79" s="97"/>
      <c r="CK79" s="97"/>
      <c r="CL79" s="97"/>
      <c r="CM79" s="97"/>
      <c r="CN79" s="97"/>
      <c r="CO79" s="97"/>
      <c r="CP79" s="97"/>
      <c r="CQ79" s="97"/>
      <c r="CR79" s="97"/>
      <c r="CS79" s="97"/>
      <c r="CT79" s="97"/>
      <c r="CU79" s="97"/>
      <c r="CV79" s="97"/>
      <c r="CW79" s="97"/>
      <c r="CX79" s="97"/>
      <c r="CY79" s="97"/>
      <c r="CZ79" s="97"/>
      <c r="DA79" s="97"/>
      <c r="DB79" s="97"/>
      <c r="DC79" s="97"/>
      <c r="DD79" s="97"/>
      <c r="DE79" s="97"/>
      <c r="DF79" s="97"/>
      <c r="DG79" s="97"/>
      <c r="DH79" s="97"/>
      <c r="DI79" s="97"/>
      <c r="DJ79" s="97"/>
      <c r="DK79" s="97"/>
      <c r="DL79" s="97"/>
      <c r="DM79" s="97"/>
      <c r="DN79" s="97"/>
      <c r="DO79" s="97"/>
      <c r="DP79" s="97"/>
      <c r="DQ79" s="97"/>
      <c r="DR79" s="97"/>
      <c r="DS79" s="97"/>
      <c r="DT79" s="97"/>
      <c r="DU79" s="97"/>
      <c r="DV79" s="97"/>
      <c r="DW79" s="97"/>
      <c r="DX79" s="97"/>
      <c r="DY79" s="97"/>
      <c r="DZ79" s="97"/>
      <c r="EA79" s="97"/>
      <c r="EB79" s="97"/>
      <c r="EC79" s="97"/>
      <c r="ED79" s="97"/>
      <c r="EE79" s="97"/>
      <c r="EF79" s="97"/>
      <c r="EG79" s="97"/>
      <c r="EH79" s="97"/>
      <c r="EI79" s="97"/>
      <c r="EJ79" s="97"/>
      <c r="EK79" s="97"/>
      <c r="EL79" s="97"/>
      <c r="EM79" s="97"/>
      <c r="EN79" s="97"/>
      <c r="EO79" s="97"/>
      <c r="EP79" s="97"/>
      <c r="EQ79" s="97"/>
      <c r="ER79" s="97"/>
      <c r="ES79" s="97"/>
      <c r="ET79" s="97"/>
      <c r="EU79" s="97"/>
      <c r="EV79" s="97"/>
      <c r="EW79" s="97"/>
      <c r="EX79" s="97"/>
      <c r="EY79" s="97"/>
      <c r="EZ79" s="97"/>
      <c r="FA79" s="97"/>
      <c r="FB79" s="97"/>
      <c r="FC79" s="97"/>
      <c r="FD79" s="97"/>
      <c r="FE79" s="97"/>
      <c r="FF79" s="97"/>
      <c r="FG79" s="97"/>
      <c r="FH79" s="97"/>
      <c r="FI79" s="97"/>
      <c r="FJ79" s="97"/>
      <c r="FK79" s="97"/>
    </row>
    <row r="80" spans="1:167" s="4" customFormat="1" ht="156" hidden="1" customHeight="1">
      <c r="A80" s="3" t="s">
        <v>608</v>
      </c>
      <c r="B80" s="78">
        <v>40764</v>
      </c>
      <c r="D80" s="71" t="s">
        <v>676</v>
      </c>
      <c r="E80" s="5"/>
      <c r="F80" s="71" t="s">
        <v>719</v>
      </c>
      <c r="G80" s="5"/>
      <c r="H80" s="5"/>
      <c r="I80" s="5"/>
      <c r="J80" s="5"/>
      <c r="K80" s="5" t="s">
        <v>152</v>
      </c>
      <c r="L80" s="342"/>
      <c r="M80" s="71" t="s">
        <v>724</v>
      </c>
      <c r="N80" s="71" t="s">
        <v>150</v>
      </c>
      <c r="O80" s="71"/>
      <c r="P80" s="71"/>
      <c r="Q80" s="104">
        <v>40884</v>
      </c>
      <c r="R80" s="106">
        <v>40869</v>
      </c>
      <c r="S80" s="103" t="s">
        <v>729</v>
      </c>
      <c r="T80" s="103"/>
      <c r="U80" s="442" t="s">
        <v>3025</v>
      </c>
      <c r="V80" s="87">
        <v>40884</v>
      </c>
      <c r="W80" s="31"/>
      <c r="Y80" s="167" t="str">
        <f ca="1">IF(Table17[[#This Row],[Required Resolution Date]]="","FALSE",IF($AA$1&gt;Table17[[#This Row],[Required Resolution Date]],"TRUE","FALSE"))</f>
        <v>TRUE</v>
      </c>
      <c r="Z80" s="4">
        <f t="shared" ca="1" si="5"/>
        <v>1</v>
      </c>
      <c r="AB80" s="175" t="b">
        <f>OR(Table17[[#This Row],[Priority]]="04. High",Table17[[#This Row],[Priority]]="05. Critical")</f>
        <v>1</v>
      </c>
      <c r="AC80" s="284">
        <f ca="1">$AA$1-Table17[[#This Row],[Date captured]]</f>
        <v>226</v>
      </c>
      <c r="AD80" s="175" t="b">
        <f t="shared" ca="1" si="6"/>
        <v>0</v>
      </c>
      <c r="AE80" s="175" t="b">
        <f t="shared" ca="1" si="7"/>
        <v>0</v>
      </c>
      <c r="AF80" s="175" t="b">
        <f t="shared" ca="1" si="8"/>
        <v>1</v>
      </c>
      <c r="AG80" s="284">
        <f ca="1">Table17[[#This Row],[Required Resolution Date]]-$AA$1</f>
        <v>-121</v>
      </c>
      <c r="AH80" s="175" t="b">
        <f t="shared" ca="1" si="9"/>
        <v>0</v>
      </c>
      <c r="AI80" s="327" t="b">
        <f>OR(Table17[[#This Row],[Priority]]="04. High",Table17[[#This Row],[Priority]]="05. Critical",Table17[[#This Row],[Priority]]="03. Moderate")</f>
        <v>1</v>
      </c>
    </row>
    <row r="81" spans="1:167" s="98" customFormat="1" ht="24" hidden="1">
      <c r="A81" s="3" t="s">
        <v>609</v>
      </c>
      <c r="B81" s="64">
        <v>40764</v>
      </c>
      <c r="C81" s="4"/>
      <c r="D81" s="4" t="s">
        <v>676</v>
      </c>
      <c r="E81" s="5"/>
      <c r="F81" s="56" t="s">
        <v>730</v>
      </c>
      <c r="G81" s="5"/>
      <c r="H81" s="5"/>
      <c r="I81" s="5"/>
      <c r="J81" s="5"/>
      <c r="K81" s="5" t="s">
        <v>1557</v>
      </c>
      <c r="L81" s="342"/>
      <c r="M81" s="56" t="s">
        <v>166</v>
      </c>
      <c r="N81" s="71" t="s">
        <v>150</v>
      </c>
      <c r="O81" s="71"/>
      <c r="P81" s="71"/>
      <c r="Q81" s="64">
        <v>40779</v>
      </c>
      <c r="R81" s="105">
        <v>40772</v>
      </c>
      <c r="S81" s="68" t="s">
        <v>734</v>
      </c>
      <c r="T81" s="68"/>
      <c r="U81" s="441" t="s">
        <v>3026</v>
      </c>
      <c r="V81" s="63">
        <v>40779</v>
      </c>
      <c r="W81" s="31"/>
      <c r="X81" s="97"/>
      <c r="Y81" s="167" t="str">
        <f ca="1">IF(Table17[[#This Row],[Required Resolution Date]]="","FALSE",IF($AA$1&gt;Table17[[#This Row],[Required Resolution Date]],"TRUE","FALSE"))</f>
        <v>TRUE</v>
      </c>
      <c r="Z81" s="4">
        <f t="shared" ca="1" si="5"/>
        <v>1</v>
      </c>
      <c r="AA81" s="97"/>
      <c r="AB81" s="175" t="b">
        <f>OR(Table17[[#This Row],[Priority]]="04. High",Table17[[#This Row],[Priority]]="05. Critical")</f>
        <v>0</v>
      </c>
      <c r="AC81" s="284">
        <f ca="1">$AA$1-Table17[[#This Row],[Date captured]]</f>
        <v>226</v>
      </c>
      <c r="AD81" s="175" t="b">
        <f t="shared" ca="1" si="6"/>
        <v>0</v>
      </c>
      <c r="AE81" s="175" t="b">
        <f t="shared" ca="1" si="7"/>
        <v>0</v>
      </c>
      <c r="AF81" s="175" t="b">
        <f t="shared" ca="1" si="8"/>
        <v>1</v>
      </c>
      <c r="AG81" s="284">
        <f ca="1">Table17[[#This Row],[Required Resolution Date]]-$AA$1</f>
        <v>-218</v>
      </c>
      <c r="AH81" s="175" t="b">
        <f t="shared" ca="1" si="9"/>
        <v>0</v>
      </c>
      <c r="AI81" s="327" t="b">
        <f>OR(Table17[[#This Row],[Priority]]="04. High",Table17[[#This Row],[Priority]]="05. Critical",Table17[[#This Row],[Priority]]="03. Moderate")</f>
        <v>1</v>
      </c>
      <c r="AJ81" s="97"/>
      <c r="AK81" s="97"/>
      <c r="AL81" s="97"/>
      <c r="AM81" s="97"/>
      <c r="AN81" s="97"/>
      <c r="AO81" s="97"/>
      <c r="AP81" s="97"/>
      <c r="AQ81" s="97"/>
      <c r="AR81" s="97"/>
      <c r="AS81" s="97"/>
      <c r="AT81" s="97"/>
      <c r="AU81" s="97"/>
      <c r="AV81" s="97"/>
      <c r="AW81" s="97"/>
      <c r="AX81" s="97"/>
      <c r="AY81" s="97"/>
      <c r="AZ81" s="97"/>
      <c r="BA81" s="97"/>
      <c r="BB81" s="97"/>
      <c r="BC81" s="97"/>
      <c r="BD81" s="97"/>
      <c r="BE81" s="97"/>
      <c r="BF81" s="97"/>
      <c r="BG81" s="97"/>
      <c r="BH81" s="97"/>
      <c r="BI81" s="97"/>
      <c r="BJ81" s="97"/>
      <c r="BK81" s="97"/>
      <c r="BL81" s="97"/>
      <c r="BM81" s="97"/>
      <c r="BN81" s="97"/>
      <c r="BO81" s="97"/>
      <c r="BP81" s="97"/>
      <c r="BQ81" s="97"/>
      <c r="BR81" s="97"/>
      <c r="BS81" s="97"/>
      <c r="BT81" s="97"/>
      <c r="BU81" s="97"/>
      <c r="BV81" s="97"/>
      <c r="BW81" s="97"/>
      <c r="BX81" s="97"/>
      <c r="BY81" s="97"/>
      <c r="BZ81" s="97"/>
      <c r="CA81" s="97"/>
      <c r="CB81" s="97"/>
      <c r="CC81" s="97"/>
      <c r="CD81" s="97"/>
      <c r="CE81" s="97"/>
      <c r="CF81" s="97"/>
      <c r="CG81" s="97"/>
      <c r="CH81" s="97"/>
      <c r="CI81" s="97"/>
      <c r="CJ81" s="97"/>
      <c r="CK81" s="97"/>
      <c r="CL81" s="97"/>
      <c r="CM81" s="97"/>
      <c r="CN81" s="97"/>
      <c r="CO81" s="97"/>
      <c r="CP81" s="97"/>
      <c r="CQ81" s="97"/>
      <c r="CR81" s="97"/>
      <c r="CS81" s="97"/>
      <c r="CT81" s="97"/>
      <c r="CU81" s="97"/>
      <c r="CV81" s="97"/>
      <c r="CW81" s="97"/>
      <c r="CX81" s="97"/>
      <c r="CY81" s="97"/>
      <c r="CZ81" s="97"/>
      <c r="DA81" s="97"/>
      <c r="DB81" s="97"/>
      <c r="DC81" s="97"/>
      <c r="DD81" s="97"/>
      <c r="DE81" s="97"/>
      <c r="DF81" s="97"/>
      <c r="DG81" s="97"/>
      <c r="DH81" s="97"/>
      <c r="DI81" s="97"/>
      <c r="DJ81" s="97"/>
      <c r="DK81" s="97"/>
      <c r="DL81" s="97"/>
      <c r="DM81" s="97"/>
      <c r="DN81" s="97"/>
      <c r="DO81" s="97"/>
      <c r="DP81" s="97"/>
      <c r="DQ81" s="97"/>
      <c r="DR81" s="97"/>
      <c r="DS81" s="97"/>
      <c r="DT81" s="97"/>
      <c r="DU81" s="97"/>
      <c r="DV81" s="97"/>
      <c r="DW81" s="97"/>
      <c r="DX81" s="97"/>
      <c r="DY81" s="97"/>
      <c r="DZ81" s="97"/>
      <c r="EA81" s="97"/>
      <c r="EB81" s="97"/>
      <c r="EC81" s="97"/>
      <c r="ED81" s="97"/>
      <c r="EE81" s="97"/>
      <c r="EF81" s="97"/>
      <c r="EG81" s="97"/>
      <c r="EH81" s="97"/>
      <c r="EI81" s="97"/>
      <c r="EJ81" s="97"/>
      <c r="EK81" s="97"/>
      <c r="EL81" s="97"/>
      <c r="EM81" s="97"/>
      <c r="EN81" s="97"/>
      <c r="EO81" s="97"/>
      <c r="EP81" s="97"/>
      <c r="EQ81" s="97"/>
      <c r="ER81" s="97"/>
      <c r="ES81" s="97"/>
      <c r="ET81" s="97"/>
      <c r="EU81" s="97"/>
      <c r="EV81" s="97"/>
      <c r="EW81" s="97"/>
      <c r="EX81" s="97"/>
      <c r="EY81" s="97"/>
      <c r="EZ81" s="97"/>
      <c r="FA81" s="97"/>
      <c r="FB81" s="97"/>
      <c r="FC81" s="97"/>
      <c r="FD81" s="97"/>
      <c r="FE81" s="97"/>
      <c r="FF81" s="97"/>
      <c r="FG81" s="97"/>
      <c r="FH81" s="97"/>
      <c r="FI81" s="97"/>
      <c r="FJ81" s="97"/>
      <c r="FK81" s="97"/>
    </row>
    <row r="82" spans="1:167" ht="360" hidden="1">
      <c r="A82" s="214" t="s">
        <v>610</v>
      </c>
      <c r="B82" s="388">
        <v>40765</v>
      </c>
      <c r="C82" s="4"/>
      <c r="D82" s="4" t="s">
        <v>676</v>
      </c>
      <c r="E82" s="5"/>
      <c r="F82" s="386" t="s">
        <v>732</v>
      </c>
      <c r="G82" s="5"/>
      <c r="H82" s="5"/>
      <c r="I82" s="5"/>
      <c r="J82" s="5"/>
      <c r="K82" s="5" t="s">
        <v>151</v>
      </c>
      <c r="L82" s="342"/>
      <c r="M82" s="71" t="s">
        <v>720</v>
      </c>
      <c r="N82" s="71" t="s">
        <v>311</v>
      </c>
      <c r="O82" s="71"/>
      <c r="P82" s="71"/>
      <c r="Q82" s="66">
        <v>40877</v>
      </c>
      <c r="R82" s="106">
        <v>40884</v>
      </c>
      <c r="S82" s="103" t="s">
        <v>735</v>
      </c>
      <c r="T82" s="103"/>
      <c r="U82" s="442" t="s">
        <v>3027</v>
      </c>
      <c r="V82" s="87">
        <v>40877</v>
      </c>
      <c r="W82" s="31"/>
      <c r="Y82" s="176" t="str">
        <f ca="1">IF(Table17[[#This Row],[Required Resolution Date]]="","FALSE",IF($AA$1&gt;Table17[[#This Row],[Required Resolution Date]],"TRUE","FALSE"))</f>
        <v>TRUE</v>
      </c>
      <c r="Z82" s="175">
        <f t="shared" ca="1" si="5"/>
        <v>1</v>
      </c>
      <c r="AB82" s="175" t="b">
        <f>OR(Table17[[#This Row],[Priority]]="04. High",Table17[[#This Row],[Priority]]="05. Critical")</f>
        <v>1</v>
      </c>
      <c r="AC82" s="284">
        <f ca="1">$AA$1-Table17[[#This Row],[Date captured]]</f>
        <v>225</v>
      </c>
      <c r="AD82" s="175" t="b">
        <f t="shared" ca="1" si="6"/>
        <v>0</v>
      </c>
      <c r="AE82" s="175" t="b">
        <f t="shared" ca="1" si="7"/>
        <v>0</v>
      </c>
      <c r="AF82" s="175" t="b">
        <f t="shared" ca="1" si="8"/>
        <v>1</v>
      </c>
      <c r="AG82" s="284">
        <f ca="1">Table17[[#This Row],[Required Resolution Date]]-$AA$1</f>
        <v>-106</v>
      </c>
      <c r="AH82" s="175" t="b">
        <f t="shared" ca="1" si="9"/>
        <v>0</v>
      </c>
      <c r="AI82" s="327" t="b">
        <f>OR(Table17[[#This Row],[Priority]]="04. High",Table17[[#This Row],[Priority]]="05. Critical",Table17[[#This Row],[Priority]]="03. Moderate")</f>
        <v>1</v>
      </c>
    </row>
    <row r="83" spans="1:167" ht="84" hidden="1">
      <c r="A83" s="90" t="s">
        <v>33</v>
      </c>
      <c r="B83" s="425">
        <v>40623</v>
      </c>
      <c r="C83" s="91"/>
      <c r="D83" s="92" t="s">
        <v>676</v>
      </c>
      <c r="E83" s="91"/>
      <c r="F83" s="427" t="s">
        <v>731</v>
      </c>
      <c r="G83" s="91"/>
      <c r="H83" s="91"/>
      <c r="I83" s="91"/>
      <c r="J83" s="91"/>
      <c r="K83" s="91" t="s">
        <v>152</v>
      </c>
      <c r="L83" s="127"/>
      <c r="M83" s="95" t="s">
        <v>166</v>
      </c>
      <c r="N83" s="95" t="s">
        <v>149</v>
      </c>
      <c r="O83" s="95"/>
      <c r="P83" s="95"/>
      <c r="Q83" s="94">
        <v>40674</v>
      </c>
      <c r="R83" s="105">
        <v>40708</v>
      </c>
      <c r="S83" s="96" t="s">
        <v>736</v>
      </c>
      <c r="T83" s="96"/>
      <c r="U83" s="446" t="s">
        <v>3028</v>
      </c>
      <c r="V83" s="99">
        <v>40674</v>
      </c>
      <c r="W83" s="31"/>
      <c r="Y83" s="176" t="str">
        <f ca="1">IF(Table17[[#This Row],[Required Resolution Date]]="","FALSE",IF($AA$1&gt;Table17[[#This Row],[Required Resolution Date]],"TRUE","FALSE"))</f>
        <v>TRUE</v>
      </c>
      <c r="Z83" s="175">
        <f t="shared" ca="1" si="5"/>
        <v>1</v>
      </c>
      <c r="AB83" s="175" t="b">
        <f>OR(Table17[[#This Row],[Priority]]="04. High",Table17[[#This Row],[Priority]]="05. Critical")</f>
        <v>1</v>
      </c>
      <c r="AC83" s="284">
        <f ca="1">$AA$1-Table17[[#This Row],[Date captured]]</f>
        <v>367</v>
      </c>
      <c r="AD83" s="175" t="b">
        <f t="shared" ca="1" si="6"/>
        <v>0</v>
      </c>
      <c r="AE83" s="175" t="b">
        <f t="shared" ca="1" si="7"/>
        <v>0</v>
      </c>
      <c r="AF83" s="175" t="b">
        <f t="shared" ca="1" si="8"/>
        <v>1</v>
      </c>
      <c r="AG83" s="284">
        <f ca="1">Table17[[#This Row],[Required Resolution Date]]-$AA$1</f>
        <v>-282</v>
      </c>
      <c r="AH83" s="175" t="b">
        <f t="shared" ca="1" si="9"/>
        <v>0</v>
      </c>
      <c r="AI83" s="327" t="b">
        <f>OR(Table17[[#This Row],[Priority]]="04. High",Table17[[#This Row],[Priority]]="05. Critical",Table17[[#This Row],[Priority]]="03. Moderate")</f>
        <v>1</v>
      </c>
    </row>
    <row r="84" spans="1:167" ht="364.5" hidden="1">
      <c r="A84" s="174" t="s">
        <v>611</v>
      </c>
      <c r="B84" s="426">
        <v>40772</v>
      </c>
      <c r="C84" s="325"/>
      <c r="D84" s="325" t="s">
        <v>676</v>
      </c>
      <c r="E84" s="326"/>
      <c r="F84" s="398" t="s">
        <v>733</v>
      </c>
      <c r="G84" s="326" t="s">
        <v>679</v>
      </c>
      <c r="H84" s="326" t="s">
        <v>679</v>
      </c>
      <c r="I84" s="326" t="s">
        <v>679</v>
      </c>
      <c r="J84" s="326" t="s">
        <v>151</v>
      </c>
      <c r="K84" s="184" t="s">
        <v>151</v>
      </c>
      <c r="L84" s="196" t="s">
        <v>737</v>
      </c>
      <c r="M84" s="324" t="s">
        <v>737</v>
      </c>
      <c r="N84" s="324" t="s">
        <v>150</v>
      </c>
      <c r="O84" s="324"/>
      <c r="P84" s="324"/>
      <c r="Q84" s="147">
        <v>40954</v>
      </c>
      <c r="R84" s="153">
        <v>40637</v>
      </c>
      <c r="S84" s="152" t="s">
        <v>1731</v>
      </c>
      <c r="T84" s="152"/>
      <c r="U84" s="443" t="s">
        <v>3029</v>
      </c>
      <c r="V84" s="150">
        <v>40933</v>
      </c>
      <c r="W84" s="326"/>
      <c r="Y84" s="176" t="str">
        <f ca="1">IF(Table17[[#This Row],[Required Resolution Date]]="","FALSE",IF($AA$1&gt;Table17[[#This Row],[Required Resolution Date]],"TRUE","FALSE"))</f>
        <v>TRUE</v>
      </c>
      <c r="Z84" s="175">
        <f t="shared" ca="1" si="5"/>
        <v>1</v>
      </c>
      <c r="AB84" s="175" t="b">
        <f>OR(Table17[[#This Row],[Priority]]="04. High",Table17[[#This Row],[Priority]]="05. Critical")</f>
        <v>1</v>
      </c>
      <c r="AC84" s="284">
        <f ca="1">$AA$1-Table17[[#This Row],[Date captured]]</f>
        <v>218</v>
      </c>
      <c r="AD84" s="175" t="b">
        <f t="shared" ca="1" si="6"/>
        <v>0</v>
      </c>
      <c r="AE84" s="175" t="b">
        <f t="shared" ca="1" si="7"/>
        <v>0</v>
      </c>
      <c r="AF84" s="175" t="b">
        <f t="shared" ca="1" si="8"/>
        <v>1</v>
      </c>
      <c r="AG84" s="284">
        <f ca="1">Table17[[#This Row],[Required Resolution Date]]-$AA$1</f>
        <v>-353</v>
      </c>
      <c r="AH84" s="175" t="b">
        <f t="shared" ca="1" si="9"/>
        <v>0</v>
      </c>
      <c r="AI84" s="327" t="b">
        <f>OR(Table17[[#This Row],[Priority]]="04. High",Table17[[#This Row],[Priority]]="05. Critical",Table17[[#This Row],[Priority]]="03. Moderate")</f>
        <v>1</v>
      </c>
    </row>
    <row r="85" spans="1:167" ht="93" hidden="1" customHeight="1">
      <c r="A85" s="3" t="s">
        <v>612</v>
      </c>
      <c r="B85" s="395">
        <v>40778</v>
      </c>
      <c r="C85" s="91"/>
      <c r="D85" s="92" t="s">
        <v>676</v>
      </c>
      <c r="E85" s="91"/>
      <c r="F85" s="396" t="s">
        <v>738</v>
      </c>
      <c r="G85" s="91"/>
      <c r="H85" s="91"/>
      <c r="I85" s="91"/>
      <c r="J85" s="91"/>
      <c r="K85" s="91" t="s">
        <v>152</v>
      </c>
      <c r="L85" s="127"/>
      <c r="M85" s="65" t="s">
        <v>741</v>
      </c>
      <c r="N85" s="65" t="s">
        <v>150</v>
      </c>
      <c r="O85" s="65"/>
      <c r="P85" s="65"/>
      <c r="Q85" s="100">
        <v>40821</v>
      </c>
      <c r="R85" s="105">
        <v>40830</v>
      </c>
      <c r="S85" s="101" t="s">
        <v>742</v>
      </c>
      <c r="T85" s="101"/>
      <c r="U85" s="447" t="s">
        <v>3030</v>
      </c>
      <c r="V85" s="102">
        <v>40821</v>
      </c>
      <c r="W85" s="31"/>
      <c r="Y85" s="176" t="str">
        <f ca="1">IF(Table17[[#This Row],[Required Resolution Date]]="","FALSE",IF($AA$1&gt;Table17[[#This Row],[Required Resolution Date]],"TRUE","FALSE"))</f>
        <v>TRUE</v>
      </c>
      <c r="Z85" s="175">
        <f t="shared" ca="1" si="5"/>
        <v>1</v>
      </c>
      <c r="AB85" s="175" t="b">
        <f>OR(Table17[[#This Row],[Priority]]="04. High",Table17[[#This Row],[Priority]]="05. Critical")</f>
        <v>1</v>
      </c>
      <c r="AC85" s="284">
        <f ca="1">$AA$1-Table17[[#This Row],[Date captured]]</f>
        <v>212</v>
      </c>
      <c r="AD85" s="175" t="b">
        <f t="shared" ca="1" si="6"/>
        <v>0</v>
      </c>
      <c r="AE85" s="175" t="b">
        <f t="shared" ca="1" si="7"/>
        <v>0</v>
      </c>
      <c r="AF85" s="175" t="b">
        <f t="shared" ca="1" si="8"/>
        <v>1</v>
      </c>
      <c r="AG85" s="284">
        <f ca="1">Table17[[#This Row],[Required Resolution Date]]-$AA$1</f>
        <v>-160</v>
      </c>
      <c r="AH85" s="175" t="b">
        <f t="shared" ca="1" si="9"/>
        <v>0</v>
      </c>
      <c r="AI85" s="327" t="b">
        <f>OR(Table17[[#This Row],[Priority]]="04. High",Table17[[#This Row],[Priority]]="05. Critical",Table17[[#This Row],[Priority]]="03. Moderate")</f>
        <v>1</v>
      </c>
    </row>
    <row r="86" spans="1:167" s="98" customFormat="1" ht="300" hidden="1">
      <c r="A86" s="3" t="s">
        <v>613</v>
      </c>
      <c r="B86" s="405">
        <v>40779</v>
      </c>
      <c r="C86" s="91"/>
      <c r="D86" s="92" t="s">
        <v>676</v>
      </c>
      <c r="E86" s="91"/>
      <c r="F86" s="408" t="s">
        <v>739</v>
      </c>
      <c r="G86" s="91"/>
      <c r="H86" s="91"/>
      <c r="I86" s="91"/>
      <c r="J86" s="91"/>
      <c r="K86" s="91" t="s">
        <v>151</v>
      </c>
      <c r="L86" s="394"/>
      <c r="M86" s="387" t="s">
        <v>403</v>
      </c>
      <c r="N86" s="386" t="s">
        <v>150</v>
      </c>
      <c r="O86" s="386"/>
      <c r="P86" s="386"/>
      <c r="Q86" s="430">
        <v>40856</v>
      </c>
      <c r="R86" s="431">
        <v>40870</v>
      </c>
      <c r="S86" s="433" t="s">
        <v>743</v>
      </c>
      <c r="T86" s="433"/>
      <c r="U86" s="445" t="s">
        <v>3031</v>
      </c>
      <c r="V86" s="434">
        <v>40855</v>
      </c>
      <c r="W86" s="31"/>
      <c r="X86" s="97"/>
      <c r="Y86" s="167" t="str">
        <f ca="1">IF(Table17[[#This Row],[Required Resolution Date]]="","FALSE",IF($AA$1&gt;Table17[[#This Row],[Required Resolution Date]],"TRUE","FALSE"))</f>
        <v>TRUE</v>
      </c>
      <c r="Z86" s="4">
        <f t="shared" ca="1" si="5"/>
        <v>1</v>
      </c>
      <c r="AA86" s="97"/>
      <c r="AB86" s="175" t="b">
        <f>OR(Table17[[#This Row],[Priority]]="04. High",Table17[[#This Row],[Priority]]="05. Critical")</f>
        <v>1</v>
      </c>
      <c r="AC86" s="284">
        <f ca="1">$AA$1-Table17[[#This Row],[Date captured]]</f>
        <v>211</v>
      </c>
      <c r="AD86" s="175" t="b">
        <f t="shared" ca="1" si="6"/>
        <v>0</v>
      </c>
      <c r="AE86" s="175" t="b">
        <f t="shared" ca="1" si="7"/>
        <v>0</v>
      </c>
      <c r="AF86" s="175" t="b">
        <f t="shared" ca="1" si="8"/>
        <v>1</v>
      </c>
      <c r="AG86" s="284">
        <f ca="1">Table17[[#This Row],[Required Resolution Date]]-$AA$1</f>
        <v>-120</v>
      </c>
      <c r="AH86" s="175" t="b">
        <f t="shared" ca="1" si="9"/>
        <v>0</v>
      </c>
      <c r="AI86" s="327" t="b">
        <f>OR(Table17[[#This Row],[Priority]]="04. High",Table17[[#This Row],[Priority]]="05. Critical",Table17[[#This Row],[Priority]]="03. Moderate")</f>
        <v>1</v>
      </c>
      <c r="AJ86" s="97"/>
      <c r="AK86" s="97"/>
      <c r="AL86" s="97"/>
      <c r="AM86" s="97"/>
      <c r="AN86" s="97"/>
      <c r="AO86" s="97"/>
      <c r="AP86" s="97"/>
      <c r="AQ86" s="97"/>
      <c r="AR86" s="97"/>
      <c r="AS86" s="97"/>
      <c r="AT86" s="97"/>
      <c r="AU86" s="97"/>
      <c r="AV86" s="97"/>
      <c r="AW86" s="97"/>
      <c r="AX86" s="97"/>
      <c r="AY86" s="97"/>
      <c r="AZ86" s="97"/>
      <c r="BA86" s="97"/>
      <c r="BB86" s="97"/>
      <c r="BC86" s="97"/>
      <c r="BD86" s="97"/>
      <c r="BE86" s="97"/>
      <c r="BF86" s="97"/>
      <c r="BG86" s="97"/>
      <c r="BH86" s="97"/>
      <c r="BI86" s="97"/>
      <c r="BJ86" s="97"/>
      <c r="BK86" s="97"/>
      <c r="BL86" s="97"/>
      <c r="BM86" s="97"/>
      <c r="BN86" s="97"/>
      <c r="BO86" s="97"/>
      <c r="BP86" s="97"/>
      <c r="BQ86" s="97"/>
      <c r="BR86" s="97"/>
      <c r="BS86" s="97"/>
      <c r="BT86" s="97"/>
      <c r="BU86" s="97"/>
      <c r="BV86" s="97"/>
      <c r="BW86" s="97"/>
      <c r="BX86" s="97"/>
      <c r="BY86" s="97"/>
      <c r="BZ86" s="97"/>
      <c r="CA86" s="97"/>
      <c r="CB86" s="97"/>
      <c r="CC86" s="97"/>
      <c r="CD86" s="97"/>
      <c r="CE86" s="97"/>
      <c r="CF86" s="97"/>
      <c r="CG86" s="97"/>
      <c r="CH86" s="97"/>
      <c r="CI86" s="97"/>
      <c r="CJ86" s="97"/>
      <c r="CK86" s="97"/>
      <c r="CL86" s="97"/>
      <c r="CM86" s="97"/>
      <c r="CN86" s="97"/>
      <c r="CO86" s="97"/>
      <c r="CP86" s="97"/>
      <c r="CQ86" s="97"/>
      <c r="CR86" s="97"/>
      <c r="CS86" s="97"/>
      <c r="CT86" s="97"/>
      <c r="CU86" s="97"/>
      <c r="CV86" s="97"/>
      <c r="CW86" s="97"/>
      <c r="CX86" s="97"/>
      <c r="CY86" s="97"/>
      <c r="CZ86" s="97"/>
      <c r="DA86" s="97"/>
      <c r="DB86" s="97"/>
      <c r="DC86" s="97"/>
      <c r="DD86" s="97"/>
      <c r="DE86" s="97"/>
      <c r="DF86" s="97"/>
      <c r="DG86" s="97"/>
      <c r="DH86" s="97"/>
      <c r="DI86" s="97"/>
      <c r="DJ86" s="97"/>
      <c r="DK86" s="97"/>
      <c r="DL86" s="97"/>
      <c r="DM86" s="97"/>
      <c r="DN86" s="97"/>
      <c r="DO86" s="97"/>
      <c r="DP86" s="97"/>
      <c r="DQ86" s="97"/>
      <c r="DR86" s="97"/>
      <c r="DS86" s="97"/>
      <c r="DT86" s="97"/>
      <c r="DU86" s="97"/>
      <c r="DV86" s="97"/>
      <c r="DW86" s="97"/>
      <c r="DX86" s="97"/>
      <c r="DY86" s="97"/>
      <c r="DZ86" s="97"/>
      <c r="EA86" s="97"/>
      <c r="EB86" s="97"/>
      <c r="EC86" s="97"/>
      <c r="ED86" s="97"/>
      <c r="EE86" s="97"/>
      <c r="EF86" s="97"/>
      <c r="EG86" s="97"/>
      <c r="EH86" s="97"/>
      <c r="EI86" s="97"/>
      <c r="EJ86" s="97"/>
      <c r="EK86" s="97"/>
      <c r="EL86" s="97"/>
      <c r="EM86" s="97"/>
      <c r="EN86" s="97"/>
      <c r="EO86" s="97"/>
      <c r="EP86" s="97"/>
      <c r="EQ86" s="97"/>
      <c r="ER86" s="97"/>
      <c r="ES86" s="97"/>
      <c r="ET86" s="97"/>
      <c r="EU86" s="97"/>
      <c r="EV86" s="97"/>
      <c r="EW86" s="97"/>
      <c r="EX86" s="97"/>
      <c r="EY86" s="97"/>
      <c r="EZ86" s="97"/>
      <c r="FA86" s="97"/>
      <c r="FB86" s="97"/>
      <c r="FC86" s="97"/>
      <c r="FD86" s="97"/>
      <c r="FE86" s="97"/>
      <c r="FF86" s="97"/>
      <c r="FG86" s="97"/>
      <c r="FH86" s="97"/>
      <c r="FI86" s="97"/>
      <c r="FJ86" s="97"/>
      <c r="FK86" s="97"/>
    </row>
    <row r="87" spans="1:167" ht="351" hidden="1">
      <c r="A87" s="424" t="s">
        <v>614</v>
      </c>
      <c r="B87" s="147">
        <v>40786</v>
      </c>
      <c r="C87" s="326" t="s">
        <v>446</v>
      </c>
      <c r="D87" s="325" t="s">
        <v>676</v>
      </c>
      <c r="E87" s="326"/>
      <c r="F87" s="324" t="s">
        <v>2133</v>
      </c>
      <c r="G87" s="326" t="s">
        <v>151</v>
      </c>
      <c r="H87" s="326" t="s">
        <v>151</v>
      </c>
      <c r="I87" s="326" t="s">
        <v>151</v>
      </c>
      <c r="J87" s="326" t="s">
        <v>151</v>
      </c>
      <c r="K87" s="326" t="s">
        <v>151</v>
      </c>
      <c r="L87" s="333" t="s">
        <v>1679</v>
      </c>
      <c r="M87" s="324" t="s">
        <v>1679</v>
      </c>
      <c r="N87" s="324" t="s">
        <v>311</v>
      </c>
      <c r="O87" s="324"/>
      <c r="P87" s="324" t="s">
        <v>1703</v>
      </c>
      <c r="Q87" s="147">
        <v>40982</v>
      </c>
      <c r="R87" s="153">
        <v>40983</v>
      </c>
      <c r="S87" s="152" t="s">
        <v>2450</v>
      </c>
      <c r="T87" s="152" t="s">
        <v>1582</v>
      </c>
      <c r="U87" s="443" t="s">
        <v>2451</v>
      </c>
      <c r="V87" s="150">
        <v>40974</v>
      </c>
      <c r="W87" s="326" t="s">
        <v>1458</v>
      </c>
      <c r="Y87" s="176" t="str">
        <f ca="1">IF(Table17[[#This Row],[Required Resolution Date]]="","FALSE",IF($AA$1&gt;Table17[[#This Row],[Required Resolution Date]],"TRUE","FALSE"))</f>
        <v>TRUE</v>
      </c>
      <c r="Z87" s="175">
        <f t="shared" ca="1" si="5"/>
        <v>1</v>
      </c>
      <c r="AB87" s="175" t="b">
        <f>OR(Table17[[#This Row],[Priority]]="04. High",Table17[[#This Row],[Priority]]="05. Critical")</f>
        <v>1</v>
      </c>
      <c r="AC87" s="284">
        <f ca="1">$AA$1-Table17[[#This Row],[Date captured]]</f>
        <v>204</v>
      </c>
      <c r="AD87" s="175" t="b">
        <f t="shared" ca="1" si="6"/>
        <v>0</v>
      </c>
      <c r="AE87" s="175" t="b">
        <f t="shared" ca="1" si="7"/>
        <v>0</v>
      </c>
      <c r="AF87" s="175" t="b">
        <f t="shared" ca="1" si="8"/>
        <v>1</v>
      </c>
      <c r="AG87" s="284">
        <f ca="1">Table17[[#This Row],[Required Resolution Date]]-$AA$1</f>
        <v>-7</v>
      </c>
      <c r="AH87" s="175" t="b">
        <f t="shared" ca="1" si="9"/>
        <v>0</v>
      </c>
      <c r="AI87" s="327" t="b">
        <f>OR(Table17[[#This Row],[Priority]]="04. High",Table17[[#This Row],[Priority]]="05. Critical",Table17[[#This Row],[Priority]]="03. Moderate")</f>
        <v>1</v>
      </c>
    </row>
    <row r="88" spans="1:167" ht="120" hidden="1">
      <c r="A88" s="3" t="s">
        <v>615</v>
      </c>
      <c r="B88" s="78">
        <v>40793</v>
      </c>
      <c r="C88" s="91"/>
      <c r="D88" s="92" t="s">
        <v>676</v>
      </c>
      <c r="E88" s="91"/>
      <c r="F88" s="71" t="s">
        <v>740</v>
      </c>
      <c r="G88" s="91"/>
      <c r="H88" s="91"/>
      <c r="I88" s="91"/>
      <c r="J88" s="91"/>
      <c r="K88" s="91" t="s">
        <v>151</v>
      </c>
      <c r="L88" s="127"/>
      <c r="M88" s="71" t="s">
        <v>744</v>
      </c>
      <c r="N88" s="71" t="s">
        <v>154</v>
      </c>
      <c r="O88" s="71"/>
      <c r="P88" s="71"/>
      <c r="Q88" s="78">
        <v>40800</v>
      </c>
      <c r="R88" s="105"/>
      <c r="S88" s="103" t="s">
        <v>745</v>
      </c>
      <c r="T88" s="103"/>
      <c r="U88" s="442" t="s">
        <v>3032</v>
      </c>
      <c r="V88" s="87">
        <v>40800</v>
      </c>
      <c r="W88" s="31"/>
      <c r="Y88" s="176" t="str">
        <f>IF(Table17[[#This Row],[Required Resolution Date]]="","FALSE",IF($AA$1&gt;Table17[[#This Row],[Required Resolution Date]],"TRUE","FALSE"))</f>
        <v>FALSE</v>
      </c>
      <c r="Z88" s="175">
        <f t="shared" si="5"/>
        <v>0</v>
      </c>
      <c r="AB88" s="175" t="b">
        <f>OR(Table17[[#This Row],[Priority]]="04. High",Table17[[#This Row],[Priority]]="05. Critical")</f>
        <v>1</v>
      </c>
      <c r="AC88" s="284">
        <f ca="1">$AA$1-Table17[[#This Row],[Date captured]]</f>
        <v>197</v>
      </c>
      <c r="AD88" s="175" t="b">
        <f t="shared" ca="1" si="6"/>
        <v>0</v>
      </c>
      <c r="AE88" s="175" t="b">
        <f t="shared" ca="1" si="7"/>
        <v>0</v>
      </c>
      <c r="AF88" s="175" t="b">
        <f t="shared" ca="1" si="8"/>
        <v>1</v>
      </c>
      <c r="AG88" s="284">
        <f ca="1">Table17[[#This Row],[Required Resolution Date]]-$AA$1</f>
        <v>-40990</v>
      </c>
      <c r="AH88" s="175" t="b">
        <f t="shared" ca="1" si="9"/>
        <v>0</v>
      </c>
      <c r="AI88" s="327" t="b">
        <f>OR(Table17[[#This Row],[Priority]]="04. High",Table17[[#This Row],[Priority]]="05. Critical",Table17[[#This Row],[Priority]]="03. Moderate")</f>
        <v>1</v>
      </c>
    </row>
    <row r="89" spans="1:167" ht="336" hidden="1">
      <c r="A89" s="3" t="s">
        <v>616</v>
      </c>
      <c r="B89" s="64">
        <v>40800</v>
      </c>
      <c r="C89" s="91"/>
      <c r="D89" s="56" t="s">
        <v>676</v>
      </c>
      <c r="E89" s="91"/>
      <c r="F89" s="56" t="s">
        <v>746</v>
      </c>
      <c r="G89" s="91"/>
      <c r="H89" s="91"/>
      <c r="I89" s="91"/>
      <c r="J89" s="91"/>
      <c r="K89" s="91" t="s">
        <v>151</v>
      </c>
      <c r="L89" s="127"/>
      <c r="M89" s="56" t="s">
        <v>720</v>
      </c>
      <c r="N89" s="71" t="s">
        <v>721</v>
      </c>
      <c r="O89" s="71"/>
      <c r="P89" s="71"/>
      <c r="Q89" s="72">
        <v>40877</v>
      </c>
      <c r="R89" s="106">
        <v>40968</v>
      </c>
      <c r="S89" s="68" t="s">
        <v>751</v>
      </c>
      <c r="T89" s="68"/>
      <c r="U89" s="441" t="s">
        <v>3033</v>
      </c>
      <c r="V89" s="63">
        <v>40877</v>
      </c>
      <c r="W89" s="31"/>
      <c r="Y89" s="176" t="str">
        <f ca="1">IF(Table17[[#This Row],[Required Resolution Date]]="","FALSE",IF($AA$1&gt;Table17[[#This Row],[Required Resolution Date]],"TRUE","FALSE"))</f>
        <v>TRUE</v>
      </c>
      <c r="Z89" s="175">
        <f t="shared" ca="1" si="5"/>
        <v>1</v>
      </c>
      <c r="AB89" s="175" t="b">
        <f>OR(Table17[[#This Row],[Priority]]="04. High",Table17[[#This Row],[Priority]]="05. Critical")</f>
        <v>1</v>
      </c>
      <c r="AC89" s="284">
        <f ca="1">$AA$1-Table17[[#This Row],[Date captured]]</f>
        <v>190</v>
      </c>
      <c r="AD89" s="175" t="b">
        <f t="shared" ca="1" si="6"/>
        <v>0</v>
      </c>
      <c r="AE89" s="175" t="b">
        <f t="shared" ca="1" si="7"/>
        <v>0</v>
      </c>
      <c r="AF89" s="175" t="b">
        <f t="shared" ca="1" si="8"/>
        <v>1</v>
      </c>
      <c r="AG89" s="284">
        <f ca="1">Table17[[#This Row],[Required Resolution Date]]-$AA$1</f>
        <v>-22</v>
      </c>
      <c r="AH89" s="175" t="b">
        <f t="shared" ca="1" si="9"/>
        <v>0</v>
      </c>
      <c r="AI89" s="327" t="b">
        <f>OR(Table17[[#This Row],[Priority]]="04. High",Table17[[#This Row],[Priority]]="05. Critical",Table17[[#This Row],[Priority]]="03. Moderate")</f>
        <v>1</v>
      </c>
    </row>
    <row r="90" spans="1:167" ht="399.75" hidden="1" customHeight="1">
      <c r="A90" s="3" t="s">
        <v>617</v>
      </c>
      <c r="B90" s="78">
        <v>40805</v>
      </c>
      <c r="C90" s="91"/>
      <c r="D90" s="71" t="s">
        <v>676</v>
      </c>
      <c r="E90" s="91"/>
      <c r="F90" s="71" t="s">
        <v>747</v>
      </c>
      <c r="G90" s="91"/>
      <c r="H90" s="91"/>
      <c r="I90" s="91"/>
      <c r="J90" s="91"/>
      <c r="K90" s="91" t="s">
        <v>152</v>
      </c>
      <c r="L90" s="127"/>
      <c r="M90" s="71" t="s">
        <v>403</v>
      </c>
      <c r="N90" s="71" t="s">
        <v>150</v>
      </c>
      <c r="O90" s="71"/>
      <c r="P90" s="71"/>
      <c r="Q90" s="78">
        <v>40884</v>
      </c>
      <c r="R90" s="105">
        <v>40891</v>
      </c>
      <c r="S90" s="103" t="s">
        <v>752</v>
      </c>
      <c r="T90" s="103"/>
      <c r="U90" s="442" t="s">
        <v>3034</v>
      </c>
      <c r="V90" s="87">
        <v>40884</v>
      </c>
      <c r="W90" s="31"/>
      <c r="Y90" s="176" t="str">
        <f ca="1">IF(Table17[[#This Row],[Required Resolution Date]]="","FALSE",IF($AA$1&gt;Table17[[#This Row],[Required Resolution Date]],"TRUE","FALSE"))</f>
        <v>TRUE</v>
      </c>
      <c r="Z90" s="175">
        <f t="shared" ca="1" si="5"/>
        <v>1</v>
      </c>
      <c r="AB90" s="175" t="b">
        <f>OR(Table17[[#This Row],[Priority]]="04. High",Table17[[#This Row],[Priority]]="05. Critical")</f>
        <v>1</v>
      </c>
      <c r="AC90" s="284">
        <f ca="1">$AA$1-Table17[[#This Row],[Date captured]]</f>
        <v>185</v>
      </c>
      <c r="AD90" s="175" t="b">
        <f t="shared" ca="1" si="6"/>
        <v>0</v>
      </c>
      <c r="AE90" s="175" t="b">
        <f t="shared" ca="1" si="7"/>
        <v>0</v>
      </c>
      <c r="AF90" s="175" t="b">
        <f t="shared" ca="1" si="8"/>
        <v>1</v>
      </c>
      <c r="AG90" s="284">
        <f ca="1">Table17[[#This Row],[Required Resolution Date]]-$AA$1</f>
        <v>-99</v>
      </c>
      <c r="AH90" s="175" t="b">
        <f t="shared" ca="1" si="9"/>
        <v>0</v>
      </c>
      <c r="AI90" s="327" t="b">
        <f>OR(Table17[[#This Row],[Priority]]="04. High",Table17[[#This Row],[Priority]]="05. Critical",Table17[[#This Row],[Priority]]="03. Moderate")</f>
        <v>1</v>
      </c>
    </row>
    <row r="91" spans="1:167" ht="118.5" hidden="1" customHeight="1">
      <c r="A91" s="3" t="s">
        <v>618</v>
      </c>
      <c r="B91" s="78">
        <v>40807</v>
      </c>
      <c r="C91" s="91"/>
      <c r="D91" s="71" t="s">
        <v>676</v>
      </c>
      <c r="E91" s="91"/>
      <c r="F91" s="71" t="s">
        <v>748</v>
      </c>
      <c r="G91" s="91"/>
      <c r="H91" s="91"/>
      <c r="I91" s="91"/>
      <c r="J91" s="91"/>
      <c r="K91" s="91" t="s">
        <v>152</v>
      </c>
      <c r="L91" s="127"/>
      <c r="M91" s="71" t="s">
        <v>753</v>
      </c>
      <c r="N91" s="71" t="s">
        <v>149</v>
      </c>
      <c r="O91" s="71"/>
      <c r="P91" s="71"/>
      <c r="Q91" s="64">
        <v>40821</v>
      </c>
      <c r="R91" s="105">
        <v>40814</v>
      </c>
      <c r="S91" s="103" t="s">
        <v>754</v>
      </c>
      <c r="T91" s="103"/>
      <c r="U91" s="442" t="s">
        <v>3035</v>
      </c>
      <c r="V91" s="87">
        <v>40821</v>
      </c>
      <c r="W91" s="31"/>
      <c r="Y91" s="176" t="str">
        <f ca="1">IF(Table17[[#This Row],[Required Resolution Date]]="","FALSE",IF($AA$1&gt;Table17[[#This Row],[Required Resolution Date]],"TRUE","FALSE"))</f>
        <v>TRUE</v>
      </c>
      <c r="Z91" s="175">
        <f t="shared" ca="1" si="5"/>
        <v>1</v>
      </c>
      <c r="AB91" s="175" t="b">
        <f>OR(Table17[[#This Row],[Priority]]="04. High",Table17[[#This Row],[Priority]]="05. Critical")</f>
        <v>1</v>
      </c>
      <c r="AC91" s="284">
        <f ca="1">$AA$1-Table17[[#This Row],[Date captured]]</f>
        <v>183</v>
      </c>
      <c r="AD91" s="175" t="b">
        <f t="shared" ca="1" si="6"/>
        <v>0</v>
      </c>
      <c r="AE91" s="175" t="b">
        <f t="shared" ca="1" si="7"/>
        <v>0</v>
      </c>
      <c r="AF91" s="175" t="b">
        <f t="shared" ca="1" si="8"/>
        <v>1</v>
      </c>
      <c r="AG91" s="284">
        <f ca="1">Table17[[#This Row],[Required Resolution Date]]-$AA$1</f>
        <v>-176</v>
      </c>
      <c r="AH91" s="175" t="b">
        <f t="shared" ca="1" si="9"/>
        <v>0</v>
      </c>
      <c r="AI91" s="327" t="b">
        <f>OR(Table17[[#This Row],[Priority]]="04. High",Table17[[#This Row],[Priority]]="05. Critical",Table17[[#This Row],[Priority]]="03. Moderate")</f>
        <v>1</v>
      </c>
    </row>
    <row r="92" spans="1:167" ht="204" hidden="1">
      <c r="A92" s="3" t="s">
        <v>619</v>
      </c>
      <c r="B92" s="78">
        <v>40807</v>
      </c>
      <c r="C92" s="91"/>
      <c r="D92" s="71" t="s">
        <v>676</v>
      </c>
      <c r="E92" s="91"/>
      <c r="F92" s="71" t="s">
        <v>749</v>
      </c>
      <c r="G92" s="91"/>
      <c r="H92" s="91"/>
      <c r="I92" s="91"/>
      <c r="J92" s="91"/>
      <c r="K92" s="91" t="s">
        <v>151</v>
      </c>
      <c r="L92" s="127"/>
      <c r="M92" s="71" t="s">
        <v>317</v>
      </c>
      <c r="N92" s="71" t="s">
        <v>311</v>
      </c>
      <c r="O92" s="71"/>
      <c r="P92" s="71"/>
      <c r="Q92" s="78">
        <v>40821</v>
      </c>
      <c r="R92" s="105">
        <v>40830</v>
      </c>
      <c r="S92" s="103" t="s">
        <v>755</v>
      </c>
      <c r="T92" s="103"/>
      <c r="U92" s="442" t="s">
        <v>3036</v>
      </c>
      <c r="V92" s="87">
        <v>40821</v>
      </c>
      <c r="W92" s="31"/>
      <c r="Y92" s="176" t="str">
        <f ca="1">IF(Table17[[#This Row],[Required Resolution Date]]="","FALSE",IF($AA$1&gt;Table17[[#This Row],[Required Resolution Date]],"TRUE","FALSE"))</f>
        <v>TRUE</v>
      </c>
      <c r="Z92" s="175">
        <f t="shared" ca="1" si="5"/>
        <v>1</v>
      </c>
      <c r="AB92" s="175" t="b">
        <f>OR(Table17[[#This Row],[Priority]]="04. High",Table17[[#This Row],[Priority]]="05. Critical")</f>
        <v>1</v>
      </c>
      <c r="AC92" s="284">
        <f ca="1">$AA$1-Table17[[#This Row],[Date captured]]</f>
        <v>183</v>
      </c>
      <c r="AD92" s="175" t="b">
        <f t="shared" ca="1" si="6"/>
        <v>0</v>
      </c>
      <c r="AE92" s="175" t="b">
        <f t="shared" ca="1" si="7"/>
        <v>0</v>
      </c>
      <c r="AF92" s="175" t="b">
        <f t="shared" ca="1" si="8"/>
        <v>1</v>
      </c>
      <c r="AG92" s="284">
        <f ca="1">Table17[[#This Row],[Required Resolution Date]]-$AA$1</f>
        <v>-160</v>
      </c>
      <c r="AH92" s="175" t="b">
        <f t="shared" ca="1" si="9"/>
        <v>0</v>
      </c>
      <c r="AI92" s="327" t="b">
        <f>OR(Table17[[#This Row],[Priority]]="04. High",Table17[[#This Row],[Priority]]="05. Critical",Table17[[#This Row],[Priority]]="03. Moderate")</f>
        <v>1</v>
      </c>
    </row>
    <row r="93" spans="1:167" ht="180" hidden="1">
      <c r="A93" s="3" t="s">
        <v>620</v>
      </c>
      <c r="B93" s="78">
        <v>40820</v>
      </c>
      <c r="C93" s="91"/>
      <c r="D93" s="71" t="s">
        <v>676</v>
      </c>
      <c r="E93" s="91"/>
      <c r="F93" s="56" t="s">
        <v>750</v>
      </c>
      <c r="G93" s="91"/>
      <c r="H93" s="91"/>
      <c r="I93" s="91"/>
      <c r="J93" s="91"/>
      <c r="K93" s="91" t="s">
        <v>152</v>
      </c>
      <c r="L93" s="127"/>
      <c r="M93" s="71"/>
      <c r="N93" s="71" t="s">
        <v>150</v>
      </c>
      <c r="O93" s="71"/>
      <c r="P93" s="71"/>
      <c r="Q93" s="64">
        <v>40821</v>
      </c>
      <c r="R93" s="105"/>
      <c r="S93" s="103" t="s">
        <v>756</v>
      </c>
      <c r="T93" s="103"/>
      <c r="U93" s="442" t="s">
        <v>3037</v>
      </c>
      <c r="V93" s="87">
        <v>40821</v>
      </c>
      <c r="W93" s="31"/>
      <c r="Y93" s="176" t="str">
        <f>IF(Table17[[#This Row],[Required Resolution Date]]="","FALSE",IF($AA$1&gt;Table17[[#This Row],[Required Resolution Date]],"TRUE","FALSE"))</f>
        <v>FALSE</v>
      </c>
      <c r="Z93" s="175">
        <f t="shared" si="5"/>
        <v>0</v>
      </c>
      <c r="AB93" s="175" t="b">
        <f>OR(Table17[[#This Row],[Priority]]="04. High",Table17[[#This Row],[Priority]]="05. Critical")</f>
        <v>1</v>
      </c>
      <c r="AC93" s="284">
        <f ca="1">$AA$1-Table17[[#This Row],[Date captured]]</f>
        <v>170</v>
      </c>
      <c r="AD93" s="175" t="b">
        <f t="shared" ca="1" si="6"/>
        <v>0</v>
      </c>
      <c r="AE93" s="175" t="b">
        <f t="shared" ca="1" si="7"/>
        <v>1</v>
      </c>
      <c r="AF93" s="175" t="b">
        <f t="shared" ca="1" si="8"/>
        <v>0</v>
      </c>
      <c r="AG93" s="284">
        <f ca="1">Table17[[#This Row],[Required Resolution Date]]-$AA$1</f>
        <v>-40990</v>
      </c>
      <c r="AH93" s="175" t="b">
        <f t="shared" ca="1" si="9"/>
        <v>0</v>
      </c>
      <c r="AI93" s="327" t="b">
        <f>OR(Table17[[#This Row],[Priority]]="04. High",Table17[[#This Row],[Priority]]="05. Critical",Table17[[#This Row],[Priority]]="03. Moderate")</f>
        <v>1</v>
      </c>
    </row>
    <row r="94" spans="1:167" s="186" customFormat="1" ht="396" hidden="1">
      <c r="A94" s="90" t="s">
        <v>585</v>
      </c>
      <c r="B94" s="64">
        <v>40634</v>
      </c>
      <c r="C94" s="91"/>
      <c r="D94" s="92" t="s">
        <v>676</v>
      </c>
      <c r="E94" s="91"/>
      <c r="F94" s="56" t="s">
        <v>757</v>
      </c>
      <c r="G94" s="91"/>
      <c r="H94" s="91"/>
      <c r="I94" s="91"/>
      <c r="J94" s="91"/>
      <c r="K94" s="91" t="s">
        <v>151</v>
      </c>
      <c r="L94" s="127"/>
      <c r="M94" s="56" t="s">
        <v>379</v>
      </c>
      <c r="N94" s="56" t="s">
        <v>311</v>
      </c>
      <c r="O94" s="56"/>
      <c r="P94" s="56"/>
      <c r="Q94" s="64">
        <v>40779</v>
      </c>
      <c r="R94" s="105">
        <v>40702</v>
      </c>
      <c r="S94" s="68" t="s">
        <v>763</v>
      </c>
      <c r="T94" s="68"/>
      <c r="U94" s="441" t="s">
        <v>3038</v>
      </c>
      <c r="V94" s="63">
        <v>40779</v>
      </c>
      <c r="W94" s="31" t="s">
        <v>225</v>
      </c>
      <c r="X94" s="185"/>
      <c r="Y94" s="176" t="str">
        <f ca="1">IF(Table17[[#This Row],[Required Resolution Date]]="","FALSE",IF($AA$1&gt;Table17[[#This Row],[Required Resolution Date]],"TRUE","FALSE"))</f>
        <v>TRUE</v>
      </c>
      <c r="Z94" s="175">
        <f t="shared" ca="1" si="5"/>
        <v>1</v>
      </c>
      <c r="AA94" s="185"/>
      <c r="AB94" s="175" t="b">
        <f>OR(Table17[[#This Row],[Priority]]="04. High",Table17[[#This Row],[Priority]]="05. Critical")</f>
        <v>1</v>
      </c>
      <c r="AC94" s="284">
        <f ca="1">$AA$1-Table17[[#This Row],[Date captured]]</f>
        <v>356</v>
      </c>
      <c r="AD94" s="175" t="b">
        <f t="shared" ca="1" si="6"/>
        <v>0</v>
      </c>
      <c r="AE94" s="175" t="b">
        <f t="shared" ca="1" si="7"/>
        <v>0</v>
      </c>
      <c r="AF94" s="175" t="b">
        <f t="shared" ca="1" si="8"/>
        <v>1</v>
      </c>
      <c r="AG94" s="284">
        <f ca="1">Table17[[#This Row],[Required Resolution Date]]-$AA$1</f>
        <v>-288</v>
      </c>
      <c r="AH94" s="175" t="b">
        <f t="shared" ca="1" si="9"/>
        <v>0</v>
      </c>
      <c r="AI94" s="327" t="b">
        <f>OR(Table17[[#This Row],[Priority]]="04. High",Table17[[#This Row],[Priority]]="05. Critical",Table17[[#This Row],[Priority]]="03. Moderate")</f>
        <v>1</v>
      </c>
      <c r="AJ94" s="185"/>
      <c r="AK94" s="185"/>
      <c r="AL94" s="185"/>
      <c r="AM94" s="185"/>
      <c r="AN94" s="185"/>
      <c r="AO94" s="185"/>
      <c r="AP94" s="185"/>
      <c r="AQ94" s="185"/>
      <c r="AR94" s="185"/>
      <c r="AS94" s="185"/>
      <c r="AT94" s="185"/>
      <c r="AU94" s="185"/>
      <c r="AV94" s="185"/>
      <c r="AW94" s="185"/>
      <c r="AX94" s="185"/>
      <c r="AY94" s="185"/>
      <c r="AZ94" s="185"/>
      <c r="BA94" s="185"/>
      <c r="BB94" s="185"/>
      <c r="BC94" s="185"/>
      <c r="BD94" s="185"/>
      <c r="BE94" s="185"/>
      <c r="BF94" s="185"/>
      <c r="BG94" s="185"/>
      <c r="BH94" s="185"/>
      <c r="BI94" s="185"/>
      <c r="BJ94" s="185"/>
      <c r="BK94" s="185"/>
      <c r="BL94" s="185"/>
      <c r="BM94" s="185"/>
      <c r="BN94" s="185"/>
      <c r="BO94" s="185"/>
      <c r="BP94" s="185"/>
      <c r="BQ94" s="185"/>
      <c r="BR94" s="185"/>
      <c r="BS94" s="185"/>
      <c r="BT94" s="185"/>
      <c r="BU94" s="185"/>
      <c r="BV94" s="185"/>
      <c r="BW94" s="185"/>
      <c r="BX94" s="185"/>
      <c r="BY94" s="185"/>
      <c r="BZ94" s="185"/>
      <c r="CA94" s="185"/>
      <c r="CB94" s="185"/>
      <c r="CC94" s="185"/>
      <c r="CD94" s="185"/>
      <c r="CE94" s="185"/>
      <c r="CF94" s="185"/>
      <c r="CG94" s="185"/>
      <c r="CH94" s="185"/>
      <c r="CI94" s="185"/>
      <c r="CJ94" s="185"/>
      <c r="CK94" s="185"/>
      <c r="CL94" s="185"/>
      <c r="CM94" s="185"/>
      <c r="CN94" s="185"/>
      <c r="CO94" s="185"/>
      <c r="CP94" s="185"/>
      <c r="CQ94" s="185"/>
      <c r="CR94" s="185"/>
      <c r="CS94" s="185"/>
      <c r="CT94" s="185"/>
      <c r="CU94" s="185"/>
      <c r="CV94" s="185"/>
      <c r="CW94" s="185"/>
      <c r="CX94" s="185"/>
      <c r="CY94" s="185"/>
      <c r="CZ94" s="185"/>
      <c r="DA94" s="185"/>
      <c r="DB94" s="185"/>
      <c r="DC94" s="185"/>
      <c r="DD94" s="185"/>
      <c r="DE94" s="185"/>
      <c r="DF94" s="185"/>
      <c r="DG94" s="185"/>
      <c r="DH94" s="185"/>
      <c r="DI94" s="185"/>
      <c r="DJ94" s="185"/>
      <c r="DK94" s="185"/>
      <c r="DL94" s="185"/>
      <c r="DM94" s="185"/>
      <c r="DN94" s="185"/>
      <c r="DO94" s="185"/>
      <c r="DP94" s="185"/>
      <c r="DQ94" s="185"/>
      <c r="DR94" s="185"/>
      <c r="DS94" s="185"/>
      <c r="DT94" s="185"/>
      <c r="DU94" s="185"/>
      <c r="DV94" s="185"/>
      <c r="DW94" s="185"/>
      <c r="DX94" s="185"/>
      <c r="DY94" s="185"/>
      <c r="DZ94" s="185"/>
      <c r="EA94" s="185"/>
      <c r="EB94" s="185"/>
      <c r="EC94" s="185"/>
      <c r="ED94" s="185"/>
      <c r="EE94" s="185"/>
      <c r="EF94" s="185"/>
      <c r="EG94" s="185"/>
      <c r="EH94" s="185"/>
      <c r="EI94" s="185"/>
      <c r="EJ94" s="185"/>
      <c r="EK94" s="185"/>
      <c r="EL94" s="185"/>
      <c r="EM94" s="185"/>
      <c r="EN94" s="185"/>
      <c r="EO94" s="185"/>
      <c r="EP94" s="185"/>
      <c r="EQ94" s="185"/>
      <c r="ER94" s="185"/>
      <c r="ES94" s="185"/>
      <c r="ET94" s="185"/>
      <c r="EU94" s="185"/>
      <c r="EV94" s="185"/>
      <c r="EW94" s="185"/>
      <c r="EX94" s="185"/>
      <c r="EY94" s="185"/>
      <c r="EZ94" s="185"/>
      <c r="FA94" s="185"/>
      <c r="FB94" s="185"/>
      <c r="FC94" s="185"/>
      <c r="FD94" s="185"/>
      <c r="FE94" s="185"/>
      <c r="FF94" s="185"/>
      <c r="FG94" s="185"/>
      <c r="FH94" s="185"/>
      <c r="FI94" s="185"/>
      <c r="FJ94" s="185"/>
      <c r="FK94" s="185"/>
    </row>
    <row r="95" spans="1:167" s="186" customFormat="1" ht="132">
      <c r="A95" s="338" t="s">
        <v>2405</v>
      </c>
      <c r="B95" s="329">
        <v>40975</v>
      </c>
      <c r="C95" s="326" t="s">
        <v>2606</v>
      </c>
      <c r="D95" s="325" t="s">
        <v>15</v>
      </c>
      <c r="E95" s="326"/>
      <c r="F95" s="280" t="s">
        <v>2607</v>
      </c>
      <c r="G95" s="326" t="s">
        <v>679</v>
      </c>
      <c r="H95" s="326" t="s">
        <v>152</v>
      </c>
      <c r="I95" s="326" t="s">
        <v>151</v>
      </c>
      <c r="J95" s="326" t="s">
        <v>151</v>
      </c>
      <c r="K95" s="326" t="s">
        <v>152</v>
      </c>
      <c r="L95" s="333" t="s">
        <v>1116</v>
      </c>
      <c r="M95" s="339"/>
      <c r="N95" s="337" t="s">
        <v>311</v>
      </c>
      <c r="O95" s="337"/>
      <c r="P95" s="280" t="s">
        <v>2608</v>
      </c>
      <c r="Q95" s="331">
        <v>40976</v>
      </c>
      <c r="R95" s="332">
        <v>40984</v>
      </c>
      <c r="S95" s="280" t="s">
        <v>2736</v>
      </c>
      <c r="T95" s="334" t="s">
        <v>1564</v>
      </c>
      <c r="U95" s="326"/>
      <c r="V95" s="334"/>
      <c r="W95" s="335"/>
      <c r="X95" s="185"/>
      <c r="Y95" s="176" t="str">
        <f ca="1">IF(Table17[[#This Row],[Required Resolution Date]]="","FALSE",IF($AA$1&gt;Table17[[#This Row],[Required Resolution Date]],"TRUE","FALSE"))</f>
        <v>TRUE</v>
      </c>
      <c r="Z95" s="175">
        <f t="shared" ca="1" si="5"/>
        <v>1</v>
      </c>
      <c r="AA95" s="185"/>
      <c r="AB95" s="175" t="b">
        <f>OR(Table17[[#This Row],[Priority]]="04. High",Table17[[#This Row],[Priority]]="05. Critical")</f>
        <v>1</v>
      </c>
      <c r="AC95" s="284">
        <f ca="1">$AA$1-Table17[[#This Row],[Date captured]]</f>
        <v>15</v>
      </c>
      <c r="AD95" s="175" t="b">
        <f t="shared" ca="1" si="6"/>
        <v>0</v>
      </c>
      <c r="AE95" s="175" t="b">
        <f t="shared" ca="1" si="7"/>
        <v>0</v>
      </c>
      <c r="AF95" s="175" t="b">
        <f t="shared" ca="1" si="8"/>
        <v>0</v>
      </c>
      <c r="AG95" s="284">
        <f ca="1">Table17[[#This Row],[Required Resolution Date]]-$AA$1</f>
        <v>-6</v>
      </c>
      <c r="AH95" s="175" t="b">
        <f t="shared" ca="1" si="9"/>
        <v>0</v>
      </c>
      <c r="AI95" s="327" t="b">
        <f>OR(Table17[[#This Row],[Priority]]="04. High",Table17[[#This Row],[Priority]]="05. Critical",Table17[[#This Row],[Priority]]="03. Moderate")</f>
        <v>1</v>
      </c>
      <c r="AJ95" s="185"/>
      <c r="AK95" s="185"/>
      <c r="AL95" s="185"/>
      <c r="AM95" s="185"/>
      <c r="AN95" s="185"/>
      <c r="AO95" s="185"/>
      <c r="AP95" s="185"/>
      <c r="AQ95" s="185"/>
      <c r="AR95" s="185"/>
      <c r="AS95" s="185"/>
      <c r="AT95" s="185"/>
      <c r="AU95" s="185"/>
      <c r="AV95" s="185"/>
      <c r="AW95" s="185"/>
      <c r="AX95" s="185"/>
      <c r="AY95" s="185"/>
      <c r="AZ95" s="185"/>
      <c r="BA95" s="185"/>
      <c r="BB95" s="185"/>
      <c r="BC95" s="185"/>
      <c r="BD95" s="185"/>
      <c r="BE95" s="185"/>
      <c r="BF95" s="185"/>
      <c r="BG95" s="185"/>
      <c r="BH95" s="185"/>
      <c r="BI95" s="185"/>
      <c r="BJ95" s="185"/>
      <c r="BK95" s="185"/>
      <c r="BL95" s="185"/>
      <c r="BM95" s="185"/>
      <c r="BN95" s="185"/>
      <c r="BO95" s="185"/>
      <c r="BP95" s="185"/>
      <c r="BQ95" s="185"/>
      <c r="BR95" s="185"/>
      <c r="BS95" s="185"/>
      <c r="BT95" s="185"/>
      <c r="BU95" s="185"/>
      <c r="BV95" s="185"/>
      <c r="BW95" s="185"/>
      <c r="BX95" s="185"/>
      <c r="BY95" s="185"/>
      <c r="BZ95" s="185"/>
      <c r="CA95" s="185"/>
      <c r="CB95" s="185"/>
      <c r="CC95" s="185"/>
      <c r="CD95" s="185"/>
      <c r="CE95" s="185"/>
      <c r="CF95" s="185"/>
      <c r="CG95" s="185"/>
      <c r="CH95" s="185"/>
      <c r="CI95" s="185"/>
      <c r="CJ95" s="185"/>
      <c r="CK95" s="185"/>
      <c r="CL95" s="185"/>
      <c r="CM95" s="185"/>
      <c r="CN95" s="185"/>
      <c r="CO95" s="185"/>
      <c r="CP95" s="185"/>
      <c r="CQ95" s="185"/>
      <c r="CR95" s="185"/>
      <c r="CS95" s="185"/>
      <c r="CT95" s="185"/>
      <c r="CU95" s="185"/>
      <c r="CV95" s="185"/>
      <c r="CW95" s="185"/>
      <c r="CX95" s="185"/>
      <c r="CY95" s="185"/>
      <c r="CZ95" s="185"/>
      <c r="DA95" s="185"/>
      <c r="DB95" s="185"/>
      <c r="DC95" s="185"/>
      <c r="DD95" s="185"/>
      <c r="DE95" s="185"/>
      <c r="DF95" s="185"/>
      <c r="DG95" s="185"/>
      <c r="DH95" s="185"/>
      <c r="DI95" s="185"/>
      <c r="DJ95" s="185"/>
      <c r="DK95" s="185"/>
      <c r="DL95" s="185"/>
      <c r="DM95" s="185"/>
      <c r="DN95" s="185"/>
      <c r="DO95" s="185"/>
      <c r="DP95" s="185"/>
      <c r="DQ95" s="185"/>
      <c r="DR95" s="185"/>
      <c r="DS95" s="185"/>
      <c r="DT95" s="185"/>
      <c r="DU95" s="185"/>
      <c r="DV95" s="185"/>
      <c r="DW95" s="185"/>
      <c r="DX95" s="185"/>
      <c r="DY95" s="185"/>
      <c r="DZ95" s="185"/>
      <c r="EA95" s="185"/>
      <c r="EB95" s="185"/>
      <c r="EC95" s="185"/>
      <c r="ED95" s="185"/>
      <c r="EE95" s="185"/>
      <c r="EF95" s="185"/>
      <c r="EG95" s="185"/>
      <c r="EH95" s="185"/>
      <c r="EI95" s="185"/>
      <c r="EJ95" s="185"/>
      <c r="EK95" s="185"/>
      <c r="EL95" s="185"/>
      <c r="EM95" s="185"/>
      <c r="EN95" s="185"/>
      <c r="EO95" s="185"/>
      <c r="EP95" s="185"/>
      <c r="EQ95" s="185"/>
      <c r="ER95" s="185"/>
      <c r="ES95" s="185"/>
      <c r="ET95" s="185"/>
      <c r="EU95" s="185"/>
      <c r="EV95" s="185"/>
      <c r="EW95" s="185"/>
      <c r="EX95" s="185"/>
      <c r="EY95" s="185"/>
      <c r="EZ95" s="185"/>
      <c r="FA95" s="185"/>
      <c r="FB95" s="185"/>
      <c r="FC95" s="185"/>
      <c r="FD95" s="185"/>
      <c r="FE95" s="185"/>
      <c r="FF95" s="185"/>
      <c r="FG95" s="185"/>
      <c r="FH95" s="185"/>
      <c r="FI95" s="185"/>
      <c r="FJ95" s="185"/>
      <c r="FK95" s="185"/>
    </row>
    <row r="96" spans="1:167" s="186" customFormat="1" ht="72" hidden="1">
      <c r="A96" s="3" t="s">
        <v>622</v>
      </c>
      <c r="B96" s="78">
        <v>40826</v>
      </c>
      <c r="C96" s="91"/>
      <c r="D96" s="92" t="s">
        <v>676</v>
      </c>
      <c r="E96" s="91"/>
      <c r="F96" s="71" t="s">
        <v>758</v>
      </c>
      <c r="G96" s="91"/>
      <c r="H96" s="91"/>
      <c r="I96" s="91"/>
      <c r="J96" s="91"/>
      <c r="K96" s="91" t="s">
        <v>1557</v>
      </c>
      <c r="L96" s="127"/>
      <c r="M96" s="71" t="s">
        <v>764</v>
      </c>
      <c r="N96" s="71" t="s">
        <v>150</v>
      </c>
      <c r="O96" s="71"/>
      <c r="P96" s="71"/>
      <c r="Q96" s="64">
        <v>40849</v>
      </c>
      <c r="R96" s="105">
        <v>40848</v>
      </c>
      <c r="S96" s="103" t="s">
        <v>765</v>
      </c>
      <c r="T96" s="103"/>
      <c r="U96" s="442" t="s">
        <v>3039</v>
      </c>
      <c r="V96" s="87">
        <v>40848</v>
      </c>
      <c r="W96" s="31"/>
      <c r="X96" s="185"/>
      <c r="Y96" s="176" t="str">
        <f ca="1">IF(Table17[[#This Row],[Required Resolution Date]]="","FALSE",IF($AA$1&gt;Table17[[#This Row],[Required Resolution Date]],"TRUE","FALSE"))</f>
        <v>TRUE</v>
      </c>
      <c r="Z96" s="175">
        <f t="shared" ca="1" si="5"/>
        <v>1</v>
      </c>
      <c r="AA96" s="185"/>
      <c r="AB96" s="175" t="b">
        <f>OR(Table17[[#This Row],[Priority]]="04. High",Table17[[#This Row],[Priority]]="05. Critical")</f>
        <v>0</v>
      </c>
      <c r="AC96" s="284">
        <f ca="1">$AA$1-Table17[[#This Row],[Date captured]]</f>
        <v>164</v>
      </c>
      <c r="AD96" s="175" t="b">
        <f t="shared" ca="1" si="6"/>
        <v>0</v>
      </c>
      <c r="AE96" s="175" t="b">
        <f t="shared" ca="1" si="7"/>
        <v>1</v>
      </c>
      <c r="AF96" s="175" t="b">
        <f t="shared" ca="1" si="8"/>
        <v>0</v>
      </c>
      <c r="AG96" s="284">
        <f ca="1">Table17[[#This Row],[Required Resolution Date]]-$AA$1</f>
        <v>-142</v>
      </c>
      <c r="AH96" s="175" t="b">
        <f t="shared" ca="1" si="9"/>
        <v>0</v>
      </c>
      <c r="AI96" s="327" t="b">
        <f>OR(Table17[[#This Row],[Priority]]="04. High",Table17[[#This Row],[Priority]]="05. Critical",Table17[[#This Row],[Priority]]="03. Moderate")</f>
        <v>1</v>
      </c>
      <c r="AJ96" s="185"/>
      <c r="AK96" s="185"/>
      <c r="AL96" s="185"/>
      <c r="AM96" s="185"/>
      <c r="AN96" s="185"/>
      <c r="AO96" s="185"/>
      <c r="AP96" s="185"/>
      <c r="AQ96" s="185"/>
      <c r="AR96" s="185"/>
      <c r="AS96" s="185"/>
      <c r="AT96" s="185"/>
      <c r="AU96" s="185"/>
      <c r="AV96" s="185"/>
      <c r="AW96" s="185"/>
      <c r="AX96" s="185"/>
      <c r="AY96" s="185"/>
      <c r="AZ96" s="185"/>
      <c r="BA96" s="185"/>
      <c r="BB96" s="185"/>
      <c r="BC96" s="185"/>
      <c r="BD96" s="185"/>
      <c r="BE96" s="185"/>
      <c r="BF96" s="185"/>
      <c r="BG96" s="185"/>
      <c r="BH96" s="185"/>
      <c r="BI96" s="185"/>
      <c r="BJ96" s="185"/>
      <c r="BK96" s="185"/>
      <c r="BL96" s="185"/>
      <c r="BM96" s="185"/>
      <c r="BN96" s="185"/>
      <c r="BO96" s="185"/>
      <c r="BP96" s="185"/>
      <c r="BQ96" s="185"/>
      <c r="BR96" s="185"/>
      <c r="BS96" s="185"/>
      <c r="BT96" s="185"/>
      <c r="BU96" s="185"/>
      <c r="BV96" s="185"/>
      <c r="BW96" s="185"/>
      <c r="BX96" s="185"/>
      <c r="BY96" s="185"/>
      <c r="BZ96" s="185"/>
      <c r="CA96" s="185"/>
      <c r="CB96" s="185"/>
      <c r="CC96" s="185"/>
      <c r="CD96" s="185"/>
      <c r="CE96" s="185"/>
      <c r="CF96" s="185"/>
      <c r="CG96" s="185"/>
      <c r="CH96" s="185"/>
      <c r="CI96" s="185"/>
      <c r="CJ96" s="185"/>
      <c r="CK96" s="185"/>
      <c r="CL96" s="185"/>
      <c r="CM96" s="185"/>
      <c r="CN96" s="185"/>
      <c r="CO96" s="185"/>
      <c r="CP96" s="185"/>
      <c r="CQ96" s="185"/>
      <c r="CR96" s="185"/>
      <c r="CS96" s="185"/>
      <c r="CT96" s="185"/>
      <c r="CU96" s="185"/>
      <c r="CV96" s="185"/>
      <c r="CW96" s="185"/>
      <c r="CX96" s="185"/>
      <c r="CY96" s="185"/>
      <c r="CZ96" s="185"/>
      <c r="DA96" s="185"/>
      <c r="DB96" s="185"/>
      <c r="DC96" s="185"/>
      <c r="DD96" s="185"/>
      <c r="DE96" s="185"/>
      <c r="DF96" s="185"/>
      <c r="DG96" s="185"/>
      <c r="DH96" s="185"/>
      <c r="DI96" s="185"/>
      <c r="DJ96" s="185"/>
      <c r="DK96" s="185"/>
      <c r="DL96" s="185"/>
      <c r="DM96" s="185"/>
      <c r="DN96" s="185"/>
      <c r="DO96" s="185"/>
      <c r="DP96" s="185"/>
      <c r="DQ96" s="185"/>
      <c r="DR96" s="185"/>
      <c r="DS96" s="185"/>
      <c r="DT96" s="185"/>
      <c r="DU96" s="185"/>
      <c r="DV96" s="185"/>
      <c r="DW96" s="185"/>
      <c r="DX96" s="185"/>
      <c r="DY96" s="185"/>
      <c r="DZ96" s="185"/>
      <c r="EA96" s="185"/>
      <c r="EB96" s="185"/>
      <c r="EC96" s="185"/>
      <c r="ED96" s="185"/>
      <c r="EE96" s="185"/>
      <c r="EF96" s="185"/>
      <c r="EG96" s="185"/>
      <c r="EH96" s="185"/>
      <c r="EI96" s="185"/>
      <c r="EJ96" s="185"/>
      <c r="EK96" s="185"/>
      <c r="EL96" s="185"/>
      <c r="EM96" s="185"/>
      <c r="EN96" s="185"/>
      <c r="EO96" s="185"/>
      <c r="EP96" s="185"/>
      <c r="EQ96" s="185"/>
      <c r="ER96" s="185"/>
      <c r="ES96" s="185"/>
      <c r="ET96" s="185"/>
      <c r="EU96" s="185"/>
      <c r="EV96" s="185"/>
      <c r="EW96" s="185"/>
      <c r="EX96" s="185"/>
      <c r="EY96" s="185"/>
      <c r="EZ96" s="185"/>
      <c r="FA96" s="185"/>
      <c r="FB96" s="185"/>
      <c r="FC96" s="185"/>
      <c r="FD96" s="185"/>
      <c r="FE96" s="185"/>
      <c r="FF96" s="185"/>
      <c r="FG96" s="185"/>
      <c r="FH96" s="185"/>
      <c r="FI96" s="185"/>
      <c r="FJ96" s="185"/>
      <c r="FK96" s="185"/>
    </row>
    <row r="97" spans="1:167" s="186" customFormat="1" ht="144" hidden="1">
      <c r="A97" s="3" t="s">
        <v>623</v>
      </c>
      <c r="B97" s="100">
        <v>40826</v>
      </c>
      <c r="C97" s="91"/>
      <c r="D97" s="92" t="s">
        <v>676</v>
      </c>
      <c r="E97" s="91"/>
      <c r="F97" s="65" t="s">
        <v>759</v>
      </c>
      <c r="G97" s="91"/>
      <c r="H97" s="91"/>
      <c r="I97" s="91"/>
      <c r="J97" s="91"/>
      <c r="K97" s="91" t="s">
        <v>1557</v>
      </c>
      <c r="L97" s="127"/>
      <c r="M97" s="65" t="s">
        <v>261</v>
      </c>
      <c r="N97" s="65" t="s">
        <v>150</v>
      </c>
      <c r="O97" s="65"/>
      <c r="P97" s="65"/>
      <c r="Q97" s="107">
        <v>40877</v>
      </c>
      <c r="R97" s="106">
        <v>40878</v>
      </c>
      <c r="S97" s="101" t="s">
        <v>766</v>
      </c>
      <c r="T97" s="101"/>
      <c r="U97" s="447" t="s">
        <v>3040</v>
      </c>
      <c r="V97" s="102">
        <v>40883</v>
      </c>
      <c r="W97" s="31"/>
      <c r="X97" s="185"/>
      <c r="Y97" s="176" t="str">
        <f ca="1">IF(Table17[[#This Row],[Required Resolution Date]]="","FALSE",IF($AA$1&gt;Table17[[#This Row],[Required Resolution Date]],"TRUE","FALSE"))</f>
        <v>TRUE</v>
      </c>
      <c r="Z97" s="175">
        <f t="shared" ca="1" si="5"/>
        <v>1</v>
      </c>
      <c r="AA97" s="185"/>
      <c r="AB97" s="175" t="b">
        <f>OR(Table17[[#This Row],[Priority]]="04. High",Table17[[#This Row],[Priority]]="05. Critical")</f>
        <v>0</v>
      </c>
      <c r="AC97" s="284">
        <f ca="1">$AA$1-Table17[[#This Row],[Date captured]]</f>
        <v>164</v>
      </c>
      <c r="AD97" s="175" t="b">
        <f t="shared" ca="1" si="6"/>
        <v>0</v>
      </c>
      <c r="AE97" s="175" t="b">
        <f t="shared" ca="1" si="7"/>
        <v>1</v>
      </c>
      <c r="AF97" s="175" t="b">
        <f t="shared" ca="1" si="8"/>
        <v>0</v>
      </c>
      <c r="AG97" s="284">
        <f ca="1">Table17[[#This Row],[Required Resolution Date]]-$AA$1</f>
        <v>-112</v>
      </c>
      <c r="AH97" s="175" t="b">
        <f t="shared" ca="1" si="9"/>
        <v>0</v>
      </c>
      <c r="AI97" s="327" t="b">
        <f>OR(Table17[[#This Row],[Priority]]="04. High",Table17[[#This Row],[Priority]]="05. Critical",Table17[[#This Row],[Priority]]="03. Moderate")</f>
        <v>1</v>
      </c>
      <c r="AJ97" s="185"/>
      <c r="AK97" s="185"/>
      <c r="AL97" s="185"/>
      <c r="AM97" s="185"/>
      <c r="AN97" s="185"/>
      <c r="AO97" s="185"/>
      <c r="AP97" s="185"/>
      <c r="AQ97" s="185"/>
      <c r="AR97" s="185"/>
      <c r="AS97" s="185"/>
      <c r="AT97" s="185"/>
      <c r="AU97" s="185"/>
      <c r="AV97" s="185"/>
      <c r="AW97" s="185"/>
      <c r="AX97" s="185"/>
      <c r="AY97" s="185"/>
      <c r="AZ97" s="185"/>
      <c r="BA97" s="185"/>
      <c r="BB97" s="185"/>
      <c r="BC97" s="185"/>
      <c r="BD97" s="185"/>
      <c r="BE97" s="185"/>
      <c r="BF97" s="185"/>
      <c r="BG97" s="185"/>
      <c r="BH97" s="185"/>
      <c r="BI97" s="185"/>
      <c r="BJ97" s="185"/>
      <c r="BK97" s="185"/>
      <c r="BL97" s="185"/>
      <c r="BM97" s="185"/>
      <c r="BN97" s="185"/>
      <c r="BO97" s="185"/>
      <c r="BP97" s="185"/>
      <c r="BQ97" s="185"/>
      <c r="BR97" s="185"/>
      <c r="BS97" s="185"/>
      <c r="BT97" s="185"/>
      <c r="BU97" s="185"/>
      <c r="BV97" s="185"/>
      <c r="BW97" s="185"/>
      <c r="BX97" s="185"/>
      <c r="BY97" s="185"/>
      <c r="BZ97" s="185"/>
      <c r="CA97" s="185"/>
      <c r="CB97" s="185"/>
      <c r="CC97" s="185"/>
      <c r="CD97" s="185"/>
      <c r="CE97" s="185"/>
      <c r="CF97" s="185"/>
      <c r="CG97" s="185"/>
      <c r="CH97" s="185"/>
      <c r="CI97" s="185"/>
      <c r="CJ97" s="185"/>
      <c r="CK97" s="185"/>
      <c r="CL97" s="185"/>
      <c r="CM97" s="185"/>
      <c r="CN97" s="185"/>
      <c r="CO97" s="185"/>
      <c r="CP97" s="185"/>
      <c r="CQ97" s="185"/>
      <c r="CR97" s="185"/>
      <c r="CS97" s="185"/>
      <c r="CT97" s="185"/>
      <c r="CU97" s="185"/>
      <c r="CV97" s="185"/>
      <c r="CW97" s="185"/>
      <c r="CX97" s="185"/>
      <c r="CY97" s="185"/>
      <c r="CZ97" s="185"/>
      <c r="DA97" s="185"/>
      <c r="DB97" s="185"/>
      <c r="DC97" s="185"/>
      <c r="DD97" s="185"/>
      <c r="DE97" s="185"/>
      <c r="DF97" s="185"/>
      <c r="DG97" s="185"/>
      <c r="DH97" s="185"/>
      <c r="DI97" s="185"/>
      <c r="DJ97" s="185"/>
      <c r="DK97" s="185"/>
      <c r="DL97" s="185"/>
      <c r="DM97" s="185"/>
      <c r="DN97" s="185"/>
      <c r="DO97" s="185"/>
      <c r="DP97" s="185"/>
      <c r="DQ97" s="185"/>
      <c r="DR97" s="185"/>
      <c r="DS97" s="185"/>
      <c r="DT97" s="185"/>
      <c r="DU97" s="185"/>
      <c r="DV97" s="185"/>
      <c r="DW97" s="185"/>
      <c r="DX97" s="185"/>
      <c r="DY97" s="185"/>
      <c r="DZ97" s="185"/>
      <c r="EA97" s="185"/>
      <c r="EB97" s="185"/>
      <c r="EC97" s="185"/>
      <c r="ED97" s="185"/>
      <c r="EE97" s="185"/>
      <c r="EF97" s="185"/>
      <c r="EG97" s="185"/>
      <c r="EH97" s="185"/>
      <c r="EI97" s="185"/>
      <c r="EJ97" s="185"/>
      <c r="EK97" s="185"/>
      <c r="EL97" s="185"/>
      <c r="EM97" s="185"/>
      <c r="EN97" s="185"/>
      <c r="EO97" s="185"/>
      <c r="EP97" s="185"/>
      <c r="EQ97" s="185"/>
      <c r="ER97" s="185"/>
      <c r="ES97" s="185"/>
      <c r="ET97" s="185"/>
      <c r="EU97" s="185"/>
      <c r="EV97" s="185"/>
      <c r="EW97" s="185"/>
      <c r="EX97" s="185"/>
      <c r="EY97" s="185"/>
      <c r="EZ97" s="185"/>
      <c r="FA97" s="185"/>
      <c r="FB97" s="185"/>
      <c r="FC97" s="185"/>
      <c r="FD97" s="185"/>
      <c r="FE97" s="185"/>
      <c r="FF97" s="185"/>
      <c r="FG97" s="185"/>
      <c r="FH97" s="185"/>
      <c r="FI97" s="185"/>
      <c r="FJ97" s="185"/>
      <c r="FK97" s="185"/>
    </row>
    <row r="98" spans="1:167" s="186" customFormat="1" ht="72" hidden="1">
      <c r="A98" s="3" t="s">
        <v>624</v>
      </c>
      <c r="B98" s="78">
        <v>40826</v>
      </c>
      <c r="C98" s="91"/>
      <c r="D98" s="92" t="s">
        <v>676</v>
      </c>
      <c r="E98" s="91"/>
      <c r="F98" s="71" t="s">
        <v>760</v>
      </c>
      <c r="G98" s="91"/>
      <c r="H98" s="91"/>
      <c r="I98" s="91"/>
      <c r="J98" s="91"/>
      <c r="K98" s="91" t="s">
        <v>1557</v>
      </c>
      <c r="L98" s="127"/>
      <c r="M98" s="71" t="s">
        <v>767</v>
      </c>
      <c r="N98" s="71" t="s">
        <v>150</v>
      </c>
      <c r="O98" s="71"/>
      <c r="P98" s="71"/>
      <c r="Q98" s="64">
        <v>40835</v>
      </c>
      <c r="R98" s="105" t="s">
        <v>768</v>
      </c>
      <c r="S98" s="103" t="s">
        <v>769</v>
      </c>
      <c r="T98" s="103"/>
      <c r="U98" s="442" t="s">
        <v>3041</v>
      </c>
      <c r="V98" s="87">
        <v>40835</v>
      </c>
      <c r="W98" s="31"/>
      <c r="X98" s="185"/>
      <c r="Y98" s="176" t="str">
        <f ca="1">IF(Table17[[#This Row],[Required Resolution Date]]="","FALSE",IF($AA$1&gt;Table17[[#This Row],[Required Resolution Date]],"TRUE","FALSE"))</f>
        <v>FALSE</v>
      </c>
      <c r="Z98" s="175">
        <f t="shared" ca="1" si="5"/>
        <v>0</v>
      </c>
      <c r="AA98" s="185"/>
      <c r="AB98" s="175" t="b">
        <f>OR(Table17[[#This Row],[Priority]]="04. High",Table17[[#This Row],[Priority]]="05. Critical")</f>
        <v>0</v>
      </c>
      <c r="AC98" s="284">
        <f ca="1">$AA$1-Table17[[#This Row],[Date captured]]</f>
        <v>164</v>
      </c>
      <c r="AD98" s="175" t="b">
        <f t="shared" ca="1" si="6"/>
        <v>0</v>
      </c>
      <c r="AE98" s="175" t="b">
        <f t="shared" ca="1" si="7"/>
        <v>1</v>
      </c>
      <c r="AF98" s="175" t="b">
        <f t="shared" ca="1" si="8"/>
        <v>0</v>
      </c>
      <c r="AG98" s="284" t="e">
        <f ca="1">Table17[[#This Row],[Required Resolution Date]]-$AA$1</f>
        <v>#VALUE!</v>
      </c>
      <c r="AH98" s="175" t="e">
        <f t="shared" ca="1" si="9"/>
        <v>#VALUE!</v>
      </c>
      <c r="AI98" s="327" t="b">
        <f>OR(Table17[[#This Row],[Priority]]="04. High",Table17[[#This Row],[Priority]]="05. Critical",Table17[[#This Row],[Priority]]="03. Moderate")</f>
        <v>1</v>
      </c>
      <c r="AJ98" s="185"/>
      <c r="AK98" s="185"/>
      <c r="AL98" s="185"/>
      <c r="AM98" s="185"/>
      <c r="AN98" s="185"/>
      <c r="AO98" s="185"/>
      <c r="AP98" s="185"/>
      <c r="AQ98" s="185"/>
      <c r="AR98" s="185"/>
      <c r="AS98" s="185"/>
      <c r="AT98" s="185"/>
      <c r="AU98" s="185"/>
      <c r="AV98" s="185"/>
      <c r="AW98" s="185"/>
      <c r="AX98" s="185"/>
      <c r="AY98" s="185"/>
      <c r="AZ98" s="185"/>
      <c r="BA98" s="185"/>
      <c r="BB98" s="185"/>
      <c r="BC98" s="185"/>
      <c r="BD98" s="185"/>
      <c r="BE98" s="185"/>
      <c r="BF98" s="185"/>
      <c r="BG98" s="185"/>
      <c r="BH98" s="185"/>
      <c r="BI98" s="185"/>
      <c r="BJ98" s="185"/>
      <c r="BK98" s="185"/>
      <c r="BL98" s="185"/>
      <c r="BM98" s="185"/>
      <c r="BN98" s="185"/>
      <c r="BO98" s="185"/>
      <c r="BP98" s="185"/>
      <c r="BQ98" s="185"/>
      <c r="BR98" s="185"/>
      <c r="BS98" s="185"/>
      <c r="BT98" s="185"/>
      <c r="BU98" s="185"/>
      <c r="BV98" s="185"/>
      <c r="BW98" s="185"/>
      <c r="BX98" s="185"/>
      <c r="BY98" s="185"/>
      <c r="BZ98" s="185"/>
      <c r="CA98" s="185"/>
      <c r="CB98" s="185"/>
      <c r="CC98" s="185"/>
      <c r="CD98" s="185"/>
      <c r="CE98" s="185"/>
      <c r="CF98" s="185"/>
      <c r="CG98" s="185"/>
      <c r="CH98" s="185"/>
      <c r="CI98" s="185"/>
      <c r="CJ98" s="185"/>
      <c r="CK98" s="185"/>
      <c r="CL98" s="185"/>
      <c r="CM98" s="185"/>
      <c r="CN98" s="185"/>
      <c r="CO98" s="185"/>
      <c r="CP98" s="185"/>
      <c r="CQ98" s="185"/>
      <c r="CR98" s="185"/>
      <c r="CS98" s="185"/>
      <c r="CT98" s="185"/>
      <c r="CU98" s="185"/>
      <c r="CV98" s="185"/>
      <c r="CW98" s="185"/>
      <c r="CX98" s="185"/>
      <c r="CY98" s="185"/>
      <c r="CZ98" s="185"/>
      <c r="DA98" s="185"/>
      <c r="DB98" s="185"/>
      <c r="DC98" s="185"/>
      <c r="DD98" s="185"/>
      <c r="DE98" s="185"/>
      <c r="DF98" s="185"/>
      <c r="DG98" s="185"/>
      <c r="DH98" s="185"/>
      <c r="DI98" s="185"/>
      <c r="DJ98" s="185"/>
      <c r="DK98" s="185"/>
      <c r="DL98" s="185"/>
      <c r="DM98" s="185"/>
      <c r="DN98" s="185"/>
      <c r="DO98" s="185"/>
      <c r="DP98" s="185"/>
      <c r="DQ98" s="185"/>
      <c r="DR98" s="185"/>
      <c r="DS98" s="185"/>
      <c r="DT98" s="185"/>
      <c r="DU98" s="185"/>
      <c r="DV98" s="185"/>
      <c r="DW98" s="185"/>
      <c r="DX98" s="185"/>
      <c r="DY98" s="185"/>
      <c r="DZ98" s="185"/>
      <c r="EA98" s="185"/>
      <c r="EB98" s="185"/>
      <c r="EC98" s="185"/>
      <c r="ED98" s="185"/>
      <c r="EE98" s="185"/>
      <c r="EF98" s="185"/>
      <c r="EG98" s="185"/>
      <c r="EH98" s="185"/>
      <c r="EI98" s="185"/>
      <c r="EJ98" s="185"/>
      <c r="EK98" s="185"/>
      <c r="EL98" s="185"/>
      <c r="EM98" s="185"/>
      <c r="EN98" s="185"/>
      <c r="EO98" s="185"/>
      <c r="EP98" s="185"/>
      <c r="EQ98" s="185"/>
      <c r="ER98" s="185"/>
      <c r="ES98" s="185"/>
      <c r="ET98" s="185"/>
      <c r="EU98" s="185"/>
      <c r="EV98" s="185"/>
      <c r="EW98" s="185"/>
      <c r="EX98" s="185"/>
      <c r="EY98" s="185"/>
      <c r="EZ98" s="185"/>
      <c r="FA98" s="185"/>
      <c r="FB98" s="185"/>
      <c r="FC98" s="185"/>
      <c r="FD98" s="185"/>
      <c r="FE98" s="185"/>
      <c r="FF98" s="185"/>
      <c r="FG98" s="185"/>
      <c r="FH98" s="185"/>
      <c r="FI98" s="185"/>
      <c r="FJ98" s="185"/>
      <c r="FK98" s="185"/>
    </row>
    <row r="99" spans="1:167" s="186" customFormat="1" ht="38.25" hidden="1" customHeight="1">
      <c r="A99" s="3" t="s">
        <v>625</v>
      </c>
      <c r="B99" s="100">
        <v>40826</v>
      </c>
      <c r="C99" s="91"/>
      <c r="D99" s="92" t="s">
        <v>676</v>
      </c>
      <c r="E99" s="91"/>
      <c r="F99" s="65" t="s">
        <v>761</v>
      </c>
      <c r="G99" s="91"/>
      <c r="H99" s="91"/>
      <c r="I99" s="91"/>
      <c r="J99" s="91"/>
      <c r="K99" s="91" t="s">
        <v>151</v>
      </c>
      <c r="L99" s="127"/>
      <c r="M99" s="65" t="s">
        <v>724</v>
      </c>
      <c r="N99" s="65" t="s">
        <v>149</v>
      </c>
      <c r="O99" s="65"/>
      <c r="P99" s="65"/>
      <c r="Q99" s="107">
        <v>40849</v>
      </c>
      <c r="R99" s="106">
        <v>40849</v>
      </c>
      <c r="S99" s="101" t="s">
        <v>770</v>
      </c>
      <c r="T99" s="101"/>
      <c r="U99" s="447" t="s">
        <v>3042</v>
      </c>
      <c r="V99" s="102">
        <v>40849</v>
      </c>
      <c r="W99" s="31"/>
      <c r="X99" s="185"/>
      <c r="Y99" s="176" t="str">
        <f ca="1">IF(Table17[[#This Row],[Required Resolution Date]]="","FALSE",IF($AA$1&gt;Table17[[#This Row],[Required Resolution Date]],"TRUE","FALSE"))</f>
        <v>TRUE</v>
      </c>
      <c r="Z99" s="175">
        <f t="shared" ca="1" si="5"/>
        <v>1</v>
      </c>
      <c r="AA99" s="185"/>
      <c r="AB99" s="175" t="b">
        <f>OR(Table17[[#This Row],[Priority]]="04. High",Table17[[#This Row],[Priority]]="05. Critical")</f>
        <v>1</v>
      </c>
      <c r="AC99" s="284">
        <f ca="1">$AA$1-Table17[[#This Row],[Date captured]]</f>
        <v>164</v>
      </c>
      <c r="AD99" s="175" t="b">
        <f t="shared" ca="1" si="6"/>
        <v>0</v>
      </c>
      <c r="AE99" s="175" t="b">
        <f t="shared" ca="1" si="7"/>
        <v>1</v>
      </c>
      <c r="AF99" s="175" t="b">
        <f t="shared" ca="1" si="8"/>
        <v>0</v>
      </c>
      <c r="AG99" s="284">
        <f ca="1">Table17[[#This Row],[Required Resolution Date]]-$AA$1</f>
        <v>-141</v>
      </c>
      <c r="AH99" s="175" t="b">
        <f t="shared" ca="1" si="9"/>
        <v>0</v>
      </c>
      <c r="AI99" s="327" t="b">
        <f>OR(Table17[[#This Row],[Priority]]="04. High",Table17[[#This Row],[Priority]]="05. Critical",Table17[[#This Row],[Priority]]="03. Moderate")</f>
        <v>1</v>
      </c>
      <c r="AJ99" s="185"/>
      <c r="AK99" s="185"/>
      <c r="AL99" s="185"/>
      <c r="AM99" s="185"/>
      <c r="AN99" s="185"/>
      <c r="AO99" s="185"/>
      <c r="AP99" s="185"/>
      <c r="AQ99" s="185"/>
      <c r="AR99" s="185"/>
      <c r="AS99" s="185"/>
      <c r="AT99" s="185"/>
      <c r="AU99" s="185"/>
      <c r="AV99" s="185"/>
      <c r="AW99" s="185"/>
      <c r="AX99" s="185"/>
      <c r="AY99" s="185"/>
      <c r="AZ99" s="185"/>
      <c r="BA99" s="185"/>
      <c r="BB99" s="185"/>
      <c r="BC99" s="185"/>
      <c r="BD99" s="185"/>
      <c r="BE99" s="185"/>
      <c r="BF99" s="185"/>
      <c r="BG99" s="185"/>
      <c r="BH99" s="185"/>
      <c r="BI99" s="185"/>
      <c r="BJ99" s="185"/>
      <c r="BK99" s="185"/>
      <c r="BL99" s="185"/>
      <c r="BM99" s="185"/>
      <c r="BN99" s="185"/>
      <c r="BO99" s="185"/>
      <c r="BP99" s="185"/>
      <c r="BQ99" s="185"/>
      <c r="BR99" s="185"/>
      <c r="BS99" s="185"/>
      <c r="BT99" s="185"/>
      <c r="BU99" s="185"/>
      <c r="BV99" s="185"/>
      <c r="BW99" s="185"/>
      <c r="BX99" s="185"/>
      <c r="BY99" s="185"/>
      <c r="BZ99" s="185"/>
      <c r="CA99" s="185"/>
      <c r="CB99" s="185"/>
      <c r="CC99" s="185"/>
      <c r="CD99" s="185"/>
      <c r="CE99" s="185"/>
      <c r="CF99" s="185"/>
      <c r="CG99" s="185"/>
      <c r="CH99" s="185"/>
      <c r="CI99" s="185"/>
      <c r="CJ99" s="185"/>
      <c r="CK99" s="185"/>
      <c r="CL99" s="185"/>
      <c r="CM99" s="185"/>
      <c r="CN99" s="185"/>
      <c r="CO99" s="185"/>
      <c r="CP99" s="185"/>
      <c r="CQ99" s="185"/>
      <c r="CR99" s="185"/>
      <c r="CS99" s="185"/>
      <c r="CT99" s="185"/>
      <c r="CU99" s="185"/>
      <c r="CV99" s="185"/>
      <c r="CW99" s="185"/>
      <c r="CX99" s="185"/>
      <c r="CY99" s="185"/>
      <c r="CZ99" s="185"/>
      <c r="DA99" s="185"/>
      <c r="DB99" s="185"/>
      <c r="DC99" s="185"/>
      <c r="DD99" s="185"/>
      <c r="DE99" s="185"/>
      <c r="DF99" s="185"/>
      <c r="DG99" s="185"/>
      <c r="DH99" s="185"/>
      <c r="DI99" s="185"/>
      <c r="DJ99" s="185"/>
      <c r="DK99" s="185"/>
      <c r="DL99" s="185"/>
      <c r="DM99" s="185"/>
      <c r="DN99" s="185"/>
      <c r="DO99" s="185"/>
      <c r="DP99" s="185"/>
      <c r="DQ99" s="185"/>
      <c r="DR99" s="185"/>
      <c r="DS99" s="185"/>
      <c r="DT99" s="185"/>
      <c r="DU99" s="185"/>
      <c r="DV99" s="185"/>
      <c r="DW99" s="185"/>
      <c r="DX99" s="185"/>
      <c r="DY99" s="185"/>
      <c r="DZ99" s="185"/>
      <c r="EA99" s="185"/>
      <c r="EB99" s="185"/>
      <c r="EC99" s="185"/>
      <c r="ED99" s="185"/>
      <c r="EE99" s="185"/>
      <c r="EF99" s="185"/>
      <c r="EG99" s="185"/>
      <c r="EH99" s="185"/>
      <c r="EI99" s="185"/>
      <c r="EJ99" s="185"/>
      <c r="EK99" s="185"/>
      <c r="EL99" s="185"/>
      <c r="EM99" s="185"/>
      <c r="EN99" s="185"/>
      <c r="EO99" s="185"/>
      <c r="EP99" s="185"/>
      <c r="EQ99" s="185"/>
      <c r="ER99" s="185"/>
      <c r="ES99" s="185"/>
      <c r="ET99" s="185"/>
      <c r="EU99" s="185"/>
      <c r="EV99" s="185"/>
      <c r="EW99" s="185"/>
      <c r="EX99" s="185"/>
      <c r="EY99" s="185"/>
      <c r="EZ99" s="185"/>
      <c r="FA99" s="185"/>
      <c r="FB99" s="185"/>
      <c r="FC99" s="185"/>
      <c r="FD99" s="185"/>
      <c r="FE99" s="185"/>
      <c r="FF99" s="185"/>
      <c r="FG99" s="185"/>
      <c r="FH99" s="185"/>
      <c r="FI99" s="185"/>
      <c r="FJ99" s="185"/>
      <c r="FK99" s="185"/>
    </row>
    <row r="100" spans="1:167" s="186" customFormat="1" ht="72" hidden="1">
      <c r="A100" s="3" t="s">
        <v>626</v>
      </c>
      <c r="B100" s="64">
        <v>40826</v>
      </c>
      <c r="C100" s="91"/>
      <c r="D100" s="92" t="s">
        <v>676</v>
      </c>
      <c r="E100" s="91"/>
      <c r="F100" s="387" t="s">
        <v>762</v>
      </c>
      <c r="G100" s="91"/>
      <c r="H100" s="91"/>
      <c r="I100" s="91"/>
      <c r="J100" s="91"/>
      <c r="K100" s="91" t="s">
        <v>151</v>
      </c>
      <c r="L100" s="127"/>
      <c r="M100" s="56" t="s">
        <v>771</v>
      </c>
      <c r="N100" s="71" t="s">
        <v>149</v>
      </c>
      <c r="O100" s="71"/>
      <c r="P100" s="71"/>
      <c r="Q100" s="72">
        <v>40856</v>
      </c>
      <c r="R100" s="106"/>
      <c r="S100" s="68" t="s">
        <v>772</v>
      </c>
      <c r="T100" s="68"/>
      <c r="U100" s="441" t="s">
        <v>3043</v>
      </c>
      <c r="V100" s="63">
        <v>40856</v>
      </c>
      <c r="W100" s="31"/>
      <c r="X100" s="185"/>
      <c r="Y100" s="176" t="str">
        <f>IF(Table17[[#This Row],[Required Resolution Date]]="","FALSE",IF($AA$1&gt;Table17[[#This Row],[Required Resolution Date]],"TRUE","FALSE"))</f>
        <v>FALSE</v>
      </c>
      <c r="Z100" s="175">
        <f t="shared" si="5"/>
        <v>0</v>
      </c>
      <c r="AA100" s="185"/>
      <c r="AB100" s="175" t="b">
        <f>OR(Table17[[#This Row],[Priority]]="04. High",Table17[[#This Row],[Priority]]="05. Critical")</f>
        <v>1</v>
      </c>
      <c r="AC100" s="284">
        <f ca="1">$AA$1-Table17[[#This Row],[Date captured]]</f>
        <v>164</v>
      </c>
      <c r="AD100" s="175" t="b">
        <f t="shared" ca="1" si="6"/>
        <v>0</v>
      </c>
      <c r="AE100" s="175" t="b">
        <f t="shared" ca="1" si="7"/>
        <v>1</v>
      </c>
      <c r="AF100" s="175" t="b">
        <f t="shared" ca="1" si="8"/>
        <v>0</v>
      </c>
      <c r="AG100" s="284">
        <f ca="1">Table17[[#This Row],[Required Resolution Date]]-$AA$1</f>
        <v>-40990</v>
      </c>
      <c r="AH100" s="175" t="b">
        <f t="shared" ca="1" si="9"/>
        <v>0</v>
      </c>
      <c r="AI100" s="327" t="b">
        <f>OR(Table17[[#This Row],[Priority]]="04. High",Table17[[#This Row],[Priority]]="05. Critical",Table17[[#This Row],[Priority]]="03. Moderate")</f>
        <v>1</v>
      </c>
      <c r="AJ100" s="185"/>
      <c r="AK100" s="185"/>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c r="BS100" s="185"/>
      <c r="BT100" s="185"/>
      <c r="BU100" s="185"/>
      <c r="BV100" s="185"/>
      <c r="BW100" s="185"/>
      <c r="BX100" s="185"/>
      <c r="BY100" s="185"/>
      <c r="BZ100" s="185"/>
      <c r="CA100" s="185"/>
      <c r="CB100" s="185"/>
      <c r="CC100" s="185"/>
      <c r="CD100" s="185"/>
      <c r="CE100" s="185"/>
      <c r="CF100" s="185"/>
      <c r="CG100" s="185"/>
      <c r="CH100" s="185"/>
      <c r="CI100" s="185"/>
      <c r="CJ100" s="185"/>
      <c r="CK100" s="185"/>
      <c r="CL100" s="185"/>
      <c r="CM100" s="185"/>
      <c r="CN100" s="185"/>
      <c r="CO100" s="185"/>
      <c r="CP100" s="185"/>
      <c r="CQ100" s="185"/>
      <c r="CR100" s="185"/>
      <c r="CS100" s="185"/>
      <c r="CT100" s="185"/>
      <c r="CU100" s="185"/>
      <c r="CV100" s="185"/>
      <c r="CW100" s="185"/>
      <c r="CX100" s="185"/>
      <c r="CY100" s="185"/>
      <c r="CZ100" s="185"/>
      <c r="DA100" s="185"/>
      <c r="DB100" s="185"/>
      <c r="DC100" s="185"/>
      <c r="DD100" s="185"/>
      <c r="DE100" s="185"/>
      <c r="DF100" s="185"/>
      <c r="DG100" s="185"/>
      <c r="DH100" s="185"/>
      <c r="DI100" s="185"/>
      <c r="DJ100" s="185"/>
      <c r="DK100" s="185"/>
      <c r="DL100" s="185"/>
      <c r="DM100" s="185"/>
      <c r="DN100" s="185"/>
      <c r="DO100" s="185"/>
      <c r="DP100" s="185"/>
      <c r="DQ100" s="185"/>
      <c r="DR100" s="185"/>
      <c r="DS100" s="185"/>
      <c r="DT100" s="185"/>
      <c r="DU100" s="185"/>
      <c r="DV100" s="185"/>
      <c r="DW100" s="185"/>
      <c r="DX100" s="185"/>
      <c r="DY100" s="185"/>
      <c r="DZ100" s="185"/>
      <c r="EA100" s="185"/>
      <c r="EB100" s="185"/>
      <c r="EC100" s="185"/>
      <c r="ED100" s="185"/>
      <c r="EE100" s="185"/>
      <c r="EF100" s="185"/>
      <c r="EG100" s="185"/>
      <c r="EH100" s="185"/>
      <c r="EI100" s="185"/>
      <c r="EJ100" s="185"/>
      <c r="EK100" s="185"/>
      <c r="EL100" s="185"/>
      <c r="EM100" s="185"/>
      <c r="EN100" s="185"/>
      <c r="EO100" s="185"/>
      <c r="EP100" s="185"/>
      <c r="EQ100" s="185"/>
      <c r="ER100" s="185"/>
      <c r="ES100" s="185"/>
      <c r="ET100" s="185"/>
      <c r="EU100" s="185"/>
      <c r="EV100" s="185"/>
      <c r="EW100" s="185"/>
      <c r="EX100" s="185"/>
      <c r="EY100" s="185"/>
      <c r="EZ100" s="185"/>
      <c r="FA100" s="185"/>
      <c r="FB100" s="185"/>
      <c r="FC100" s="185"/>
      <c r="FD100" s="185"/>
      <c r="FE100" s="185"/>
      <c r="FF100" s="185"/>
      <c r="FG100" s="185"/>
      <c r="FH100" s="185"/>
      <c r="FI100" s="185"/>
      <c r="FJ100" s="185"/>
      <c r="FK100" s="185"/>
    </row>
    <row r="101" spans="1:167" s="186" customFormat="1" ht="228" hidden="1">
      <c r="A101" s="3" t="s">
        <v>627</v>
      </c>
      <c r="B101" s="94">
        <v>40828</v>
      </c>
      <c r="C101" s="91"/>
      <c r="D101" s="92" t="s">
        <v>676</v>
      </c>
      <c r="E101" s="91"/>
      <c r="F101" s="95" t="s">
        <v>773</v>
      </c>
      <c r="G101" s="91"/>
      <c r="H101" s="91"/>
      <c r="I101" s="91"/>
      <c r="J101" s="91"/>
      <c r="K101" s="91" t="s">
        <v>1558</v>
      </c>
      <c r="L101" s="127"/>
      <c r="M101" s="65" t="s">
        <v>720</v>
      </c>
      <c r="N101" s="95" t="s">
        <v>721</v>
      </c>
      <c r="O101" s="95"/>
      <c r="P101" s="95"/>
      <c r="Q101" s="100">
        <v>40849</v>
      </c>
      <c r="R101" s="105">
        <v>40939</v>
      </c>
      <c r="S101" s="96" t="s">
        <v>779</v>
      </c>
      <c r="T101" s="96"/>
      <c r="U101" s="446" t="s">
        <v>3044</v>
      </c>
      <c r="V101" s="99">
        <v>40870</v>
      </c>
      <c r="W101" s="31"/>
      <c r="X101" s="185"/>
      <c r="Y101" s="176" t="str">
        <f ca="1">IF(Table17[[#This Row],[Required Resolution Date]]="","FALSE",IF($AA$1&gt;Table17[[#This Row],[Required Resolution Date]],"TRUE","FALSE"))</f>
        <v>TRUE</v>
      </c>
      <c r="Z101" s="175">
        <f t="shared" ca="1" si="5"/>
        <v>1</v>
      </c>
      <c r="AA101" s="185"/>
      <c r="AB101" s="175" t="b">
        <f>OR(Table17[[#This Row],[Priority]]="04. High",Table17[[#This Row],[Priority]]="05. Critical")</f>
        <v>0</v>
      </c>
      <c r="AC101" s="284">
        <f ca="1">$AA$1-Table17[[#This Row],[Date captured]]</f>
        <v>162</v>
      </c>
      <c r="AD101" s="175" t="b">
        <f t="shared" ca="1" si="6"/>
        <v>0</v>
      </c>
      <c r="AE101" s="175" t="b">
        <f t="shared" ca="1" si="7"/>
        <v>1</v>
      </c>
      <c r="AF101" s="175" t="b">
        <f t="shared" ca="1" si="8"/>
        <v>0</v>
      </c>
      <c r="AG101" s="284">
        <f ca="1">Table17[[#This Row],[Required Resolution Date]]-$AA$1</f>
        <v>-51</v>
      </c>
      <c r="AH101" s="175" t="b">
        <f t="shared" ca="1" si="9"/>
        <v>0</v>
      </c>
      <c r="AI101" s="327" t="b">
        <f>OR(Table17[[#This Row],[Priority]]="04. High",Table17[[#This Row],[Priority]]="05. Critical",Table17[[#This Row],[Priority]]="03. Moderate")</f>
        <v>0</v>
      </c>
      <c r="AJ101" s="185"/>
      <c r="AK101" s="185"/>
      <c r="AL101" s="185"/>
      <c r="AM101" s="185"/>
      <c r="AN101" s="185"/>
      <c r="AO101" s="185"/>
      <c r="AP101" s="185"/>
      <c r="AQ101" s="185"/>
      <c r="AR101" s="185"/>
      <c r="AS101" s="185"/>
      <c r="AT101" s="185"/>
      <c r="AU101" s="185"/>
      <c r="AV101" s="185"/>
      <c r="AW101" s="185"/>
      <c r="AX101" s="185"/>
      <c r="AY101" s="185"/>
      <c r="AZ101" s="185"/>
      <c r="BA101" s="185"/>
      <c r="BB101" s="185"/>
      <c r="BC101" s="185"/>
      <c r="BD101" s="185"/>
      <c r="BE101" s="185"/>
      <c r="BF101" s="185"/>
      <c r="BG101" s="185"/>
      <c r="BH101" s="185"/>
      <c r="BI101" s="185"/>
      <c r="BJ101" s="185"/>
      <c r="BK101" s="185"/>
      <c r="BL101" s="185"/>
      <c r="BM101" s="185"/>
      <c r="BN101" s="185"/>
      <c r="BO101" s="185"/>
      <c r="BP101" s="185"/>
      <c r="BQ101" s="185"/>
      <c r="BR101" s="185"/>
      <c r="BS101" s="185"/>
      <c r="BT101" s="185"/>
      <c r="BU101" s="185"/>
      <c r="BV101" s="185"/>
      <c r="BW101" s="185"/>
      <c r="BX101" s="185"/>
      <c r="BY101" s="185"/>
      <c r="BZ101" s="185"/>
      <c r="CA101" s="185"/>
      <c r="CB101" s="185"/>
      <c r="CC101" s="185"/>
      <c r="CD101" s="185"/>
      <c r="CE101" s="185"/>
      <c r="CF101" s="185"/>
      <c r="CG101" s="185"/>
      <c r="CH101" s="185"/>
      <c r="CI101" s="185"/>
      <c r="CJ101" s="185"/>
      <c r="CK101" s="185"/>
      <c r="CL101" s="185"/>
      <c r="CM101" s="185"/>
      <c r="CN101" s="185"/>
      <c r="CO101" s="185"/>
      <c r="CP101" s="185"/>
      <c r="CQ101" s="185"/>
      <c r="CR101" s="185"/>
      <c r="CS101" s="185"/>
      <c r="CT101" s="185"/>
      <c r="CU101" s="185"/>
      <c r="CV101" s="185"/>
      <c r="CW101" s="185"/>
      <c r="CX101" s="185"/>
      <c r="CY101" s="185"/>
      <c r="CZ101" s="185"/>
      <c r="DA101" s="185"/>
      <c r="DB101" s="185"/>
      <c r="DC101" s="185"/>
      <c r="DD101" s="185"/>
      <c r="DE101" s="185"/>
      <c r="DF101" s="185"/>
      <c r="DG101" s="185"/>
      <c r="DH101" s="185"/>
      <c r="DI101" s="185"/>
      <c r="DJ101" s="185"/>
      <c r="DK101" s="185"/>
      <c r="DL101" s="185"/>
      <c r="DM101" s="185"/>
      <c r="DN101" s="185"/>
      <c r="DO101" s="185"/>
      <c r="DP101" s="185"/>
      <c r="DQ101" s="185"/>
      <c r="DR101" s="185"/>
      <c r="DS101" s="185"/>
      <c r="DT101" s="185"/>
      <c r="DU101" s="185"/>
      <c r="DV101" s="185"/>
      <c r="DW101" s="185"/>
      <c r="DX101" s="185"/>
      <c r="DY101" s="185"/>
      <c r="DZ101" s="185"/>
      <c r="EA101" s="185"/>
      <c r="EB101" s="185"/>
      <c r="EC101" s="185"/>
      <c r="ED101" s="185"/>
      <c r="EE101" s="185"/>
      <c r="EF101" s="185"/>
      <c r="EG101" s="185"/>
      <c r="EH101" s="185"/>
      <c r="EI101" s="185"/>
      <c r="EJ101" s="185"/>
      <c r="EK101" s="185"/>
      <c r="EL101" s="185"/>
      <c r="EM101" s="185"/>
      <c r="EN101" s="185"/>
      <c r="EO101" s="185"/>
      <c r="EP101" s="185"/>
      <c r="EQ101" s="185"/>
      <c r="ER101" s="185"/>
      <c r="ES101" s="185"/>
      <c r="ET101" s="185"/>
      <c r="EU101" s="185"/>
      <c r="EV101" s="185"/>
      <c r="EW101" s="185"/>
      <c r="EX101" s="185"/>
      <c r="EY101" s="185"/>
      <c r="EZ101" s="185"/>
      <c r="FA101" s="185"/>
      <c r="FB101" s="185"/>
      <c r="FC101" s="185"/>
      <c r="FD101" s="185"/>
      <c r="FE101" s="185"/>
      <c r="FF101" s="185"/>
      <c r="FG101" s="185"/>
      <c r="FH101" s="185"/>
      <c r="FI101" s="185"/>
      <c r="FJ101" s="185"/>
      <c r="FK101" s="185"/>
    </row>
    <row r="102" spans="1:167" s="186" customFormat="1" ht="72" hidden="1">
      <c r="A102" s="3" t="s">
        <v>628</v>
      </c>
      <c r="B102" s="108">
        <v>40817</v>
      </c>
      <c r="C102" s="91"/>
      <c r="D102" s="92" t="s">
        <v>676</v>
      </c>
      <c r="E102" s="91"/>
      <c r="F102" s="109" t="s">
        <v>774</v>
      </c>
      <c r="G102" s="91"/>
      <c r="H102" s="91"/>
      <c r="I102" s="91"/>
      <c r="J102" s="91"/>
      <c r="K102" s="91" t="s">
        <v>151</v>
      </c>
      <c r="L102" s="127"/>
      <c r="M102" s="109" t="s">
        <v>438</v>
      </c>
      <c r="N102" s="109" t="s">
        <v>148</v>
      </c>
      <c r="O102" s="109"/>
      <c r="P102" s="109"/>
      <c r="Q102" s="108">
        <v>40849</v>
      </c>
      <c r="R102" s="110"/>
      <c r="S102" s="71" t="s">
        <v>780</v>
      </c>
      <c r="T102" s="71"/>
      <c r="U102" s="448" t="s">
        <v>3045</v>
      </c>
      <c r="V102" s="111">
        <v>40842</v>
      </c>
      <c r="W102" s="31"/>
      <c r="X102" s="185"/>
      <c r="Y102" s="176" t="str">
        <f>IF(Table17[[#This Row],[Required Resolution Date]]="","FALSE",IF($AA$1&gt;Table17[[#This Row],[Required Resolution Date]],"TRUE","FALSE"))</f>
        <v>FALSE</v>
      </c>
      <c r="Z102" s="175">
        <f t="shared" si="5"/>
        <v>0</v>
      </c>
      <c r="AA102" s="185"/>
      <c r="AB102" s="175" t="b">
        <f>OR(Table17[[#This Row],[Priority]]="04. High",Table17[[#This Row],[Priority]]="05. Critical")</f>
        <v>1</v>
      </c>
      <c r="AC102" s="284">
        <f ca="1">$AA$1-Table17[[#This Row],[Date captured]]</f>
        <v>173</v>
      </c>
      <c r="AD102" s="175" t="b">
        <f t="shared" ca="1" si="6"/>
        <v>0</v>
      </c>
      <c r="AE102" s="175" t="b">
        <f t="shared" ca="1" si="7"/>
        <v>1</v>
      </c>
      <c r="AF102" s="175" t="b">
        <f t="shared" ca="1" si="8"/>
        <v>0</v>
      </c>
      <c r="AG102" s="284">
        <f ca="1">Table17[[#This Row],[Required Resolution Date]]-$AA$1</f>
        <v>-40990</v>
      </c>
      <c r="AH102" s="175" t="b">
        <f t="shared" ca="1" si="9"/>
        <v>0</v>
      </c>
      <c r="AI102" s="327" t="b">
        <f>OR(Table17[[#This Row],[Priority]]="04. High",Table17[[#This Row],[Priority]]="05. Critical",Table17[[#This Row],[Priority]]="03. Moderate")</f>
        <v>1</v>
      </c>
      <c r="AJ102" s="185"/>
      <c r="AK102" s="185"/>
      <c r="AL102" s="185"/>
      <c r="AM102" s="185"/>
      <c r="AN102" s="185"/>
      <c r="AO102" s="185"/>
      <c r="AP102" s="185"/>
      <c r="AQ102" s="185"/>
      <c r="AR102" s="185"/>
      <c r="AS102" s="185"/>
      <c r="AT102" s="185"/>
      <c r="AU102" s="185"/>
      <c r="AV102" s="185"/>
      <c r="AW102" s="185"/>
      <c r="AX102" s="185"/>
      <c r="AY102" s="185"/>
      <c r="AZ102" s="185"/>
      <c r="BA102" s="185"/>
      <c r="BB102" s="185"/>
      <c r="BC102" s="185"/>
      <c r="BD102" s="185"/>
      <c r="BE102" s="185"/>
      <c r="BF102" s="185"/>
      <c r="BG102" s="185"/>
      <c r="BH102" s="185"/>
      <c r="BI102" s="185"/>
      <c r="BJ102" s="185"/>
      <c r="BK102" s="185"/>
      <c r="BL102" s="185"/>
      <c r="BM102" s="185"/>
      <c r="BN102" s="185"/>
      <c r="BO102" s="185"/>
      <c r="BP102" s="185"/>
      <c r="BQ102" s="185"/>
      <c r="BR102" s="185"/>
      <c r="BS102" s="185"/>
      <c r="BT102" s="185"/>
      <c r="BU102" s="185"/>
      <c r="BV102" s="185"/>
      <c r="BW102" s="185"/>
      <c r="BX102" s="185"/>
      <c r="BY102" s="185"/>
      <c r="BZ102" s="185"/>
      <c r="CA102" s="185"/>
      <c r="CB102" s="185"/>
      <c r="CC102" s="185"/>
      <c r="CD102" s="185"/>
      <c r="CE102" s="185"/>
      <c r="CF102" s="185"/>
      <c r="CG102" s="185"/>
      <c r="CH102" s="185"/>
      <c r="CI102" s="185"/>
      <c r="CJ102" s="185"/>
      <c r="CK102" s="185"/>
      <c r="CL102" s="185"/>
      <c r="CM102" s="185"/>
      <c r="CN102" s="185"/>
      <c r="CO102" s="185"/>
      <c r="CP102" s="185"/>
      <c r="CQ102" s="185"/>
      <c r="CR102" s="185"/>
      <c r="CS102" s="185"/>
      <c r="CT102" s="185"/>
      <c r="CU102" s="185"/>
      <c r="CV102" s="185"/>
      <c r="CW102" s="185"/>
      <c r="CX102" s="185"/>
      <c r="CY102" s="185"/>
      <c r="CZ102" s="185"/>
      <c r="DA102" s="185"/>
      <c r="DB102" s="185"/>
      <c r="DC102" s="185"/>
      <c r="DD102" s="185"/>
      <c r="DE102" s="185"/>
      <c r="DF102" s="185"/>
      <c r="DG102" s="185"/>
      <c r="DH102" s="185"/>
      <c r="DI102" s="185"/>
      <c r="DJ102" s="185"/>
      <c r="DK102" s="185"/>
      <c r="DL102" s="185"/>
      <c r="DM102" s="185"/>
      <c r="DN102" s="185"/>
      <c r="DO102" s="185"/>
      <c r="DP102" s="185"/>
      <c r="DQ102" s="185"/>
      <c r="DR102" s="185"/>
      <c r="DS102" s="185"/>
      <c r="DT102" s="185"/>
      <c r="DU102" s="185"/>
      <c r="DV102" s="185"/>
      <c r="DW102" s="185"/>
      <c r="DX102" s="185"/>
      <c r="DY102" s="185"/>
      <c r="DZ102" s="185"/>
      <c r="EA102" s="185"/>
      <c r="EB102" s="185"/>
      <c r="EC102" s="185"/>
      <c r="ED102" s="185"/>
      <c r="EE102" s="185"/>
      <c r="EF102" s="185"/>
      <c r="EG102" s="185"/>
      <c r="EH102" s="185"/>
      <c r="EI102" s="185"/>
      <c r="EJ102" s="185"/>
      <c r="EK102" s="185"/>
      <c r="EL102" s="185"/>
      <c r="EM102" s="185"/>
      <c r="EN102" s="185"/>
      <c r="EO102" s="185"/>
      <c r="EP102" s="185"/>
      <c r="EQ102" s="185"/>
      <c r="ER102" s="185"/>
      <c r="ES102" s="185"/>
      <c r="ET102" s="185"/>
      <c r="EU102" s="185"/>
      <c r="EV102" s="185"/>
      <c r="EW102" s="185"/>
      <c r="EX102" s="185"/>
      <c r="EY102" s="185"/>
      <c r="EZ102" s="185"/>
      <c r="FA102" s="185"/>
      <c r="FB102" s="185"/>
      <c r="FC102" s="185"/>
      <c r="FD102" s="185"/>
      <c r="FE102" s="185"/>
      <c r="FF102" s="185"/>
      <c r="FG102" s="185"/>
      <c r="FH102" s="185"/>
      <c r="FI102" s="185"/>
      <c r="FJ102" s="185"/>
      <c r="FK102" s="185"/>
    </row>
    <row r="103" spans="1:167" s="186" customFormat="1" ht="252.75" hidden="1">
      <c r="A103" s="3" t="s">
        <v>629</v>
      </c>
      <c r="B103" s="81">
        <v>40817</v>
      </c>
      <c r="C103" s="91"/>
      <c r="D103" s="92" t="s">
        <v>676</v>
      </c>
      <c r="E103" s="91"/>
      <c r="F103" s="56" t="s">
        <v>775</v>
      </c>
      <c r="G103" s="91"/>
      <c r="H103" s="91"/>
      <c r="I103" s="91"/>
      <c r="J103" s="91"/>
      <c r="K103" s="91" t="s">
        <v>1557</v>
      </c>
      <c r="L103" s="127"/>
      <c r="M103" s="56" t="s">
        <v>438</v>
      </c>
      <c r="N103" s="56" t="s">
        <v>148</v>
      </c>
      <c r="O103" s="56"/>
      <c r="P103" s="56"/>
      <c r="Q103" s="84">
        <v>40863</v>
      </c>
      <c r="R103" s="112">
        <v>40856</v>
      </c>
      <c r="S103" s="113" t="s">
        <v>1478</v>
      </c>
      <c r="T103" s="113"/>
      <c r="U103" s="449" t="s">
        <v>3046</v>
      </c>
      <c r="V103" s="128">
        <v>40870</v>
      </c>
      <c r="W103" s="31"/>
      <c r="X103" s="185"/>
      <c r="Y103" s="176" t="str">
        <f ca="1">IF(Table17[[#This Row],[Required Resolution Date]]="","FALSE",IF($AA$1&gt;Table17[[#This Row],[Required Resolution Date]],"TRUE","FALSE"))</f>
        <v>TRUE</v>
      </c>
      <c r="Z103" s="175">
        <f t="shared" ca="1" si="5"/>
        <v>1</v>
      </c>
      <c r="AA103" s="185"/>
      <c r="AB103" s="175" t="b">
        <f>OR(Table17[[#This Row],[Priority]]="04. High",Table17[[#This Row],[Priority]]="05. Critical")</f>
        <v>0</v>
      </c>
      <c r="AC103" s="284">
        <f ca="1">$AA$1-Table17[[#This Row],[Date captured]]</f>
        <v>173</v>
      </c>
      <c r="AD103" s="175" t="b">
        <f t="shared" ca="1" si="6"/>
        <v>0</v>
      </c>
      <c r="AE103" s="175" t="b">
        <f t="shared" ca="1" si="7"/>
        <v>1</v>
      </c>
      <c r="AF103" s="175" t="b">
        <f t="shared" ca="1" si="8"/>
        <v>0</v>
      </c>
      <c r="AG103" s="284">
        <f ca="1">Table17[[#This Row],[Required Resolution Date]]-$AA$1</f>
        <v>-134</v>
      </c>
      <c r="AH103" s="175" t="b">
        <f t="shared" ca="1" si="9"/>
        <v>0</v>
      </c>
      <c r="AI103" s="327" t="b">
        <f>OR(Table17[[#This Row],[Priority]]="04. High",Table17[[#This Row],[Priority]]="05. Critical",Table17[[#This Row],[Priority]]="03. Moderate")</f>
        <v>1</v>
      </c>
      <c r="AJ103" s="185"/>
      <c r="AK103" s="185"/>
      <c r="AL103" s="185"/>
      <c r="AM103" s="185"/>
      <c r="AN103" s="185"/>
      <c r="AO103" s="185"/>
      <c r="AP103" s="185"/>
      <c r="AQ103" s="185"/>
      <c r="AR103" s="185"/>
      <c r="AS103" s="185"/>
      <c r="AT103" s="185"/>
      <c r="AU103" s="185"/>
      <c r="AV103" s="185"/>
      <c r="AW103" s="185"/>
      <c r="AX103" s="185"/>
      <c r="AY103" s="185"/>
      <c r="AZ103" s="185"/>
      <c r="BA103" s="185"/>
      <c r="BB103" s="185"/>
      <c r="BC103" s="185"/>
      <c r="BD103" s="185"/>
      <c r="BE103" s="185"/>
      <c r="BF103" s="185"/>
      <c r="BG103" s="185"/>
      <c r="BH103" s="185"/>
      <c r="BI103" s="185"/>
      <c r="BJ103" s="185"/>
      <c r="BK103" s="185"/>
      <c r="BL103" s="185"/>
      <c r="BM103" s="185"/>
      <c r="BN103" s="185"/>
      <c r="BO103" s="185"/>
      <c r="BP103" s="185"/>
      <c r="BQ103" s="185"/>
      <c r="BR103" s="185"/>
      <c r="BS103" s="185"/>
      <c r="BT103" s="185"/>
      <c r="BU103" s="185"/>
      <c r="BV103" s="185"/>
      <c r="BW103" s="185"/>
      <c r="BX103" s="185"/>
      <c r="BY103" s="185"/>
      <c r="BZ103" s="185"/>
      <c r="CA103" s="185"/>
      <c r="CB103" s="185"/>
      <c r="CC103" s="185"/>
      <c r="CD103" s="185"/>
      <c r="CE103" s="185"/>
      <c r="CF103" s="185"/>
      <c r="CG103" s="185"/>
      <c r="CH103" s="185"/>
      <c r="CI103" s="185"/>
      <c r="CJ103" s="185"/>
      <c r="CK103" s="185"/>
      <c r="CL103" s="185"/>
      <c r="CM103" s="185"/>
      <c r="CN103" s="185"/>
      <c r="CO103" s="185"/>
      <c r="CP103" s="185"/>
      <c r="CQ103" s="185"/>
      <c r="CR103" s="185"/>
      <c r="CS103" s="185"/>
      <c r="CT103" s="185"/>
      <c r="CU103" s="185"/>
      <c r="CV103" s="185"/>
      <c r="CW103" s="185"/>
      <c r="CX103" s="185"/>
      <c r="CY103" s="185"/>
      <c r="CZ103" s="185"/>
      <c r="DA103" s="185"/>
      <c r="DB103" s="185"/>
      <c r="DC103" s="185"/>
      <c r="DD103" s="185"/>
      <c r="DE103" s="185"/>
      <c r="DF103" s="185"/>
      <c r="DG103" s="185"/>
      <c r="DH103" s="185"/>
      <c r="DI103" s="185"/>
      <c r="DJ103" s="185"/>
      <c r="DK103" s="185"/>
      <c r="DL103" s="185"/>
      <c r="DM103" s="185"/>
      <c r="DN103" s="185"/>
      <c r="DO103" s="185"/>
      <c r="DP103" s="185"/>
      <c r="DQ103" s="185"/>
      <c r="DR103" s="185"/>
      <c r="DS103" s="185"/>
      <c r="DT103" s="185"/>
      <c r="DU103" s="185"/>
      <c r="DV103" s="185"/>
      <c r="DW103" s="185"/>
      <c r="DX103" s="185"/>
      <c r="DY103" s="185"/>
      <c r="DZ103" s="185"/>
      <c r="EA103" s="185"/>
      <c r="EB103" s="185"/>
      <c r="EC103" s="185"/>
      <c r="ED103" s="185"/>
      <c r="EE103" s="185"/>
      <c r="EF103" s="185"/>
      <c r="EG103" s="185"/>
      <c r="EH103" s="185"/>
      <c r="EI103" s="185"/>
      <c r="EJ103" s="185"/>
      <c r="EK103" s="185"/>
      <c r="EL103" s="185"/>
      <c r="EM103" s="185"/>
      <c r="EN103" s="185"/>
      <c r="EO103" s="185"/>
      <c r="EP103" s="185"/>
      <c r="EQ103" s="185"/>
      <c r="ER103" s="185"/>
      <c r="ES103" s="185"/>
      <c r="ET103" s="185"/>
      <c r="EU103" s="185"/>
      <c r="EV103" s="185"/>
      <c r="EW103" s="185"/>
      <c r="EX103" s="185"/>
      <c r="EY103" s="185"/>
      <c r="EZ103" s="185"/>
      <c r="FA103" s="185"/>
      <c r="FB103" s="185"/>
      <c r="FC103" s="185"/>
      <c r="FD103" s="185"/>
      <c r="FE103" s="185"/>
      <c r="FF103" s="185"/>
      <c r="FG103" s="185"/>
      <c r="FH103" s="185"/>
      <c r="FI103" s="185"/>
      <c r="FJ103" s="185"/>
      <c r="FK103" s="185"/>
    </row>
    <row r="104" spans="1:167" s="98" customFormat="1" ht="360" hidden="1">
      <c r="A104" s="174" t="s">
        <v>630</v>
      </c>
      <c r="B104" s="104">
        <v>40817</v>
      </c>
      <c r="C104" s="326" t="s">
        <v>1570</v>
      </c>
      <c r="D104" s="325" t="s">
        <v>676</v>
      </c>
      <c r="E104" s="326"/>
      <c r="F104" s="71" t="s">
        <v>776</v>
      </c>
      <c r="G104" s="326" t="s">
        <v>690</v>
      </c>
      <c r="H104" s="326" t="s">
        <v>152</v>
      </c>
      <c r="I104" s="326" t="s">
        <v>151</v>
      </c>
      <c r="J104" s="326" t="s">
        <v>679</v>
      </c>
      <c r="K104" s="326" t="s">
        <v>151</v>
      </c>
      <c r="L104" s="333" t="s">
        <v>438</v>
      </c>
      <c r="M104" s="71" t="s">
        <v>1590</v>
      </c>
      <c r="N104" s="71" t="s">
        <v>148</v>
      </c>
      <c r="O104" s="71"/>
      <c r="P104" s="71" t="s">
        <v>1591</v>
      </c>
      <c r="Q104" s="104">
        <v>40975</v>
      </c>
      <c r="R104" s="112">
        <v>40975</v>
      </c>
      <c r="S104" s="71" t="s">
        <v>2615</v>
      </c>
      <c r="T104" s="71" t="s">
        <v>1571</v>
      </c>
      <c r="U104" s="448" t="s">
        <v>3047</v>
      </c>
      <c r="V104" s="80">
        <v>40974</v>
      </c>
      <c r="W104" s="131"/>
      <c r="X104" s="97"/>
      <c r="Y104" s="167" t="str">
        <f ca="1">IF(Table17[[#This Row],[Required Resolution Date]]="","FALSE",IF($AA$1&gt;Table17[[#This Row],[Required Resolution Date]],"TRUE","FALSE"))</f>
        <v>TRUE</v>
      </c>
      <c r="Z104" s="4">
        <f t="shared" ca="1" si="5"/>
        <v>1</v>
      </c>
      <c r="AA104" s="97"/>
      <c r="AB104" s="175" t="b">
        <f>OR(Table17[[#This Row],[Priority]]="04. High",Table17[[#This Row],[Priority]]="05. Critical")</f>
        <v>1</v>
      </c>
      <c r="AC104" s="284">
        <f ca="1">$AA$1-Table17[[#This Row],[Date captured]]</f>
        <v>173</v>
      </c>
      <c r="AD104" s="175" t="b">
        <f t="shared" ca="1" si="6"/>
        <v>0</v>
      </c>
      <c r="AE104" s="175" t="b">
        <f t="shared" ca="1" si="7"/>
        <v>1</v>
      </c>
      <c r="AF104" s="175" t="b">
        <f t="shared" ca="1" si="8"/>
        <v>0</v>
      </c>
      <c r="AG104" s="284">
        <f ca="1">Table17[[#This Row],[Required Resolution Date]]-$AA$1</f>
        <v>-15</v>
      </c>
      <c r="AH104" s="175" t="b">
        <f t="shared" ca="1" si="9"/>
        <v>0</v>
      </c>
      <c r="AI104" s="327" t="b">
        <f>OR(Table17[[#This Row],[Priority]]="04. High",Table17[[#This Row],[Priority]]="05. Critical",Table17[[#This Row],[Priority]]="03. Moderate")</f>
        <v>1</v>
      </c>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97"/>
      <c r="CH104" s="97"/>
      <c r="CI104" s="97"/>
      <c r="CJ104" s="97"/>
      <c r="CK104" s="97"/>
      <c r="CL104" s="97"/>
      <c r="CM104" s="97"/>
      <c r="CN104" s="97"/>
      <c r="CO104" s="97"/>
      <c r="CP104" s="97"/>
      <c r="CQ104" s="97"/>
      <c r="CR104" s="97"/>
      <c r="CS104" s="97"/>
      <c r="CT104" s="97"/>
      <c r="CU104" s="97"/>
      <c r="CV104" s="97"/>
      <c r="CW104" s="97"/>
      <c r="CX104" s="97"/>
      <c r="CY104" s="97"/>
      <c r="CZ104" s="97"/>
      <c r="DA104" s="97"/>
      <c r="DB104" s="97"/>
      <c r="DC104" s="97"/>
      <c r="DD104" s="97"/>
      <c r="DE104" s="97"/>
      <c r="DF104" s="97"/>
      <c r="DG104" s="97"/>
      <c r="DH104" s="97"/>
      <c r="DI104" s="97"/>
      <c r="DJ104" s="97"/>
      <c r="DK104" s="97"/>
      <c r="DL104" s="97"/>
      <c r="DM104" s="97"/>
      <c r="DN104" s="97"/>
      <c r="DO104" s="97"/>
      <c r="DP104" s="97"/>
      <c r="DQ104" s="97"/>
      <c r="DR104" s="97"/>
      <c r="DS104" s="97"/>
      <c r="DT104" s="97"/>
      <c r="DU104" s="97"/>
      <c r="DV104" s="97"/>
      <c r="DW104" s="97"/>
      <c r="DX104" s="97"/>
      <c r="DY104" s="97"/>
      <c r="DZ104" s="97"/>
      <c r="EA104" s="97"/>
      <c r="EB104" s="97"/>
      <c r="EC104" s="97"/>
      <c r="ED104" s="97"/>
      <c r="EE104" s="97"/>
      <c r="EF104" s="97"/>
      <c r="EG104" s="97"/>
      <c r="EH104" s="97"/>
      <c r="EI104" s="97"/>
      <c r="EJ104" s="97"/>
      <c r="EK104" s="97"/>
      <c r="EL104" s="97"/>
      <c r="EM104" s="97"/>
      <c r="EN104" s="97"/>
      <c r="EO104" s="97"/>
      <c r="EP104" s="97"/>
      <c r="EQ104" s="97"/>
      <c r="ER104" s="97"/>
      <c r="ES104" s="97"/>
      <c r="ET104" s="97"/>
      <c r="EU104" s="97"/>
      <c r="EV104" s="97"/>
      <c r="EW104" s="97"/>
      <c r="EX104" s="97"/>
      <c r="EY104" s="97"/>
      <c r="EZ104" s="97"/>
      <c r="FA104" s="97"/>
      <c r="FB104" s="97"/>
      <c r="FC104" s="97"/>
      <c r="FD104" s="97"/>
      <c r="FE104" s="97"/>
      <c r="FF104" s="97"/>
      <c r="FG104" s="97"/>
      <c r="FH104" s="97"/>
      <c r="FI104" s="97"/>
      <c r="FJ104" s="97"/>
      <c r="FK104" s="97"/>
    </row>
    <row r="105" spans="1:167" s="186" customFormat="1" ht="276" hidden="1">
      <c r="A105" s="90" t="s">
        <v>586</v>
      </c>
      <c r="B105" s="94">
        <v>40651</v>
      </c>
      <c r="C105" s="91"/>
      <c r="D105" s="92" t="s">
        <v>676</v>
      </c>
      <c r="E105" s="91"/>
      <c r="F105" s="95" t="s">
        <v>777</v>
      </c>
      <c r="G105" s="91"/>
      <c r="H105" s="91"/>
      <c r="I105" s="91"/>
      <c r="J105" s="91"/>
      <c r="K105" s="91" t="s">
        <v>1557</v>
      </c>
      <c r="L105" s="127"/>
      <c r="M105" s="95" t="s">
        <v>186</v>
      </c>
      <c r="N105" s="95" t="s">
        <v>311</v>
      </c>
      <c r="O105" s="95"/>
      <c r="P105" s="95"/>
      <c r="Q105" s="94">
        <v>40730</v>
      </c>
      <c r="R105" s="105">
        <v>40697</v>
      </c>
      <c r="S105" s="96" t="s">
        <v>781</v>
      </c>
      <c r="T105" s="96"/>
      <c r="U105" s="446" t="s">
        <v>3048</v>
      </c>
      <c r="V105" s="99">
        <v>40730</v>
      </c>
      <c r="W105" s="31"/>
      <c r="X105" s="185"/>
      <c r="Y105" s="176" t="str">
        <f ca="1">IF(Table17[[#This Row],[Required Resolution Date]]="","FALSE",IF($AA$1&gt;Table17[[#This Row],[Required Resolution Date]],"TRUE","FALSE"))</f>
        <v>TRUE</v>
      </c>
      <c r="Z105" s="175">
        <f t="shared" ca="1" si="5"/>
        <v>1</v>
      </c>
      <c r="AA105" s="185"/>
      <c r="AB105" s="175" t="b">
        <f>OR(Table17[[#This Row],[Priority]]="04. High",Table17[[#This Row],[Priority]]="05. Critical")</f>
        <v>0</v>
      </c>
      <c r="AC105" s="284">
        <f ca="1">$AA$1-Table17[[#This Row],[Date captured]]</f>
        <v>339</v>
      </c>
      <c r="AD105" s="175" t="b">
        <f t="shared" ca="1" si="6"/>
        <v>0</v>
      </c>
      <c r="AE105" s="175" t="b">
        <f t="shared" ca="1" si="7"/>
        <v>0</v>
      </c>
      <c r="AF105" s="175" t="b">
        <f t="shared" ca="1" si="8"/>
        <v>1</v>
      </c>
      <c r="AG105" s="284">
        <f ca="1">Table17[[#This Row],[Required Resolution Date]]-$AA$1</f>
        <v>-293</v>
      </c>
      <c r="AH105" s="175" t="b">
        <f t="shared" ca="1" si="9"/>
        <v>0</v>
      </c>
      <c r="AI105" s="327" t="b">
        <f>OR(Table17[[#This Row],[Priority]]="04. High",Table17[[#This Row],[Priority]]="05. Critical",Table17[[#This Row],[Priority]]="03. Moderate")</f>
        <v>1</v>
      </c>
      <c r="AJ105" s="185"/>
      <c r="AK105" s="185"/>
      <c r="AL105" s="185"/>
      <c r="AM105" s="185"/>
      <c r="AN105" s="185"/>
      <c r="AO105" s="185"/>
      <c r="AP105" s="185"/>
      <c r="AQ105" s="185"/>
      <c r="AR105" s="185"/>
      <c r="AS105" s="185"/>
      <c r="AT105" s="185"/>
      <c r="AU105" s="185"/>
      <c r="AV105" s="185"/>
      <c r="AW105" s="185"/>
      <c r="AX105" s="185"/>
      <c r="AY105" s="185"/>
      <c r="AZ105" s="185"/>
      <c r="BA105" s="185"/>
      <c r="BB105" s="185"/>
      <c r="BC105" s="185"/>
      <c r="BD105" s="185"/>
      <c r="BE105" s="185"/>
      <c r="BF105" s="185"/>
      <c r="BG105" s="185"/>
      <c r="BH105" s="185"/>
      <c r="BI105" s="185"/>
      <c r="BJ105" s="185"/>
      <c r="BK105" s="185"/>
      <c r="BL105" s="185"/>
      <c r="BM105" s="185"/>
      <c r="BN105" s="185"/>
      <c r="BO105" s="185"/>
      <c r="BP105" s="185"/>
      <c r="BQ105" s="185"/>
      <c r="BR105" s="185"/>
      <c r="BS105" s="185"/>
      <c r="BT105" s="185"/>
      <c r="BU105" s="185"/>
      <c r="BV105" s="185"/>
      <c r="BW105" s="185"/>
      <c r="BX105" s="185"/>
      <c r="BY105" s="185"/>
      <c r="BZ105" s="185"/>
      <c r="CA105" s="185"/>
      <c r="CB105" s="185"/>
      <c r="CC105" s="185"/>
      <c r="CD105" s="185"/>
      <c r="CE105" s="185"/>
      <c r="CF105" s="185"/>
      <c r="CG105" s="185"/>
      <c r="CH105" s="185"/>
      <c r="CI105" s="185"/>
      <c r="CJ105" s="185"/>
      <c r="CK105" s="185"/>
      <c r="CL105" s="185"/>
      <c r="CM105" s="185"/>
      <c r="CN105" s="185"/>
      <c r="CO105" s="185"/>
      <c r="CP105" s="185"/>
      <c r="CQ105" s="185"/>
      <c r="CR105" s="185"/>
      <c r="CS105" s="185"/>
      <c r="CT105" s="185"/>
      <c r="CU105" s="185"/>
      <c r="CV105" s="185"/>
      <c r="CW105" s="185"/>
      <c r="CX105" s="185"/>
      <c r="CY105" s="185"/>
      <c r="CZ105" s="185"/>
      <c r="DA105" s="185"/>
      <c r="DB105" s="185"/>
      <c r="DC105" s="185"/>
      <c r="DD105" s="185"/>
      <c r="DE105" s="185"/>
      <c r="DF105" s="185"/>
      <c r="DG105" s="185"/>
      <c r="DH105" s="185"/>
      <c r="DI105" s="185"/>
      <c r="DJ105" s="185"/>
      <c r="DK105" s="185"/>
      <c r="DL105" s="185"/>
      <c r="DM105" s="185"/>
      <c r="DN105" s="185"/>
      <c r="DO105" s="185"/>
      <c r="DP105" s="185"/>
      <c r="DQ105" s="185"/>
      <c r="DR105" s="185"/>
      <c r="DS105" s="185"/>
      <c r="DT105" s="185"/>
      <c r="DU105" s="185"/>
      <c r="DV105" s="185"/>
      <c r="DW105" s="185"/>
      <c r="DX105" s="185"/>
      <c r="DY105" s="185"/>
      <c r="DZ105" s="185"/>
      <c r="EA105" s="185"/>
      <c r="EB105" s="185"/>
      <c r="EC105" s="185"/>
      <c r="ED105" s="185"/>
      <c r="EE105" s="185"/>
      <c r="EF105" s="185"/>
      <c r="EG105" s="185"/>
      <c r="EH105" s="185"/>
      <c r="EI105" s="185"/>
      <c r="EJ105" s="185"/>
      <c r="EK105" s="185"/>
      <c r="EL105" s="185"/>
      <c r="EM105" s="185"/>
      <c r="EN105" s="185"/>
      <c r="EO105" s="185"/>
      <c r="EP105" s="185"/>
      <c r="EQ105" s="185"/>
      <c r="ER105" s="185"/>
      <c r="ES105" s="185"/>
      <c r="ET105" s="185"/>
      <c r="EU105" s="185"/>
      <c r="EV105" s="185"/>
      <c r="EW105" s="185"/>
      <c r="EX105" s="185"/>
      <c r="EY105" s="185"/>
      <c r="EZ105" s="185"/>
      <c r="FA105" s="185"/>
      <c r="FB105" s="185"/>
      <c r="FC105" s="185"/>
      <c r="FD105" s="185"/>
      <c r="FE105" s="185"/>
      <c r="FF105" s="185"/>
      <c r="FG105" s="185"/>
      <c r="FH105" s="185"/>
      <c r="FI105" s="185"/>
      <c r="FJ105" s="185"/>
      <c r="FK105" s="185"/>
    </row>
    <row r="106" spans="1:167" s="186" customFormat="1" ht="270" hidden="1">
      <c r="A106" s="130" t="s">
        <v>631</v>
      </c>
      <c r="B106" s="142">
        <v>40817</v>
      </c>
      <c r="C106" s="326" t="s">
        <v>1570</v>
      </c>
      <c r="D106" s="92" t="s">
        <v>676</v>
      </c>
      <c r="E106" s="326"/>
      <c r="F106" s="324" t="s">
        <v>778</v>
      </c>
      <c r="G106" s="326" t="s">
        <v>690</v>
      </c>
      <c r="H106" s="326" t="s">
        <v>679</v>
      </c>
      <c r="I106" s="326" t="s">
        <v>690</v>
      </c>
      <c r="J106" s="326" t="s">
        <v>679</v>
      </c>
      <c r="K106" s="91" t="s">
        <v>1557</v>
      </c>
      <c r="L106" s="127"/>
      <c r="M106" s="324" t="s">
        <v>296</v>
      </c>
      <c r="N106" s="324" t="s">
        <v>148</v>
      </c>
      <c r="O106" s="324"/>
      <c r="P106" s="324" t="s">
        <v>1617</v>
      </c>
      <c r="Q106" s="142">
        <v>40933</v>
      </c>
      <c r="R106" s="144">
        <v>40875</v>
      </c>
      <c r="S106" s="151" t="s">
        <v>1595</v>
      </c>
      <c r="T106" s="151" t="s">
        <v>1565</v>
      </c>
      <c r="U106" s="450" t="s">
        <v>1633</v>
      </c>
      <c r="V106" s="157">
        <v>40918</v>
      </c>
      <c r="W106" s="91"/>
      <c r="X106" s="185"/>
      <c r="Y106" s="176" t="str">
        <f ca="1">IF(Table17[[#This Row],[Required Resolution Date]]="","FALSE",IF($AA$1&gt;Table17[[#This Row],[Required Resolution Date]],"TRUE","FALSE"))</f>
        <v>TRUE</v>
      </c>
      <c r="Z106" s="175">
        <f t="shared" ca="1" si="5"/>
        <v>1</v>
      </c>
      <c r="AA106" s="185"/>
      <c r="AB106" s="175" t="b">
        <f>OR(Table17[[#This Row],[Priority]]="04. High",Table17[[#This Row],[Priority]]="05. Critical")</f>
        <v>0</v>
      </c>
      <c r="AC106" s="284">
        <f ca="1">$AA$1-Table17[[#This Row],[Date captured]]</f>
        <v>173</v>
      </c>
      <c r="AD106" s="175" t="b">
        <f t="shared" ca="1" si="6"/>
        <v>0</v>
      </c>
      <c r="AE106" s="175" t="b">
        <f t="shared" ca="1" si="7"/>
        <v>1</v>
      </c>
      <c r="AF106" s="175" t="b">
        <f t="shared" ca="1" si="8"/>
        <v>0</v>
      </c>
      <c r="AG106" s="284">
        <f ca="1">Table17[[#This Row],[Required Resolution Date]]-$AA$1</f>
        <v>-115</v>
      </c>
      <c r="AH106" s="175" t="b">
        <f t="shared" ca="1" si="9"/>
        <v>0</v>
      </c>
      <c r="AI106" s="327" t="b">
        <f>OR(Table17[[#This Row],[Priority]]="04. High",Table17[[#This Row],[Priority]]="05. Critical",Table17[[#This Row],[Priority]]="03. Moderate")</f>
        <v>1</v>
      </c>
      <c r="AJ106" s="185"/>
      <c r="AK106" s="185"/>
      <c r="AL106" s="185"/>
      <c r="AM106" s="185"/>
      <c r="AN106" s="185"/>
      <c r="AO106" s="185"/>
      <c r="AP106" s="185"/>
      <c r="AQ106" s="185"/>
      <c r="AR106" s="185"/>
      <c r="AS106" s="185"/>
      <c r="AT106" s="185"/>
      <c r="AU106" s="185"/>
      <c r="AV106" s="185"/>
      <c r="AW106" s="185"/>
      <c r="AX106" s="185"/>
      <c r="AY106" s="185"/>
      <c r="AZ106" s="185"/>
      <c r="BA106" s="185"/>
      <c r="BB106" s="185"/>
      <c r="BC106" s="185"/>
      <c r="BD106" s="185"/>
      <c r="BE106" s="185"/>
      <c r="BF106" s="185"/>
      <c r="BG106" s="185"/>
      <c r="BH106" s="185"/>
      <c r="BI106" s="185"/>
      <c r="BJ106" s="185"/>
      <c r="BK106" s="185"/>
      <c r="BL106" s="185"/>
      <c r="BM106" s="185"/>
      <c r="BN106" s="185"/>
      <c r="BO106" s="185"/>
      <c r="BP106" s="185"/>
      <c r="BQ106" s="185"/>
      <c r="BR106" s="185"/>
      <c r="BS106" s="185"/>
      <c r="BT106" s="185"/>
      <c r="BU106" s="185"/>
      <c r="BV106" s="185"/>
      <c r="BW106" s="185"/>
      <c r="BX106" s="185"/>
      <c r="BY106" s="185"/>
      <c r="BZ106" s="185"/>
      <c r="CA106" s="185"/>
      <c r="CB106" s="185"/>
      <c r="CC106" s="185"/>
      <c r="CD106" s="185"/>
      <c r="CE106" s="185"/>
      <c r="CF106" s="185"/>
      <c r="CG106" s="185"/>
      <c r="CH106" s="185"/>
      <c r="CI106" s="185"/>
      <c r="CJ106" s="185"/>
      <c r="CK106" s="185"/>
      <c r="CL106" s="185"/>
      <c r="CM106" s="185"/>
      <c r="CN106" s="185"/>
      <c r="CO106" s="185"/>
      <c r="CP106" s="185"/>
      <c r="CQ106" s="185"/>
      <c r="CR106" s="185"/>
      <c r="CS106" s="185"/>
      <c r="CT106" s="185"/>
      <c r="CU106" s="185"/>
      <c r="CV106" s="185"/>
      <c r="CW106" s="185"/>
      <c r="CX106" s="185"/>
      <c r="CY106" s="185"/>
      <c r="CZ106" s="185"/>
      <c r="DA106" s="185"/>
      <c r="DB106" s="185"/>
      <c r="DC106" s="185"/>
      <c r="DD106" s="185"/>
      <c r="DE106" s="185"/>
      <c r="DF106" s="185"/>
      <c r="DG106" s="185"/>
      <c r="DH106" s="185"/>
      <c r="DI106" s="185"/>
      <c r="DJ106" s="185"/>
      <c r="DK106" s="185"/>
      <c r="DL106" s="185"/>
      <c r="DM106" s="185"/>
      <c r="DN106" s="185"/>
      <c r="DO106" s="185"/>
      <c r="DP106" s="185"/>
      <c r="DQ106" s="185"/>
      <c r="DR106" s="185"/>
      <c r="DS106" s="185"/>
      <c r="DT106" s="185"/>
      <c r="DU106" s="185"/>
      <c r="DV106" s="185"/>
      <c r="DW106" s="185"/>
      <c r="DX106" s="185"/>
      <c r="DY106" s="185"/>
      <c r="DZ106" s="185"/>
      <c r="EA106" s="185"/>
      <c r="EB106" s="185"/>
      <c r="EC106" s="185"/>
      <c r="ED106" s="185"/>
      <c r="EE106" s="185"/>
      <c r="EF106" s="185"/>
      <c r="EG106" s="185"/>
      <c r="EH106" s="185"/>
      <c r="EI106" s="185"/>
      <c r="EJ106" s="185"/>
      <c r="EK106" s="185"/>
      <c r="EL106" s="185"/>
      <c r="EM106" s="185"/>
      <c r="EN106" s="185"/>
      <c r="EO106" s="185"/>
      <c r="EP106" s="185"/>
      <c r="EQ106" s="185"/>
      <c r="ER106" s="185"/>
      <c r="ES106" s="185"/>
      <c r="ET106" s="185"/>
      <c r="EU106" s="185"/>
      <c r="EV106" s="185"/>
      <c r="EW106" s="185"/>
      <c r="EX106" s="185"/>
      <c r="EY106" s="185"/>
      <c r="EZ106" s="185"/>
      <c r="FA106" s="185"/>
      <c r="FB106" s="185"/>
      <c r="FC106" s="185"/>
      <c r="FD106" s="185"/>
      <c r="FE106" s="185"/>
      <c r="FF106" s="185"/>
      <c r="FG106" s="185"/>
      <c r="FH106" s="185"/>
      <c r="FI106" s="185"/>
      <c r="FJ106" s="185"/>
      <c r="FK106" s="185"/>
    </row>
    <row r="107" spans="1:167" s="186" customFormat="1" ht="191.25" hidden="1" customHeight="1">
      <c r="A107" s="3" t="s">
        <v>632</v>
      </c>
      <c r="B107" s="114">
        <v>40834</v>
      </c>
      <c r="C107" s="91"/>
      <c r="D107" s="92" t="s">
        <v>676</v>
      </c>
      <c r="E107" s="91"/>
      <c r="F107" s="56" t="s">
        <v>782</v>
      </c>
      <c r="G107" s="91"/>
      <c r="H107" s="91"/>
      <c r="I107" s="91"/>
      <c r="J107" s="91"/>
      <c r="K107" s="91" t="s">
        <v>152</v>
      </c>
      <c r="L107" s="127"/>
      <c r="M107" s="115" t="s">
        <v>261</v>
      </c>
      <c r="N107" s="115" t="s">
        <v>150</v>
      </c>
      <c r="O107" s="115"/>
      <c r="P107" s="115"/>
      <c r="Q107" s="72">
        <v>40898</v>
      </c>
      <c r="R107" s="112">
        <v>40892</v>
      </c>
      <c r="S107" s="56" t="s">
        <v>788</v>
      </c>
      <c r="T107" s="56"/>
      <c r="U107" s="89" t="s">
        <v>3049</v>
      </c>
      <c r="V107" s="128">
        <v>40909</v>
      </c>
      <c r="W107" s="31"/>
      <c r="X107" s="185"/>
      <c r="Y107" s="176" t="str">
        <f ca="1">IF(Table17[[#This Row],[Required Resolution Date]]="","FALSE",IF($AA$1&gt;Table17[[#This Row],[Required Resolution Date]],"TRUE","FALSE"))</f>
        <v>TRUE</v>
      </c>
      <c r="Z107" s="175">
        <f t="shared" ca="1" si="5"/>
        <v>1</v>
      </c>
      <c r="AA107" s="185"/>
      <c r="AB107" s="175" t="b">
        <f>OR(Table17[[#This Row],[Priority]]="04. High",Table17[[#This Row],[Priority]]="05. Critical")</f>
        <v>1</v>
      </c>
      <c r="AC107" s="284">
        <f ca="1">$AA$1-Table17[[#This Row],[Date captured]]</f>
        <v>156</v>
      </c>
      <c r="AD107" s="175" t="b">
        <f t="shared" ca="1" si="6"/>
        <v>0</v>
      </c>
      <c r="AE107" s="175" t="b">
        <f t="shared" ca="1" si="7"/>
        <v>1</v>
      </c>
      <c r="AF107" s="175" t="b">
        <f t="shared" ca="1" si="8"/>
        <v>0</v>
      </c>
      <c r="AG107" s="284">
        <f ca="1">Table17[[#This Row],[Required Resolution Date]]-$AA$1</f>
        <v>-98</v>
      </c>
      <c r="AH107" s="175" t="b">
        <f t="shared" ca="1" si="9"/>
        <v>0</v>
      </c>
      <c r="AI107" s="327" t="b">
        <f>OR(Table17[[#This Row],[Priority]]="04. High",Table17[[#This Row],[Priority]]="05. Critical",Table17[[#This Row],[Priority]]="03. Moderate")</f>
        <v>1</v>
      </c>
      <c r="AJ107" s="185"/>
      <c r="AK107" s="185"/>
      <c r="AL107" s="185"/>
      <c r="AM107" s="185"/>
      <c r="AN107" s="185"/>
      <c r="AO107" s="185"/>
      <c r="AP107" s="185"/>
      <c r="AQ107" s="185"/>
      <c r="AR107" s="185"/>
      <c r="AS107" s="185"/>
      <c r="AT107" s="185"/>
      <c r="AU107" s="185"/>
      <c r="AV107" s="185"/>
      <c r="AW107" s="185"/>
      <c r="AX107" s="185"/>
      <c r="AY107" s="185"/>
      <c r="AZ107" s="185"/>
      <c r="BA107" s="185"/>
      <c r="BB107" s="185"/>
      <c r="BC107" s="185"/>
      <c r="BD107" s="185"/>
      <c r="BE107" s="185"/>
      <c r="BF107" s="185"/>
      <c r="BG107" s="185"/>
      <c r="BH107" s="185"/>
      <c r="BI107" s="185"/>
      <c r="BJ107" s="185"/>
      <c r="BK107" s="185"/>
      <c r="BL107" s="185"/>
      <c r="BM107" s="185"/>
      <c r="BN107" s="185"/>
      <c r="BO107" s="185"/>
      <c r="BP107" s="185"/>
      <c r="BQ107" s="185"/>
      <c r="BR107" s="185"/>
      <c r="BS107" s="185"/>
      <c r="BT107" s="185"/>
      <c r="BU107" s="185"/>
      <c r="BV107" s="185"/>
      <c r="BW107" s="185"/>
      <c r="BX107" s="185"/>
      <c r="BY107" s="185"/>
      <c r="BZ107" s="185"/>
      <c r="CA107" s="185"/>
      <c r="CB107" s="185"/>
      <c r="CC107" s="185"/>
      <c r="CD107" s="185"/>
      <c r="CE107" s="185"/>
      <c r="CF107" s="185"/>
      <c r="CG107" s="185"/>
      <c r="CH107" s="185"/>
      <c r="CI107" s="185"/>
      <c r="CJ107" s="185"/>
      <c r="CK107" s="185"/>
      <c r="CL107" s="185"/>
      <c r="CM107" s="185"/>
      <c r="CN107" s="185"/>
      <c r="CO107" s="185"/>
      <c r="CP107" s="185"/>
      <c r="CQ107" s="185"/>
      <c r="CR107" s="185"/>
      <c r="CS107" s="185"/>
      <c r="CT107" s="185"/>
      <c r="CU107" s="185"/>
      <c r="CV107" s="185"/>
      <c r="CW107" s="185"/>
      <c r="CX107" s="185"/>
      <c r="CY107" s="185"/>
      <c r="CZ107" s="185"/>
      <c r="DA107" s="185"/>
      <c r="DB107" s="185"/>
      <c r="DC107" s="185"/>
      <c r="DD107" s="185"/>
      <c r="DE107" s="185"/>
      <c r="DF107" s="185"/>
      <c r="DG107" s="185"/>
      <c r="DH107" s="185"/>
      <c r="DI107" s="185"/>
      <c r="DJ107" s="185"/>
      <c r="DK107" s="185"/>
      <c r="DL107" s="185"/>
      <c r="DM107" s="185"/>
      <c r="DN107" s="185"/>
      <c r="DO107" s="185"/>
      <c r="DP107" s="185"/>
      <c r="DQ107" s="185"/>
      <c r="DR107" s="185"/>
      <c r="DS107" s="185"/>
      <c r="DT107" s="185"/>
      <c r="DU107" s="185"/>
      <c r="DV107" s="185"/>
      <c r="DW107" s="185"/>
      <c r="DX107" s="185"/>
      <c r="DY107" s="185"/>
      <c r="DZ107" s="185"/>
      <c r="EA107" s="185"/>
      <c r="EB107" s="185"/>
      <c r="EC107" s="185"/>
      <c r="ED107" s="185"/>
      <c r="EE107" s="185"/>
      <c r="EF107" s="185"/>
      <c r="EG107" s="185"/>
      <c r="EH107" s="185"/>
      <c r="EI107" s="185"/>
      <c r="EJ107" s="185"/>
      <c r="EK107" s="185"/>
      <c r="EL107" s="185"/>
      <c r="EM107" s="185"/>
      <c r="EN107" s="185"/>
      <c r="EO107" s="185"/>
      <c r="EP107" s="185"/>
      <c r="EQ107" s="185"/>
      <c r="ER107" s="185"/>
      <c r="ES107" s="185"/>
      <c r="ET107" s="185"/>
      <c r="EU107" s="185"/>
      <c r="EV107" s="185"/>
      <c r="EW107" s="185"/>
      <c r="EX107" s="185"/>
      <c r="EY107" s="185"/>
      <c r="EZ107" s="185"/>
      <c r="FA107" s="185"/>
      <c r="FB107" s="185"/>
      <c r="FC107" s="185"/>
      <c r="FD107" s="185"/>
      <c r="FE107" s="185"/>
      <c r="FF107" s="185"/>
      <c r="FG107" s="185"/>
      <c r="FH107" s="185"/>
      <c r="FI107" s="185"/>
      <c r="FJ107" s="185"/>
      <c r="FK107" s="185"/>
    </row>
    <row r="108" spans="1:167" s="186" customFormat="1" ht="243" hidden="1">
      <c r="A108" s="174" t="s">
        <v>633</v>
      </c>
      <c r="B108" s="147">
        <v>40834</v>
      </c>
      <c r="C108" s="326" t="s">
        <v>1570</v>
      </c>
      <c r="D108" s="325" t="s">
        <v>676</v>
      </c>
      <c r="E108" s="326" t="s">
        <v>180</v>
      </c>
      <c r="F108" s="324" t="s">
        <v>783</v>
      </c>
      <c r="G108" s="326" t="s">
        <v>690</v>
      </c>
      <c r="H108" s="326" t="s">
        <v>690</v>
      </c>
      <c r="I108" s="326" t="s">
        <v>151</v>
      </c>
      <c r="J108" s="326" t="s">
        <v>690</v>
      </c>
      <c r="K108" s="326" t="s">
        <v>1558</v>
      </c>
      <c r="L108" s="333" t="s">
        <v>261</v>
      </c>
      <c r="M108" s="324" t="s">
        <v>789</v>
      </c>
      <c r="N108" s="324" t="s">
        <v>150</v>
      </c>
      <c r="O108" s="324"/>
      <c r="P108" s="324" t="s">
        <v>1872</v>
      </c>
      <c r="Q108" s="142">
        <v>40968</v>
      </c>
      <c r="R108" s="153">
        <v>40968</v>
      </c>
      <c r="S108" s="324" t="s">
        <v>1852</v>
      </c>
      <c r="T108" s="324" t="s">
        <v>1571</v>
      </c>
      <c r="U108" s="271" t="s">
        <v>3050</v>
      </c>
      <c r="V108" s="157">
        <v>40939</v>
      </c>
      <c r="W108" s="326"/>
      <c r="X108" s="185"/>
      <c r="Y108" s="176" t="str">
        <f ca="1">IF(Table17[[#This Row],[Required Resolution Date]]="","FALSE",IF($AA$1&gt;Table17[[#This Row],[Required Resolution Date]],"TRUE","FALSE"))</f>
        <v>TRUE</v>
      </c>
      <c r="Z108" s="175">
        <f t="shared" ca="1" si="5"/>
        <v>1</v>
      </c>
      <c r="AA108" s="185"/>
      <c r="AB108" s="175" t="b">
        <f>OR(Table17[[#This Row],[Priority]]="04. High",Table17[[#This Row],[Priority]]="05. Critical")</f>
        <v>0</v>
      </c>
      <c r="AC108" s="284">
        <f ca="1">$AA$1-Table17[[#This Row],[Date captured]]</f>
        <v>156</v>
      </c>
      <c r="AD108" s="175" t="b">
        <f t="shared" ca="1" si="6"/>
        <v>0</v>
      </c>
      <c r="AE108" s="175" t="b">
        <f t="shared" ca="1" si="7"/>
        <v>1</v>
      </c>
      <c r="AF108" s="175" t="b">
        <f t="shared" ca="1" si="8"/>
        <v>0</v>
      </c>
      <c r="AG108" s="284">
        <f ca="1">Table17[[#This Row],[Required Resolution Date]]-$AA$1</f>
        <v>-22</v>
      </c>
      <c r="AH108" s="175" t="b">
        <f t="shared" ca="1" si="9"/>
        <v>0</v>
      </c>
      <c r="AI108" s="327" t="b">
        <f>OR(Table17[[#This Row],[Priority]]="04. High",Table17[[#This Row],[Priority]]="05. Critical",Table17[[#This Row],[Priority]]="03. Moderate")</f>
        <v>0</v>
      </c>
      <c r="AJ108" s="185"/>
      <c r="AK108" s="185"/>
      <c r="AL108" s="185"/>
      <c r="AM108" s="185"/>
      <c r="AN108" s="185"/>
      <c r="AO108" s="185"/>
      <c r="AP108" s="185"/>
      <c r="AQ108" s="185"/>
      <c r="AR108" s="185"/>
      <c r="AS108" s="185"/>
      <c r="AT108" s="185"/>
      <c r="AU108" s="185"/>
      <c r="AV108" s="185"/>
      <c r="AW108" s="185"/>
      <c r="AX108" s="185"/>
      <c r="AY108" s="185"/>
      <c r="AZ108" s="185"/>
      <c r="BA108" s="185"/>
      <c r="BB108" s="185"/>
      <c r="BC108" s="185"/>
      <c r="BD108" s="185"/>
      <c r="BE108" s="185"/>
      <c r="BF108" s="185"/>
      <c r="BG108" s="185"/>
      <c r="BH108" s="185"/>
      <c r="BI108" s="185"/>
      <c r="BJ108" s="185"/>
      <c r="BK108" s="185"/>
      <c r="BL108" s="185"/>
      <c r="BM108" s="185"/>
      <c r="BN108" s="185"/>
      <c r="BO108" s="185"/>
      <c r="BP108" s="185"/>
      <c r="BQ108" s="185"/>
      <c r="BR108" s="185"/>
      <c r="BS108" s="185"/>
      <c r="BT108" s="185"/>
      <c r="BU108" s="185"/>
      <c r="BV108" s="185"/>
      <c r="BW108" s="185"/>
      <c r="BX108" s="185"/>
      <c r="BY108" s="185"/>
      <c r="BZ108" s="185"/>
      <c r="CA108" s="185"/>
      <c r="CB108" s="185"/>
      <c r="CC108" s="185"/>
      <c r="CD108" s="185"/>
      <c r="CE108" s="185"/>
      <c r="CF108" s="185"/>
      <c r="CG108" s="185"/>
      <c r="CH108" s="185"/>
      <c r="CI108" s="185"/>
      <c r="CJ108" s="185"/>
      <c r="CK108" s="185"/>
      <c r="CL108" s="185"/>
      <c r="CM108" s="185"/>
      <c r="CN108" s="185"/>
      <c r="CO108" s="185"/>
      <c r="CP108" s="185"/>
      <c r="CQ108" s="185"/>
      <c r="CR108" s="185"/>
      <c r="CS108" s="185"/>
      <c r="CT108" s="185"/>
      <c r="CU108" s="185"/>
      <c r="CV108" s="185"/>
      <c r="CW108" s="185"/>
      <c r="CX108" s="185"/>
      <c r="CY108" s="185"/>
      <c r="CZ108" s="185"/>
      <c r="DA108" s="185"/>
      <c r="DB108" s="185"/>
      <c r="DC108" s="185"/>
      <c r="DD108" s="185"/>
      <c r="DE108" s="185"/>
      <c r="DF108" s="185"/>
      <c r="DG108" s="185"/>
      <c r="DH108" s="185"/>
      <c r="DI108" s="185"/>
      <c r="DJ108" s="185"/>
      <c r="DK108" s="185"/>
      <c r="DL108" s="185"/>
      <c r="DM108" s="185"/>
      <c r="DN108" s="185"/>
      <c r="DO108" s="185"/>
      <c r="DP108" s="185"/>
      <c r="DQ108" s="185"/>
      <c r="DR108" s="185"/>
      <c r="DS108" s="185"/>
      <c r="DT108" s="185"/>
      <c r="DU108" s="185"/>
      <c r="DV108" s="185"/>
      <c r="DW108" s="185"/>
      <c r="DX108" s="185"/>
      <c r="DY108" s="185"/>
      <c r="DZ108" s="185"/>
      <c r="EA108" s="185"/>
      <c r="EB108" s="185"/>
      <c r="EC108" s="185"/>
      <c r="ED108" s="185"/>
      <c r="EE108" s="185"/>
      <c r="EF108" s="185"/>
      <c r="EG108" s="185"/>
      <c r="EH108" s="185"/>
      <c r="EI108" s="185"/>
      <c r="EJ108" s="185"/>
      <c r="EK108" s="185"/>
      <c r="EL108" s="185"/>
      <c r="EM108" s="185"/>
      <c r="EN108" s="185"/>
      <c r="EO108" s="185"/>
      <c r="EP108" s="185"/>
      <c r="EQ108" s="185"/>
      <c r="ER108" s="185"/>
      <c r="ES108" s="185"/>
      <c r="ET108" s="185"/>
      <c r="EU108" s="185"/>
      <c r="EV108" s="185"/>
      <c r="EW108" s="185"/>
      <c r="EX108" s="185"/>
      <c r="EY108" s="185"/>
      <c r="EZ108" s="185"/>
      <c r="FA108" s="185"/>
      <c r="FB108" s="185"/>
      <c r="FC108" s="185"/>
      <c r="FD108" s="185"/>
      <c r="FE108" s="185"/>
      <c r="FF108" s="185"/>
      <c r="FG108" s="185"/>
      <c r="FH108" s="185"/>
      <c r="FI108" s="185"/>
      <c r="FJ108" s="185"/>
      <c r="FK108" s="185"/>
    </row>
    <row r="109" spans="1:167" s="186" customFormat="1" ht="84" hidden="1">
      <c r="A109" s="3" t="s">
        <v>634</v>
      </c>
      <c r="B109" s="114">
        <v>40841</v>
      </c>
      <c r="C109" s="91"/>
      <c r="D109" s="92" t="s">
        <v>676</v>
      </c>
      <c r="E109" s="91"/>
      <c r="F109" s="71" t="s">
        <v>784</v>
      </c>
      <c r="G109" s="91"/>
      <c r="H109" s="91"/>
      <c r="I109" s="91"/>
      <c r="J109" s="91"/>
      <c r="K109" s="91" t="s">
        <v>151</v>
      </c>
      <c r="L109" s="127"/>
      <c r="M109" s="115" t="s">
        <v>790</v>
      </c>
      <c r="N109" s="115" t="s">
        <v>150</v>
      </c>
      <c r="O109" s="115"/>
      <c r="P109" s="115"/>
      <c r="Q109" s="78">
        <v>40877</v>
      </c>
      <c r="R109" s="116">
        <v>40858</v>
      </c>
      <c r="S109" s="71" t="s">
        <v>791</v>
      </c>
      <c r="T109" s="71"/>
      <c r="U109" s="448" t="s">
        <v>3051</v>
      </c>
      <c r="V109" s="80">
        <v>40877</v>
      </c>
      <c r="W109" s="31"/>
      <c r="X109" s="185"/>
      <c r="Y109" s="176" t="str">
        <f ca="1">IF(Table17[[#This Row],[Required Resolution Date]]="","FALSE",IF($AA$1&gt;Table17[[#This Row],[Required Resolution Date]],"TRUE","FALSE"))</f>
        <v>TRUE</v>
      </c>
      <c r="Z109" s="175">
        <f t="shared" ca="1" si="5"/>
        <v>1</v>
      </c>
      <c r="AA109" s="185"/>
      <c r="AB109" s="175" t="b">
        <f>OR(Table17[[#This Row],[Priority]]="04. High",Table17[[#This Row],[Priority]]="05. Critical")</f>
        <v>1</v>
      </c>
      <c r="AC109" s="284">
        <f ca="1">$AA$1-Table17[[#This Row],[Date captured]]</f>
        <v>149</v>
      </c>
      <c r="AD109" s="175" t="b">
        <f t="shared" ca="1" si="6"/>
        <v>0</v>
      </c>
      <c r="AE109" s="175" t="b">
        <f t="shared" ca="1" si="7"/>
        <v>1</v>
      </c>
      <c r="AF109" s="175" t="b">
        <f t="shared" ca="1" si="8"/>
        <v>0</v>
      </c>
      <c r="AG109" s="284">
        <f ca="1">Table17[[#This Row],[Required Resolution Date]]-$AA$1</f>
        <v>-132</v>
      </c>
      <c r="AH109" s="175" t="b">
        <f t="shared" ca="1" si="9"/>
        <v>0</v>
      </c>
      <c r="AI109" s="327" t="b">
        <f>OR(Table17[[#This Row],[Priority]]="04. High",Table17[[#This Row],[Priority]]="05. Critical",Table17[[#This Row],[Priority]]="03. Moderate")</f>
        <v>1</v>
      </c>
      <c r="AJ109" s="185"/>
      <c r="AK109" s="185"/>
      <c r="AL109" s="185"/>
      <c r="AM109" s="185"/>
      <c r="AN109" s="185"/>
      <c r="AO109" s="185"/>
      <c r="AP109" s="185"/>
      <c r="AQ109" s="185"/>
      <c r="AR109" s="185"/>
      <c r="AS109" s="185"/>
      <c r="AT109" s="185"/>
      <c r="AU109" s="185"/>
      <c r="AV109" s="185"/>
      <c r="AW109" s="185"/>
      <c r="AX109" s="185"/>
      <c r="AY109" s="185"/>
      <c r="AZ109" s="185"/>
      <c r="BA109" s="185"/>
      <c r="BB109" s="185"/>
      <c r="BC109" s="185"/>
      <c r="BD109" s="185"/>
      <c r="BE109" s="185"/>
      <c r="BF109" s="185"/>
      <c r="BG109" s="185"/>
      <c r="BH109" s="185"/>
      <c r="BI109" s="185"/>
      <c r="BJ109" s="185"/>
      <c r="BK109" s="185"/>
      <c r="BL109" s="185"/>
      <c r="BM109" s="185"/>
      <c r="BN109" s="185"/>
      <c r="BO109" s="185"/>
      <c r="BP109" s="185"/>
      <c r="BQ109" s="185"/>
      <c r="BR109" s="185"/>
      <c r="BS109" s="185"/>
      <c r="BT109" s="185"/>
      <c r="BU109" s="185"/>
      <c r="BV109" s="185"/>
      <c r="BW109" s="185"/>
      <c r="BX109" s="185"/>
      <c r="BY109" s="185"/>
      <c r="BZ109" s="185"/>
      <c r="CA109" s="185"/>
      <c r="CB109" s="185"/>
      <c r="CC109" s="185"/>
      <c r="CD109" s="185"/>
      <c r="CE109" s="185"/>
      <c r="CF109" s="185"/>
      <c r="CG109" s="185"/>
      <c r="CH109" s="185"/>
      <c r="CI109" s="185"/>
      <c r="CJ109" s="185"/>
      <c r="CK109" s="185"/>
      <c r="CL109" s="185"/>
      <c r="CM109" s="185"/>
      <c r="CN109" s="185"/>
      <c r="CO109" s="185"/>
      <c r="CP109" s="185"/>
      <c r="CQ109" s="185"/>
      <c r="CR109" s="185"/>
      <c r="CS109" s="185"/>
      <c r="CT109" s="185"/>
      <c r="CU109" s="185"/>
      <c r="CV109" s="185"/>
      <c r="CW109" s="185"/>
      <c r="CX109" s="185"/>
      <c r="CY109" s="185"/>
      <c r="CZ109" s="185"/>
      <c r="DA109" s="185"/>
      <c r="DB109" s="185"/>
      <c r="DC109" s="185"/>
      <c r="DD109" s="185"/>
      <c r="DE109" s="185"/>
      <c r="DF109" s="185"/>
      <c r="DG109" s="185"/>
      <c r="DH109" s="185"/>
      <c r="DI109" s="185"/>
      <c r="DJ109" s="185"/>
      <c r="DK109" s="185"/>
      <c r="DL109" s="185"/>
      <c r="DM109" s="185"/>
      <c r="DN109" s="185"/>
      <c r="DO109" s="185"/>
      <c r="DP109" s="185"/>
      <c r="DQ109" s="185"/>
      <c r="DR109" s="185"/>
      <c r="DS109" s="185"/>
      <c r="DT109" s="185"/>
      <c r="DU109" s="185"/>
      <c r="DV109" s="185"/>
      <c r="DW109" s="185"/>
      <c r="DX109" s="185"/>
      <c r="DY109" s="185"/>
      <c r="DZ109" s="185"/>
      <c r="EA109" s="185"/>
      <c r="EB109" s="185"/>
      <c r="EC109" s="185"/>
      <c r="ED109" s="185"/>
      <c r="EE109" s="185"/>
      <c r="EF109" s="185"/>
      <c r="EG109" s="185"/>
      <c r="EH109" s="185"/>
      <c r="EI109" s="185"/>
      <c r="EJ109" s="185"/>
      <c r="EK109" s="185"/>
      <c r="EL109" s="185"/>
      <c r="EM109" s="185"/>
      <c r="EN109" s="185"/>
      <c r="EO109" s="185"/>
      <c r="EP109" s="185"/>
      <c r="EQ109" s="185"/>
      <c r="ER109" s="185"/>
      <c r="ES109" s="185"/>
      <c r="ET109" s="185"/>
      <c r="EU109" s="185"/>
      <c r="EV109" s="185"/>
      <c r="EW109" s="185"/>
      <c r="EX109" s="185"/>
      <c r="EY109" s="185"/>
      <c r="EZ109" s="185"/>
      <c r="FA109" s="185"/>
      <c r="FB109" s="185"/>
      <c r="FC109" s="185"/>
      <c r="FD109" s="185"/>
      <c r="FE109" s="185"/>
      <c r="FF109" s="185"/>
      <c r="FG109" s="185"/>
      <c r="FH109" s="185"/>
      <c r="FI109" s="185"/>
      <c r="FJ109" s="185"/>
      <c r="FK109" s="185"/>
    </row>
    <row r="110" spans="1:167" ht="156" hidden="1">
      <c r="A110" s="3" t="s">
        <v>635</v>
      </c>
      <c r="B110" s="78">
        <v>40841</v>
      </c>
      <c r="C110" s="91"/>
      <c r="D110" s="92" t="s">
        <v>676</v>
      </c>
      <c r="E110" s="91"/>
      <c r="F110" s="109" t="s">
        <v>785</v>
      </c>
      <c r="G110" s="91"/>
      <c r="H110" s="91"/>
      <c r="I110" s="91"/>
      <c r="J110" s="91"/>
      <c r="K110" s="91" t="s">
        <v>151</v>
      </c>
      <c r="L110" s="127"/>
      <c r="M110" s="71" t="s">
        <v>792</v>
      </c>
      <c r="N110" s="71" t="s">
        <v>150</v>
      </c>
      <c r="O110" s="71"/>
      <c r="P110" s="71"/>
      <c r="Q110" s="78">
        <v>40849</v>
      </c>
      <c r="R110" s="105">
        <v>40877</v>
      </c>
      <c r="S110" s="71" t="s">
        <v>793</v>
      </c>
      <c r="T110" s="71"/>
      <c r="U110" s="448" t="s">
        <v>3052</v>
      </c>
      <c r="V110" s="80">
        <v>40848</v>
      </c>
      <c r="W110" s="31"/>
      <c r="Y110" s="176" t="str">
        <f ca="1">IF(Table17[[#This Row],[Required Resolution Date]]="","FALSE",IF($AA$1&gt;Table17[[#This Row],[Required Resolution Date]],"TRUE","FALSE"))</f>
        <v>TRUE</v>
      </c>
      <c r="Z110" s="175">
        <f t="shared" ca="1" si="5"/>
        <v>1</v>
      </c>
      <c r="AB110" s="175" t="b">
        <f>OR(Table17[[#This Row],[Priority]]="04. High",Table17[[#This Row],[Priority]]="05. Critical")</f>
        <v>1</v>
      </c>
      <c r="AC110" s="284">
        <f ca="1">$AA$1-Table17[[#This Row],[Date captured]]</f>
        <v>149</v>
      </c>
      <c r="AD110" s="175" t="b">
        <f t="shared" ca="1" si="6"/>
        <v>0</v>
      </c>
      <c r="AE110" s="175" t="b">
        <f t="shared" ca="1" si="7"/>
        <v>1</v>
      </c>
      <c r="AF110" s="175" t="b">
        <f t="shared" ca="1" si="8"/>
        <v>0</v>
      </c>
      <c r="AG110" s="284">
        <f ca="1">Table17[[#This Row],[Required Resolution Date]]-$AA$1</f>
        <v>-113</v>
      </c>
      <c r="AH110" s="175" t="b">
        <f t="shared" ca="1" si="9"/>
        <v>0</v>
      </c>
      <c r="AI110" s="327" t="b">
        <f>OR(Table17[[#This Row],[Priority]]="04. High",Table17[[#This Row],[Priority]]="05. Critical",Table17[[#This Row],[Priority]]="03. Moderate")</f>
        <v>1</v>
      </c>
    </row>
    <row r="111" spans="1:167" ht="175.5" hidden="1">
      <c r="A111" s="174" t="s">
        <v>636</v>
      </c>
      <c r="B111" s="142">
        <v>40842</v>
      </c>
      <c r="C111" s="326" t="s">
        <v>1570</v>
      </c>
      <c r="D111" s="325" t="s">
        <v>676</v>
      </c>
      <c r="E111" s="326"/>
      <c r="F111" s="324" t="s">
        <v>786</v>
      </c>
      <c r="G111" s="326"/>
      <c r="H111" s="326"/>
      <c r="I111" s="326"/>
      <c r="J111" s="326"/>
      <c r="K111" s="326" t="s">
        <v>1557</v>
      </c>
      <c r="L111" s="146" t="s">
        <v>186</v>
      </c>
      <c r="M111" s="146" t="s">
        <v>1492</v>
      </c>
      <c r="N111" s="146" t="s">
        <v>149</v>
      </c>
      <c r="O111" s="146"/>
      <c r="P111" s="146"/>
      <c r="Q111" s="142">
        <v>40870</v>
      </c>
      <c r="R111" s="144">
        <v>40946</v>
      </c>
      <c r="S111" s="152" t="s">
        <v>1839</v>
      </c>
      <c r="T111" s="152"/>
      <c r="U111" s="443" t="s">
        <v>1840</v>
      </c>
      <c r="V111" s="157">
        <v>40938</v>
      </c>
      <c r="W111" s="326"/>
      <c r="Y111" s="176" t="str">
        <f ca="1">IF(Table17[[#This Row],[Required Resolution Date]]="","FALSE",IF($AA$1&gt;Table17[[#This Row],[Required Resolution Date]],"TRUE","FALSE"))</f>
        <v>TRUE</v>
      </c>
      <c r="Z111" s="175">
        <f t="shared" ca="1" si="5"/>
        <v>1</v>
      </c>
      <c r="AB111" s="175" t="b">
        <f>OR(Table17[[#This Row],[Priority]]="04. High",Table17[[#This Row],[Priority]]="05. Critical")</f>
        <v>0</v>
      </c>
      <c r="AC111" s="284">
        <f ca="1">$AA$1-Table17[[#This Row],[Date captured]]</f>
        <v>148</v>
      </c>
      <c r="AD111" s="175" t="b">
        <f t="shared" ca="1" si="6"/>
        <v>0</v>
      </c>
      <c r="AE111" s="175" t="b">
        <f t="shared" ca="1" si="7"/>
        <v>1</v>
      </c>
      <c r="AF111" s="175" t="b">
        <f t="shared" ca="1" si="8"/>
        <v>0</v>
      </c>
      <c r="AG111" s="284">
        <f ca="1">Table17[[#This Row],[Required Resolution Date]]-$AA$1</f>
        <v>-44</v>
      </c>
      <c r="AH111" s="175" t="b">
        <f t="shared" ca="1" si="9"/>
        <v>0</v>
      </c>
      <c r="AI111" s="327" t="b">
        <f>OR(Table17[[#This Row],[Priority]]="04. High",Table17[[#This Row],[Priority]]="05. Critical",Table17[[#This Row],[Priority]]="03. Moderate")</f>
        <v>1</v>
      </c>
    </row>
    <row r="112" spans="1:167" ht="96" hidden="1">
      <c r="A112" s="3" t="s">
        <v>637</v>
      </c>
      <c r="B112" s="78">
        <v>40848</v>
      </c>
      <c r="C112" s="91"/>
      <c r="D112" s="92" t="s">
        <v>676</v>
      </c>
      <c r="E112" s="91"/>
      <c r="F112" s="71" t="s">
        <v>787</v>
      </c>
      <c r="G112" s="91"/>
      <c r="H112" s="91"/>
      <c r="I112" s="91"/>
      <c r="J112" s="91"/>
      <c r="K112" s="91" t="s">
        <v>151</v>
      </c>
      <c r="L112" s="127"/>
      <c r="M112" s="71" t="s">
        <v>445</v>
      </c>
      <c r="N112" s="71" t="s">
        <v>150</v>
      </c>
      <c r="O112" s="71"/>
      <c r="P112" s="71"/>
      <c r="Q112" s="66">
        <v>40869</v>
      </c>
      <c r="R112" s="106">
        <v>40861</v>
      </c>
      <c r="S112" s="71" t="s">
        <v>794</v>
      </c>
      <c r="T112" s="71"/>
      <c r="U112" s="448" t="s">
        <v>3053</v>
      </c>
      <c r="V112" s="80">
        <v>40869</v>
      </c>
      <c r="W112" s="31"/>
      <c r="Y112" s="176" t="str">
        <f ca="1">IF(Table17[[#This Row],[Required Resolution Date]]="","FALSE",IF($AA$1&gt;Table17[[#This Row],[Required Resolution Date]],"TRUE","FALSE"))</f>
        <v>TRUE</v>
      </c>
      <c r="Z112" s="175">
        <f t="shared" ca="1" si="5"/>
        <v>1</v>
      </c>
      <c r="AB112" s="175" t="b">
        <f>OR(Table17[[#This Row],[Priority]]="04. High",Table17[[#This Row],[Priority]]="05. Critical")</f>
        <v>1</v>
      </c>
      <c r="AC112" s="284">
        <f ca="1">$AA$1-Table17[[#This Row],[Date captured]]</f>
        <v>142</v>
      </c>
      <c r="AD112" s="175" t="b">
        <f t="shared" ca="1" si="6"/>
        <v>0</v>
      </c>
      <c r="AE112" s="175" t="b">
        <f t="shared" ca="1" si="7"/>
        <v>1</v>
      </c>
      <c r="AF112" s="175" t="b">
        <f t="shared" ca="1" si="8"/>
        <v>0</v>
      </c>
      <c r="AG112" s="284">
        <f ca="1">Table17[[#This Row],[Required Resolution Date]]-$AA$1</f>
        <v>-129</v>
      </c>
      <c r="AH112" s="175" t="b">
        <f t="shared" ca="1" si="9"/>
        <v>0</v>
      </c>
      <c r="AI112" s="327" t="b">
        <f>OR(Table17[[#This Row],[Priority]]="04. High",Table17[[#This Row],[Priority]]="05. Critical",Table17[[#This Row],[Priority]]="03. Moderate")</f>
        <v>1</v>
      </c>
    </row>
    <row r="113" spans="1:167" ht="60" hidden="1">
      <c r="A113" s="3" t="s">
        <v>638</v>
      </c>
      <c r="B113" s="100">
        <v>40848</v>
      </c>
      <c r="C113" s="91"/>
      <c r="D113" s="92" t="s">
        <v>676</v>
      </c>
      <c r="E113" s="91"/>
      <c r="F113" s="65" t="s">
        <v>796</v>
      </c>
      <c r="G113" s="91"/>
      <c r="H113" s="91"/>
      <c r="I113" s="91"/>
      <c r="J113" s="91"/>
      <c r="K113" s="91" t="s">
        <v>1557</v>
      </c>
      <c r="L113" s="127"/>
      <c r="M113" s="65" t="s">
        <v>261</v>
      </c>
      <c r="N113" s="65" t="s">
        <v>150</v>
      </c>
      <c r="O113" s="65"/>
      <c r="P113" s="65"/>
      <c r="Q113" s="94">
        <v>40849</v>
      </c>
      <c r="R113" s="105">
        <v>40851</v>
      </c>
      <c r="S113" s="65" t="s">
        <v>795</v>
      </c>
      <c r="T113" s="65"/>
      <c r="U113" s="451" t="s">
        <v>3054</v>
      </c>
      <c r="V113" s="120">
        <v>40850</v>
      </c>
      <c r="W113" s="31"/>
      <c r="Y113" s="176" t="str">
        <f ca="1">IF(Table17[[#This Row],[Required Resolution Date]]="","FALSE",IF($AA$1&gt;Table17[[#This Row],[Required Resolution Date]],"TRUE","FALSE"))</f>
        <v>TRUE</v>
      </c>
      <c r="Z113" s="175">
        <f t="shared" ca="1" si="5"/>
        <v>1</v>
      </c>
      <c r="AB113" s="175" t="b">
        <f>OR(Table17[[#This Row],[Priority]]="04. High",Table17[[#This Row],[Priority]]="05. Critical")</f>
        <v>0</v>
      </c>
      <c r="AC113" s="284">
        <f ca="1">$AA$1-Table17[[#This Row],[Date captured]]</f>
        <v>142</v>
      </c>
      <c r="AD113" s="175" t="b">
        <f t="shared" ca="1" si="6"/>
        <v>0</v>
      </c>
      <c r="AE113" s="175" t="b">
        <f t="shared" ca="1" si="7"/>
        <v>1</v>
      </c>
      <c r="AF113" s="175" t="b">
        <f t="shared" ca="1" si="8"/>
        <v>0</v>
      </c>
      <c r="AG113" s="284">
        <f ca="1">Table17[[#This Row],[Required Resolution Date]]-$AA$1</f>
        <v>-139</v>
      </c>
      <c r="AH113" s="175" t="b">
        <f t="shared" ca="1" si="9"/>
        <v>0</v>
      </c>
      <c r="AI113" s="327" t="b">
        <f>OR(Table17[[#This Row],[Priority]]="04. High",Table17[[#This Row],[Priority]]="05. Critical",Table17[[#This Row],[Priority]]="03. Moderate")</f>
        <v>1</v>
      </c>
    </row>
    <row r="114" spans="1:167" s="186" customFormat="1" ht="84" hidden="1">
      <c r="A114" s="3" t="s">
        <v>639</v>
      </c>
      <c r="B114" s="78">
        <v>40848</v>
      </c>
      <c r="C114" s="91"/>
      <c r="D114" s="79" t="s">
        <v>676</v>
      </c>
      <c r="E114" s="91"/>
      <c r="F114" s="71" t="s">
        <v>799</v>
      </c>
      <c r="G114" s="91"/>
      <c r="H114" s="91"/>
      <c r="I114" s="91"/>
      <c r="J114" s="91"/>
      <c r="K114" s="91" t="s">
        <v>1557</v>
      </c>
      <c r="L114" s="127"/>
      <c r="M114" s="71" t="s">
        <v>261</v>
      </c>
      <c r="N114" s="71" t="s">
        <v>150</v>
      </c>
      <c r="O114" s="71"/>
      <c r="P114" s="71"/>
      <c r="Q114" s="78">
        <v>40909</v>
      </c>
      <c r="R114" s="105">
        <v>40861</v>
      </c>
      <c r="S114" s="71" t="s">
        <v>813</v>
      </c>
      <c r="T114" s="71"/>
      <c r="U114" s="448" t="s">
        <v>3055</v>
      </c>
      <c r="V114" s="80">
        <v>40855</v>
      </c>
      <c r="W114" s="31"/>
      <c r="X114" s="185"/>
      <c r="Y114" s="176" t="str">
        <f ca="1">IF(Table17[[#This Row],[Required Resolution Date]]="","FALSE",IF($AA$1&gt;Table17[[#This Row],[Required Resolution Date]],"TRUE","FALSE"))</f>
        <v>TRUE</v>
      </c>
      <c r="Z114" s="175">
        <f t="shared" ca="1" si="5"/>
        <v>1</v>
      </c>
      <c r="AA114" s="185"/>
      <c r="AB114" s="175" t="b">
        <f>OR(Table17[[#This Row],[Priority]]="04. High",Table17[[#This Row],[Priority]]="05. Critical")</f>
        <v>0</v>
      </c>
      <c r="AC114" s="284">
        <f ca="1">$AA$1-Table17[[#This Row],[Date captured]]</f>
        <v>142</v>
      </c>
      <c r="AD114" s="175" t="b">
        <f t="shared" ca="1" si="6"/>
        <v>0</v>
      </c>
      <c r="AE114" s="175" t="b">
        <f t="shared" ca="1" si="7"/>
        <v>1</v>
      </c>
      <c r="AF114" s="175" t="b">
        <f t="shared" ca="1" si="8"/>
        <v>0</v>
      </c>
      <c r="AG114" s="284">
        <f ca="1">Table17[[#This Row],[Required Resolution Date]]-$AA$1</f>
        <v>-129</v>
      </c>
      <c r="AH114" s="175" t="b">
        <f t="shared" ca="1" si="9"/>
        <v>0</v>
      </c>
      <c r="AI114" s="327" t="b">
        <f>OR(Table17[[#This Row],[Priority]]="04. High",Table17[[#This Row],[Priority]]="05. Critical",Table17[[#This Row],[Priority]]="03. Moderate")</f>
        <v>1</v>
      </c>
      <c r="AJ114" s="185"/>
      <c r="AK114" s="185"/>
      <c r="AL114" s="185"/>
      <c r="AM114" s="185"/>
      <c r="AN114" s="185"/>
      <c r="AO114" s="185"/>
      <c r="AP114" s="185"/>
      <c r="AQ114" s="185"/>
      <c r="AR114" s="185"/>
      <c r="AS114" s="185"/>
      <c r="AT114" s="185"/>
      <c r="AU114" s="185"/>
      <c r="AV114" s="185"/>
      <c r="AW114" s="185"/>
      <c r="AX114" s="185"/>
      <c r="AY114" s="185"/>
      <c r="AZ114" s="185"/>
      <c r="BA114" s="185"/>
      <c r="BB114" s="185"/>
      <c r="BC114" s="185"/>
      <c r="BD114" s="185"/>
      <c r="BE114" s="185"/>
      <c r="BF114" s="185"/>
      <c r="BG114" s="185"/>
      <c r="BH114" s="185"/>
      <c r="BI114" s="185"/>
      <c r="BJ114" s="185"/>
      <c r="BK114" s="185"/>
      <c r="BL114" s="185"/>
      <c r="BM114" s="185"/>
      <c r="BN114" s="185"/>
      <c r="BO114" s="185"/>
      <c r="BP114" s="185"/>
      <c r="BQ114" s="185"/>
      <c r="BR114" s="185"/>
      <c r="BS114" s="185"/>
      <c r="BT114" s="185"/>
      <c r="BU114" s="185"/>
      <c r="BV114" s="185"/>
      <c r="BW114" s="185"/>
      <c r="BX114" s="185"/>
      <c r="BY114" s="185"/>
      <c r="BZ114" s="185"/>
      <c r="CA114" s="185"/>
      <c r="CB114" s="185"/>
      <c r="CC114" s="185"/>
      <c r="CD114" s="185"/>
      <c r="CE114" s="185"/>
      <c r="CF114" s="185"/>
      <c r="CG114" s="185"/>
      <c r="CH114" s="185"/>
      <c r="CI114" s="185"/>
      <c r="CJ114" s="185"/>
      <c r="CK114" s="185"/>
      <c r="CL114" s="185"/>
      <c r="CM114" s="185"/>
      <c r="CN114" s="185"/>
      <c r="CO114" s="185"/>
      <c r="CP114" s="185"/>
      <c r="CQ114" s="185"/>
      <c r="CR114" s="185"/>
      <c r="CS114" s="185"/>
      <c r="CT114" s="185"/>
      <c r="CU114" s="185"/>
      <c r="CV114" s="185"/>
      <c r="CW114" s="185"/>
      <c r="CX114" s="185"/>
      <c r="CY114" s="185"/>
      <c r="CZ114" s="185"/>
      <c r="DA114" s="185"/>
      <c r="DB114" s="185"/>
      <c r="DC114" s="185"/>
      <c r="DD114" s="185"/>
      <c r="DE114" s="185"/>
      <c r="DF114" s="185"/>
      <c r="DG114" s="185"/>
      <c r="DH114" s="185"/>
      <c r="DI114" s="185"/>
      <c r="DJ114" s="185"/>
      <c r="DK114" s="185"/>
      <c r="DL114" s="185"/>
      <c r="DM114" s="185"/>
      <c r="DN114" s="185"/>
      <c r="DO114" s="185"/>
      <c r="DP114" s="185"/>
      <c r="DQ114" s="185"/>
      <c r="DR114" s="185"/>
      <c r="DS114" s="185"/>
      <c r="DT114" s="185"/>
      <c r="DU114" s="185"/>
      <c r="DV114" s="185"/>
      <c r="DW114" s="185"/>
      <c r="DX114" s="185"/>
      <c r="DY114" s="185"/>
      <c r="DZ114" s="185"/>
      <c r="EA114" s="185"/>
      <c r="EB114" s="185"/>
      <c r="EC114" s="185"/>
      <c r="ED114" s="185"/>
      <c r="EE114" s="185"/>
      <c r="EF114" s="185"/>
      <c r="EG114" s="185"/>
      <c r="EH114" s="185"/>
      <c r="EI114" s="185"/>
      <c r="EJ114" s="185"/>
      <c r="EK114" s="185"/>
      <c r="EL114" s="185"/>
      <c r="EM114" s="185"/>
      <c r="EN114" s="185"/>
      <c r="EO114" s="185"/>
      <c r="EP114" s="185"/>
      <c r="EQ114" s="185"/>
      <c r="ER114" s="185"/>
      <c r="ES114" s="185"/>
      <c r="ET114" s="185"/>
      <c r="EU114" s="185"/>
      <c r="EV114" s="185"/>
      <c r="EW114" s="185"/>
      <c r="EX114" s="185"/>
      <c r="EY114" s="185"/>
      <c r="EZ114" s="185"/>
      <c r="FA114" s="185"/>
      <c r="FB114" s="185"/>
      <c r="FC114" s="185"/>
      <c r="FD114" s="185"/>
      <c r="FE114" s="185"/>
      <c r="FF114" s="185"/>
      <c r="FG114" s="185"/>
      <c r="FH114" s="185"/>
      <c r="FI114" s="185"/>
      <c r="FJ114" s="185"/>
      <c r="FK114" s="185"/>
    </row>
    <row r="115" spans="1:167" s="186" customFormat="1" ht="156" hidden="1">
      <c r="A115" s="3" t="s">
        <v>640</v>
      </c>
      <c r="B115" s="118">
        <v>40848</v>
      </c>
      <c r="C115" s="91"/>
      <c r="D115" s="117" t="s">
        <v>676</v>
      </c>
      <c r="E115" s="91"/>
      <c r="F115" s="65" t="s">
        <v>800</v>
      </c>
      <c r="G115" s="91"/>
      <c r="H115" s="91"/>
      <c r="I115" s="91"/>
      <c r="J115" s="91"/>
      <c r="K115" s="91" t="s">
        <v>151</v>
      </c>
      <c r="L115" s="127"/>
      <c r="M115" s="65" t="s">
        <v>814</v>
      </c>
      <c r="N115" s="65" t="s">
        <v>303</v>
      </c>
      <c r="O115" s="65"/>
      <c r="P115" s="65"/>
      <c r="Q115" s="119">
        <v>40884</v>
      </c>
      <c r="R115" s="112"/>
      <c r="S115" s="65" t="s">
        <v>815</v>
      </c>
      <c r="T115" s="65"/>
      <c r="U115" s="451" t="s">
        <v>3056</v>
      </c>
      <c r="V115" s="120">
        <v>40884</v>
      </c>
      <c r="W115" s="31"/>
      <c r="X115" s="185"/>
      <c r="Y115" s="176" t="str">
        <f>IF(Table17[[#This Row],[Required Resolution Date]]="","FALSE",IF($AA$1&gt;Table17[[#This Row],[Required Resolution Date]],"TRUE","FALSE"))</f>
        <v>FALSE</v>
      </c>
      <c r="Z115" s="175">
        <f t="shared" si="5"/>
        <v>0</v>
      </c>
      <c r="AA115" s="185"/>
      <c r="AB115" s="175" t="b">
        <f>OR(Table17[[#This Row],[Priority]]="04. High",Table17[[#This Row],[Priority]]="05. Critical")</f>
        <v>1</v>
      </c>
      <c r="AC115" s="284">
        <f ca="1">$AA$1-Table17[[#This Row],[Date captured]]</f>
        <v>142</v>
      </c>
      <c r="AD115" s="175" t="b">
        <f t="shared" ca="1" si="6"/>
        <v>0</v>
      </c>
      <c r="AE115" s="175" t="b">
        <f t="shared" ca="1" si="7"/>
        <v>1</v>
      </c>
      <c r="AF115" s="175" t="b">
        <f t="shared" ca="1" si="8"/>
        <v>0</v>
      </c>
      <c r="AG115" s="284">
        <f ca="1">Table17[[#This Row],[Required Resolution Date]]-$AA$1</f>
        <v>-40990</v>
      </c>
      <c r="AH115" s="175" t="b">
        <f t="shared" ca="1" si="9"/>
        <v>0</v>
      </c>
      <c r="AI115" s="327" t="b">
        <f>OR(Table17[[#This Row],[Priority]]="04. High",Table17[[#This Row],[Priority]]="05. Critical",Table17[[#This Row],[Priority]]="03. Moderate")</f>
        <v>1</v>
      </c>
      <c r="AJ115" s="185"/>
      <c r="AK115" s="185"/>
      <c r="AL115" s="185"/>
      <c r="AM115" s="185"/>
      <c r="AN115" s="185"/>
      <c r="AO115" s="185"/>
      <c r="AP115" s="185"/>
      <c r="AQ115" s="185"/>
      <c r="AR115" s="185"/>
      <c r="AS115" s="185"/>
      <c r="AT115" s="185"/>
      <c r="AU115" s="185"/>
      <c r="AV115" s="185"/>
      <c r="AW115" s="185"/>
      <c r="AX115" s="185"/>
      <c r="AY115" s="185"/>
      <c r="AZ115" s="185"/>
      <c r="BA115" s="185"/>
      <c r="BB115" s="185"/>
      <c r="BC115" s="185"/>
      <c r="BD115" s="185"/>
      <c r="BE115" s="185"/>
      <c r="BF115" s="185"/>
      <c r="BG115" s="185"/>
      <c r="BH115" s="185"/>
      <c r="BI115" s="185"/>
      <c r="BJ115" s="185"/>
      <c r="BK115" s="185"/>
      <c r="BL115" s="185"/>
      <c r="BM115" s="185"/>
      <c r="BN115" s="185"/>
      <c r="BO115" s="185"/>
      <c r="BP115" s="185"/>
      <c r="BQ115" s="185"/>
      <c r="BR115" s="185"/>
      <c r="BS115" s="185"/>
      <c r="BT115" s="185"/>
      <c r="BU115" s="185"/>
      <c r="BV115" s="185"/>
      <c r="BW115" s="185"/>
      <c r="BX115" s="185"/>
      <c r="BY115" s="185"/>
      <c r="BZ115" s="185"/>
      <c r="CA115" s="185"/>
      <c r="CB115" s="185"/>
      <c r="CC115" s="185"/>
      <c r="CD115" s="185"/>
      <c r="CE115" s="185"/>
      <c r="CF115" s="185"/>
      <c r="CG115" s="185"/>
      <c r="CH115" s="185"/>
      <c r="CI115" s="185"/>
      <c r="CJ115" s="185"/>
      <c r="CK115" s="185"/>
      <c r="CL115" s="185"/>
      <c r="CM115" s="185"/>
      <c r="CN115" s="185"/>
      <c r="CO115" s="185"/>
      <c r="CP115" s="185"/>
      <c r="CQ115" s="185"/>
      <c r="CR115" s="185"/>
      <c r="CS115" s="185"/>
      <c r="CT115" s="185"/>
      <c r="CU115" s="185"/>
      <c r="CV115" s="185"/>
      <c r="CW115" s="185"/>
      <c r="CX115" s="185"/>
      <c r="CY115" s="185"/>
      <c r="CZ115" s="185"/>
      <c r="DA115" s="185"/>
      <c r="DB115" s="185"/>
      <c r="DC115" s="185"/>
      <c r="DD115" s="185"/>
      <c r="DE115" s="185"/>
      <c r="DF115" s="185"/>
      <c r="DG115" s="185"/>
      <c r="DH115" s="185"/>
      <c r="DI115" s="185"/>
      <c r="DJ115" s="185"/>
      <c r="DK115" s="185"/>
      <c r="DL115" s="185"/>
      <c r="DM115" s="185"/>
      <c r="DN115" s="185"/>
      <c r="DO115" s="185"/>
      <c r="DP115" s="185"/>
      <c r="DQ115" s="185"/>
      <c r="DR115" s="185"/>
      <c r="DS115" s="185"/>
      <c r="DT115" s="185"/>
      <c r="DU115" s="185"/>
      <c r="DV115" s="185"/>
      <c r="DW115" s="185"/>
      <c r="DX115" s="185"/>
      <c r="DY115" s="185"/>
      <c r="DZ115" s="185"/>
      <c r="EA115" s="185"/>
      <c r="EB115" s="185"/>
      <c r="EC115" s="185"/>
      <c r="ED115" s="185"/>
      <c r="EE115" s="185"/>
      <c r="EF115" s="185"/>
      <c r="EG115" s="185"/>
      <c r="EH115" s="185"/>
      <c r="EI115" s="185"/>
      <c r="EJ115" s="185"/>
      <c r="EK115" s="185"/>
      <c r="EL115" s="185"/>
      <c r="EM115" s="185"/>
      <c r="EN115" s="185"/>
      <c r="EO115" s="185"/>
      <c r="EP115" s="185"/>
      <c r="EQ115" s="185"/>
      <c r="ER115" s="185"/>
      <c r="ES115" s="185"/>
      <c r="ET115" s="185"/>
      <c r="EU115" s="185"/>
      <c r="EV115" s="185"/>
      <c r="EW115" s="185"/>
      <c r="EX115" s="185"/>
      <c r="EY115" s="185"/>
      <c r="EZ115" s="185"/>
      <c r="FA115" s="185"/>
      <c r="FB115" s="185"/>
      <c r="FC115" s="185"/>
      <c r="FD115" s="185"/>
      <c r="FE115" s="185"/>
      <c r="FF115" s="185"/>
      <c r="FG115" s="185"/>
      <c r="FH115" s="185"/>
      <c r="FI115" s="185"/>
      <c r="FJ115" s="185"/>
      <c r="FK115" s="185"/>
    </row>
    <row r="116" spans="1:167" s="186" customFormat="1" ht="256.5" hidden="1">
      <c r="A116" s="174" t="s">
        <v>587</v>
      </c>
      <c r="B116" s="147">
        <v>40492</v>
      </c>
      <c r="C116" s="326" t="s">
        <v>1570</v>
      </c>
      <c r="D116" s="324" t="s">
        <v>676</v>
      </c>
      <c r="E116" s="326"/>
      <c r="F116" s="324" t="s">
        <v>801</v>
      </c>
      <c r="G116" s="326" t="s">
        <v>679</v>
      </c>
      <c r="H116" s="326" t="s">
        <v>679</v>
      </c>
      <c r="I116" s="326" t="s">
        <v>679</v>
      </c>
      <c r="J116" s="326" t="s">
        <v>679</v>
      </c>
      <c r="K116" s="326" t="s">
        <v>1557</v>
      </c>
      <c r="L116" s="333" t="s">
        <v>261</v>
      </c>
      <c r="M116" s="324" t="s">
        <v>261</v>
      </c>
      <c r="N116" s="324" t="s">
        <v>150</v>
      </c>
      <c r="O116" s="324"/>
      <c r="P116" s="324" t="s">
        <v>2508</v>
      </c>
      <c r="Q116" s="147">
        <v>40982</v>
      </c>
      <c r="R116" s="153">
        <v>40637</v>
      </c>
      <c r="S116" s="152" t="s">
        <v>2900</v>
      </c>
      <c r="T116" s="152" t="s">
        <v>1564</v>
      </c>
      <c r="U116" s="443" t="s">
        <v>2905</v>
      </c>
      <c r="V116" s="150">
        <v>40981</v>
      </c>
      <c r="W116" s="326"/>
      <c r="X116" s="185"/>
      <c r="Y116" s="176" t="str">
        <f ca="1">IF(Table17[[#This Row],[Required Resolution Date]]="","FALSE",IF($AA$1&gt;Table17[[#This Row],[Required Resolution Date]],"TRUE","FALSE"))</f>
        <v>TRUE</v>
      </c>
      <c r="Z116" s="175">
        <f t="shared" ca="1" si="5"/>
        <v>1</v>
      </c>
      <c r="AA116" s="185"/>
      <c r="AB116" s="175" t="b">
        <f>OR(Table17[[#This Row],[Priority]]="04. High",Table17[[#This Row],[Priority]]="05. Critical")</f>
        <v>0</v>
      </c>
      <c r="AC116" s="284">
        <f ca="1">$AA$1-Table17[[#This Row],[Date captured]]</f>
        <v>498</v>
      </c>
      <c r="AD116" s="175" t="b">
        <f t="shared" ca="1" si="6"/>
        <v>0</v>
      </c>
      <c r="AE116" s="175" t="b">
        <f t="shared" ca="1" si="7"/>
        <v>0</v>
      </c>
      <c r="AF116" s="175" t="b">
        <f t="shared" ca="1" si="8"/>
        <v>1</v>
      </c>
      <c r="AG116" s="284">
        <f ca="1">Table17[[#This Row],[Required Resolution Date]]-$AA$1</f>
        <v>-353</v>
      </c>
      <c r="AH116" s="175" t="b">
        <f t="shared" ca="1" si="9"/>
        <v>0</v>
      </c>
      <c r="AI116" s="327" t="b">
        <f>OR(Table17[[#This Row],[Priority]]="04. High",Table17[[#This Row],[Priority]]="05. Critical",Table17[[#This Row],[Priority]]="03. Moderate")</f>
        <v>1</v>
      </c>
      <c r="AJ116" s="185"/>
      <c r="AK116" s="185"/>
      <c r="AL116" s="185"/>
      <c r="AM116" s="185"/>
      <c r="AN116" s="185"/>
      <c r="AO116" s="185"/>
      <c r="AP116" s="185"/>
      <c r="AQ116" s="185"/>
      <c r="AR116" s="185"/>
      <c r="AS116" s="185"/>
      <c r="AT116" s="185"/>
      <c r="AU116" s="185"/>
      <c r="AV116" s="185"/>
      <c r="AW116" s="185"/>
      <c r="AX116" s="185"/>
      <c r="AY116" s="185"/>
      <c r="AZ116" s="185"/>
      <c r="BA116" s="185"/>
      <c r="BB116" s="185"/>
      <c r="BC116" s="185"/>
      <c r="BD116" s="185"/>
      <c r="BE116" s="185"/>
      <c r="BF116" s="185"/>
      <c r="BG116" s="185"/>
      <c r="BH116" s="185"/>
      <c r="BI116" s="185"/>
      <c r="BJ116" s="185"/>
      <c r="BK116" s="185"/>
      <c r="BL116" s="185"/>
      <c r="BM116" s="185"/>
      <c r="BN116" s="185"/>
      <c r="BO116" s="185"/>
      <c r="BP116" s="185"/>
      <c r="BQ116" s="185"/>
      <c r="BR116" s="185"/>
      <c r="BS116" s="185"/>
      <c r="BT116" s="185"/>
      <c r="BU116" s="185"/>
      <c r="BV116" s="185"/>
      <c r="BW116" s="185"/>
      <c r="BX116" s="185"/>
      <c r="BY116" s="185"/>
      <c r="BZ116" s="185"/>
      <c r="CA116" s="185"/>
      <c r="CB116" s="185"/>
      <c r="CC116" s="185"/>
      <c r="CD116" s="185"/>
      <c r="CE116" s="185"/>
      <c r="CF116" s="185"/>
      <c r="CG116" s="185"/>
      <c r="CH116" s="185"/>
      <c r="CI116" s="185"/>
      <c r="CJ116" s="185"/>
      <c r="CK116" s="185"/>
      <c r="CL116" s="185"/>
      <c r="CM116" s="185"/>
      <c r="CN116" s="185"/>
      <c r="CO116" s="185"/>
      <c r="CP116" s="185"/>
      <c r="CQ116" s="185"/>
      <c r="CR116" s="185"/>
      <c r="CS116" s="185"/>
      <c r="CT116" s="185"/>
      <c r="CU116" s="185"/>
      <c r="CV116" s="185"/>
      <c r="CW116" s="185"/>
      <c r="CX116" s="185"/>
      <c r="CY116" s="185"/>
      <c r="CZ116" s="185"/>
      <c r="DA116" s="185"/>
      <c r="DB116" s="185"/>
      <c r="DC116" s="185"/>
      <c r="DD116" s="185"/>
      <c r="DE116" s="185"/>
      <c r="DF116" s="185"/>
      <c r="DG116" s="185"/>
      <c r="DH116" s="185"/>
      <c r="DI116" s="185"/>
      <c r="DJ116" s="185"/>
      <c r="DK116" s="185"/>
      <c r="DL116" s="185"/>
      <c r="DM116" s="185"/>
      <c r="DN116" s="185"/>
      <c r="DO116" s="185"/>
      <c r="DP116" s="185"/>
      <c r="DQ116" s="185"/>
      <c r="DR116" s="185"/>
      <c r="DS116" s="185"/>
      <c r="DT116" s="185"/>
      <c r="DU116" s="185"/>
      <c r="DV116" s="185"/>
      <c r="DW116" s="185"/>
      <c r="DX116" s="185"/>
      <c r="DY116" s="185"/>
      <c r="DZ116" s="185"/>
      <c r="EA116" s="185"/>
      <c r="EB116" s="185"/>
      <c r="EC116" s="185"/>
      <c r="ED116" s="185"/>
      <c r="EE116" s="185"/>
      <c r="EF116" s="185"/>
      <c r="EG116" s="185"/>
      <c r="EH116" s="185"/>
      <c r="EI116" s="185"/>
      <c r="EJ116" s="185"/>
      <c r="EK116" s="185"/>
      <c r="EL116" s="185"/>
      <c r="EM116" s="185"/>
      <c r="EN116" s="185"/>
      <c r="EO116" s="185"/>
      <c r="EP116" s="185"/>
      <c r="EQ116" s="185"/>
      <c r="ER116" s="185"/>
      <c r="ES116" s="185"/>
      <c r="ET116" s="185"/>
      <c r="EU116" s="185"/>
      <c r="EV116" s="185"/>
      <c r="EW116" s="185"/>
      <c r="EX116" s="185"/>
      <c r="EY116" s="185"/>
      <c r="EZ116" s="185"/>
      <c r="FA116" s="185"/>
      <c r="FB116" s="185"/>
      <c r="FC116" s="185"/>
      <c r="FD116" s="185"/>
      <c r="FE116" s="185"/>
      <c r="FF116" s="185"/>
      <c r="FG116" s="185"/>
      <c r="FH116" s="185"/>
      <c r="FI116" s="185"/>
      <c r="FJ116" s="185"/>
      <c r="FK116" s="185"/>
    </row>
    <row r="117" spans="1:167" s="186" customFormat="1" ht="270" hidden="1">
      <c r="A117" s="174" t="s">
        <v>641</v>
      </c>
      <c r="B117" s="142">
        <v>40848</v>
      </c>
      <c r="C117" s="326" t="s">
        <v>1570</v>
      </c>
      <c r="D117" s="143" t="s">
        <v>676</v>
      </c>
      <c r="E117" s="326"/>
      <c r="F117" s="324" t="s">
        <v>802</v>
      </c>
      <c r="G117" s="326"/>
      <c r="H117" s="326" t="s">
        <v>679</v>
      </c>
      <c r="I117" s="326" t="s">
        <v>679</v>
      </c>
      <c r="J117" s="326"/>
      <c r="K117" s="326" t="s">
        <v>1557</v>
      </c>
      <c r="L117" s="333" t="s">
        <v>446</v>
      </c>
      <c r="M117" s="324" t="s">
        <v>446</v>
      </c>
      <c r="N117" s="324" t="s">
        <v>154</v>
      </c>
      <c r="O117" s="324"/>
      <c r="P117" s="324"/>
      <c r="Q117" s="142">
        <v>40947</v>
      </c>
      <c r="R117" s="144"/>
      <c r="S117" s="324" t="s">
        <v>2278</v>
      </c>
      <c r="T117" s="324" t="s">
        <v>1574</v>
      </c>
      <c r="U117" s="271" t="s">
        <v>2279</v>
      </c>
      <c r="V117" s="275">
        <v>40967</v>
      </c>
      <c r="W117" s="326"/>
      <c r="X117" s="185"/>
      <c r="Y117" s="176" t="str">
        <f>IF(Table17[[#This Row],[Required Resolution Date]]="","FALSE",IF($AA$1&gt;Table17[[#This Row],[Required Resolution Date]],"TRUE","FALSE"))</f>
        <v>FALSE</v>
      </c>
      <c r="Z117" s="175">
        <f t="shared" si="5"/>
        <v>0</v>
      </c>
      <c r="AA117" s="185"/>
      <c r="AB117" s="175" t="b">
        <f>OR(Table17[[#This Row],[Priority]]="04. High",Table17[[#This Row],[Priority]]="05. Critical")</f>
        <v>0</v>
      </c>
      <c r="AC117" s="284">
        <f ca="1">$AA$1-Table17[[#This Row],[Date captured]]</f>
        <v>142</v>
      </c>
      <c r="AD117" s="175" t="b">
        <f t="shared" ca="1" si="6"/>
        <v>0</v>
      </c>
      <c r="AE117" s="175" t="b">
        <f t="shared" ca="1" si="7"/>
        <v>1</v>
      </c>
      <c r="AF117" s="175" t="b">
        <f t="shared" ca="1" si="8"/>
        <v>0</v>
      </c>
      <c r="AG117" s="284">
        <f ca="1">Table17[[#This Row],[Required Resolution Date]]-$AA$1</f>
        <v>-40990</v>
      </c>
      <c r="AH117" s="175" t="b">
        <f t="shared" ca="1" si="9"/>
        <v>0</v>
      </c>
      <c r="AI117" s="327" t="b">
        <f>OR(Table17[[#This Row],[Priority]]="04. High",Table17[[#This Row],[Priority]]="05. Critical",Table17[[#This Row],[Priority]]="03. Moderate")</f>
        <v>1</v>
      </c>
      <c r="AJ117" s="185"/>
      <c r="AK117" s="185"/>
      <c r="AL117" s="185"/>
      <c r="AM117" s="185"/>
      <c r="AN117" s="185"/>
      <c r="AO117" s="185"/>
      <c r="AP117" s="185"/>
      <c r="AQ117" s="185"/>
      <c r="AR117" s="185"/>
      <c r="AS117" s="185"/>
      <c r="AT117" s="185"/>
      <c r="AU117" s="185"/>
      <c r="AV117" s="185"/>
      <c r="AW117" s="185"/>
      <c r="AX117" s="185"/>
      <c r="AY117" s="185"/>
      <c r="AZ117" s="185"/>
      <c r="BA117" s="185"/>
      <c r="BB117" s="185"/>
      <c r="BC117" s="185"/>
      <c r="BD117" s="185"/>
      <c r="BE117" s="185"/>
      <c r="BF117" s="185"/>
      <c r="BG117" s="185"/>
      <c r="BH117" s="185"/>
      <c r="BI117" s="185"/>
      <c r="BJ117" s="185"/>
      <c r="BK117" s="185"/>
      <c r="BL117" s="185"/>
      <c r="BM117" s="185"/>
      <c r="BN117" s="185"/>
      <c r="BO117" s="185"/>
      <c r="BP117" s="185"/>
      <c r="BQ117" s="185"/>
      <c r="BR117" s="185"/>
      <c r="BS117" s="185"/>
      <c r="BT117" s="185"/>
      <c r="BU117" s="185"/>
      <c r="BV117" s="185"/>
      <c r="BW117" s="185"/>
      <c r="BX117" s="185"/>
      <c r="BY117" s="185"/>
      <c r="BZ117" s="185"/>
      <c r="CA117" s="185"/>
      <c r="CB117" s="185"/>
      <c r="CC117" s="185"/>
      <c r="CD117" s="185"/>
      <c r="CE117" s="185"/>
      <c r="CF117" s="185"/>
      <c r="CG117" s="185"/>
      <c r="CH117" s="185"/>
      <c r="CI117" s="185"/>
      <c r="CJ117" s="185"/>
      <c r="CK117" s="185"/>
      <c r="CL117" s="185"/>
      <c r="CM117" s="185"/>
      <c r="CN117" s="185"/>
      <c r="CO117" s="185"/>
      <c r="CP117" s="185"/>
      <c r="CQ117" s="185"/>
      <c r="CR117" s="185"/>
      <c r="CS117" s="185"/>
      <c r="CT117" s="185"/>
      <c r="CU117" s="185"/>
      <c r="CV117" s="185"/>
      <c r="CW117" s="185"/>
      <c r="CX117" s="185"/>
      <c r="CY117" s="185"/>
      <c r="CZ117" s="185"/>
      <c r="DA117" s="185"/>
      <c r="DB117" s="185"/>
      <c r="DC117" s="185"/>
      <c r="DD117" s="185"/>
      <c r="DE117" s="185"/>
      <c r="DF117" s="185"/>
      <c r="DG117" s="185"/>
      <c r="DH117" s="185"/>
      <c r="DI117" s="185"/>
      <c r="DJ117" s="185"/>
      <c r="DK117" s="185"/>
      <c r="DL117" s="185"/>
      <c r="DM117" s="185"/>
      <c r="DN117" s="185"/>
      <c r="DO117" s="185"/>
      <c r="DP117" s="185"/>
      <c r="DQ117" s="185"/>
      <c r="DR117" s="185"/>
      <c r="DS117" s="185"/>
      <c r="DT117" s="185"/>
      <c r="DU117" s="185"/>
      <c r="DV117" s="185"/>
      <c r="DW117" s="185"/>
      <c r="DX117" s="185"/>
      <c r="DY117" s="185"/>
      <c r="DZ117" s="185"/>
      <c r="EA117" s="185"/>
      <c r="EB117" s="185"/>
      <c r="EC117" s="185"/>
      <c r="ED117" s="185"/>
      <c r="EE117" s="185"/>
      <c r="EF117" s="185"/>
      <c r="EG117" s="185"/>
      <c r="EH117" s="185"/>
      <c r="EI117" s="185"/>
      <c r="EJ117" s="185"/>
      <c r="EK117" s="185"/>
      <c r="EL117" s="185"/>
      <c r="EM117" s="185"/>
      <c r="EN117" s="185"/>
      <c r="EO117" s="185"/>
      <c r="EP117" s="185"/>
      <c r="EQ117" s="185"/>
      <c r="ER117" s="185"/>
      <c r="ES117" s="185"/>
      <c r="ET117" s="185"/>
      <c r="EU117" s="185"/>
      <c r="EV117" s="185"/>
      <c r="EW117" s="185"/>
      <c r="EX117" s="185"/>
      <c r="EY117" s="185"/>
      <c r="EZ117" s="185"/>
      <c r="FA117" s="185"/>
      <c r="FB117" s="185"/>
      <c r="FC117" s="185"/>
      <c r="FD117" s="185"/>
      <c r="FE117" s="185"/>
      <c r="FF117" s="185"/>
      <c r="FG117" s="185"/>
      <c r="FH117" s="185"/>
      <c r="FI117" s="185"/>
      <c r="FJ117" s="185"/>
      <c r="FK117" s="185"/>
    </row>
    <row r="118" spans="1:167" s="186" customFormat="1" ht="94.5" hidden="1">
      <c r="A118" s="177" t="s">
        <v>1850</v>
      </c>
      <c r="B118" s="200">
        <v>40939</v>
      </c>
      <c r="C118" s="326" t="s">
        <v>1492</v>
      </c>
      <c r="D118" s="325" t="s">
        <v>676</v>
      </c>
      <c r="E118" s="326"/>
      <c r="F118" s="189" t="s">
        <v>1851</v>
      </c>
      <c r="G118" s="326" t="s">
        <v>151</v>
      </c>
      <c r="H118" s="326" t="s">
        <v>151</v>
      </c>
      <c r="I118" s="326" t="s">
        <v>151</v>
      </c>
      <c r="J118" s="326" t="s">
        <v>151</v>
      </c>
      <c r="K118" s="326" t="s">
        <v>151</v>
      </c>
      <c r="L118" s="333" t="s">
        <v>1492</v>
      </c>
      <c r="M118" s="196" t="s">
        <v>1492</v>
      </c>
      <c r="N118" s="196" t="s">
        <v>311</v>
      </c>
      <c r="O118" s="196"/>
      <c r="P118" s="189" t="s">
        <v>1871</v>
      </c>
      <c r="Q118" s="165">
        <v>40940</v>
      </c>
      <c r="R118" s="274">
        <v>40956</v>
      </c>
      <c r="S118" s="196" t="s">
        <v>1939</v>
      </c>
      <c r="T118" s="326" t="s">
        <v>1574</v>
      </c>
      <c r="U118" s="190" t="s">
        <v>1940</v>
      </c>
      <c r="V118" s="326">
        <v>40947</v>
      </c>
      <c r="W118" s="327"/>
      <c r="X118" s="185"/>
      <c r="Y118" s="176" t="str">
        <f ca="1">IF(Table17[[#This Row],[Required Resolution Date]]="","FALSE",IF($AA$1&gt;Table17[[#This Row],[Required Resolution Date]],"TRUE","FALSE"))</f>
        <v>TRUE</v>
      </c>
      <c r="Z118" s="175">
        <f t="shared" ca="1" si="5"/>
        <v>1</v>
      </c>
      <c r="AA118" s="185"/>
      <c r="AB118" s="175" t="b">
        <f>OR(Table17[[#This Row],[Priority]]="04. High",Table17[[#This Row],[Priority]]="05. Critical")</f>
        <v>1</v>
      </c>
      <c r="AC118" s="284">
        <f ca="1">$AA$1-Table17[[#This Row],[Date captured]]</f>
        <v>51</v>
      </c>
      <c r="AD118" s="175" t="b">
        <f t="shared" ca="1" si="6"/>
        <v>1</v>
      </c>
      <c r="AE118" s="175" t="b">
        <f t="shared" ca="1" si="7"/>
        <v>0</v>
      </c>
      <c r="AF118" s="175" t="b">
        <f t="shared" ca="1" si="8"/>
        <v>0</v>
      </c>
      <c r="AG118" s="284">
        <f ca="1">Table17[[#This Row],[Required Resolution Date]]-$AA$1</f>
        <v>-34</v>
      </c>
      <c r="AH118" s="175" t="b">
        <f t="shared" ca="1" si="9"/>
        <v>0</v>
      </c>
      <c r="AI118" s="327" t="b">
        <f>OR(Table17[[#This Row],[Priority]]="04. High",Table17[[#This Row],[Priority]]="05. Critical",Table17[[#This Row],[Priority]]="03. Moderate")</f>
        <v>1</v>
      </c>
      <c r="AJ118" s="185"/>
      <c r="AK118" s="185"/>
      <c r="AL118" s="185"/>
      <c r="AM118" s="185"/>
      <c r="AN118" s="185"/>
      <c r="AO118" s="185"/>
      <c r="AP118" s="185"/>
      <c r="AQ118" s="185"/>
      <c r="AR118" s="185"/>
      <c r="AS118" s="185"/>
      <c r="AT118" s="185"/>
      <c r="AU118" s="185"/>
      <c r="AV118" s="185"/>
      <c r="AW118" s="185"/>
      <c r="AX118" s="185"/>
      <c r="AY118" s="185"/>
      <c r="AZ118" s="185"/>
      <c r="BA118" s="185"/>
      <c r="BB118" s="185"/>
      <c r="BC118" s="185"/>
      <c r="BD118" s="185"/>
      <c r="BE118" s="185"/>
      <c r="BF118" s="185"/>
      <c r="BG118" s="185"/>
      <c r="BH118" s="185"/>
      <c r="BI118" s="185"/>
      <c r="BJ118" s="185"/>
      <c r="BK118" s="185"/>
      <c r="BL118" s="185"/>
      <c r="BM118" s="185"/>
      <c r="BN118" s="185"/>
      <c r="BO118" s="185"/>
      <c r="BP118" s="185"/>
      <c r="BQ118" s="185"/>
      <c r="BR118" s="185"/>
      <c r="BS118" s="185"/>
      <c r="BT118" s="185"/>
      <c r="BU118" s="185"/>
      <c r="BV118" s="185"/>
      <c r="BW118" s="185"/>
      <c r="BX118" s="185"/>
      <c r="BY118" s="185"/>
      <c r="BZ118" s="185"/>
      <c r="CA118" s="185"/>
      <c r="CB118" s="185"/>
      <c r="CC118" s="185"/>
      <c r="CD118" s="185"/>
      <c r="CE118" s="185"/>
      <c r="CF118" s="185"/>
      <c r="CG118" s="185"/>
      <c r="CH118" s="185"/>
      <c r="CI118" s="185"/>
      <c r="CJ118" s="185"/>
      <c r="CK118" s="185"/>
      <c r="CL118" s="185"/>
      <c r="CM118" s="185"/>
      <c r="CN118" s="185"/>
      <c r="CO118" s="185"/>
      <c r="CP118" s="185"/>
      <c r="CQ118" s="185"/>
      <c r="CR118" s="185"/>
      <c r="CS118" s="185"/>
      <c r="CT118" s="185"/>
      <c r="CU118" s="185"/>
      <c r="CV118" s="185"/>
      <c r="CW118" s="185"/>
      <c r="CX118" s="185"/>
      <c r="CY118" s="185"/>
      <c r="CZ118" s="185"/>
      <c r="DA118" s="185"/>
      <c r="DB118" s="185"/>
      <c r="DC118" s="185"/>
      <c r="DD118" s="185"/>
      <c r="DE118" s="185"/>
      <c r="DF118" s="185"/>
      <c r="DG118" s="185"/>
      <c r="DH118" s="185"/>
      <c r="DI118" s="185"/>
      <c r="DJ118" s="185"/>
      <c r="DK118" s="185"/>
      <c r="DL118" s="185"/>
      <c r="DM118" s="185"/>
      <c r="DN118" s="185"/>
      <c r="DO118" s="185"/>
      <c r="DP118" s="185"/>
      <c r="DQ118" s="185"/>
      <c r="DR118" s="185"/>
      <c r="DS118" s="185"/>
      <c r="DT118" s="185"/>
      <c r="DU118" s="185"/>
      <c r="DV118" s="185"/>
      <c r="DW118" s="185"/>
      <c r="DX118" s="185"/>
      <c r="DY118" s="185"/>
      <c r="DZ118" s="185"/>
      <c r="EA118" s="185"/>
      <c r="EB118" s="185"/>
      <c r="EC118" s="185"/>
      <c r="ED118" s="185"/>
      <c r="EE118" s="185"/>
      <c r="EF118" s="185"/>
      <c r="EG118" s="185"/>
      <c r="EH118" s="185"/>
      <c r="EI118" s="185"/>
      <c r="EJ118" s="185"/>
      <c r="EK118" s="185"/>
      <c r="EL118" s="185"/>
      <c r="EM118" s="185"/>
      <c r="EN118" s="185"/>
      <c r="EO118" s="185"/>
      <c r="EP118" s="185"/>
      <c r="EQ118" s="185"/>
      <c r="ER118" s="185"/>
      <c r="ES118" s="185"/>
      <c r="ET118" s="185"/>
      <c r="EU118" s="185"/>
      <c r="EV118" s="185"/>
      <c r="EW118" s="185"/>
      <c r="EX118" s="185"/>
      <c r="EY118" s="185"/>
      <c r="EZ118" s="185"/>
      <c r="FA118" s="185"/>
      <c r="FB118" s="185"/>
      <c r="FC118" s="185"/>
      <c r="FD118" s="185"/>
      <c r="FE118" s="185"/>
      <c r="FF118" s="185"/>
      <c r="FG118" s="185"/>
      <c r="FH118" s="185"/>
      <c r="FI118" s="185"/>
      <c r="FJ118" s="185"/>
      <c r="FK118" s="185"/>
    </row>
    <row r="119" spans="1:167" s="186" customFormat="1" ht="297" hidden="1">
      <c r="A119" s="174" t="s">
        <v>797</v>
      </c>
      <c r="B119" s="142">
        <v>40848</v>
      </c>
      <c r="C119" s="326" t="s">
        <v>1570</v>
      </c>
      <c r="D119" s="143" t="s">
        <v>676</v>
      </c>
      <c r="E119" s="326" t="s">
        <v>180</v>
      </c>
      <c r="F119" s="324" t="s">
        <v>803</v>
      </c>
      <c r="G119" s="326" t="s">
        <v>679</v>
      </c>
      <c r="H119" s="326" t="s">
        <v>679</v>
      </c>
      <c r="I119" s="326" t="s">
        <v>679</v>
      </c>
      <c r="J119" s="326" t="s">
        <v>151</v>
      </c>
      <c r="K119" s="326" t="s">
        <v>151</v>
      </c>
      <c r="L119" s="324" t="s">
        <v>296</v>
      </c>
      <c r="M119" s="324" t="s">
        <v>296</v>
      </c>
      <c r="N119" s="324" t="s">
        <v>303</v>
      </c>
      <c r="O119" s="324"/>
      <c r="P119" s="324" t="s">
        <v>1615</v>
      </c>
      <c r="Q119" s="142">
        <v>40926</v>
      </c>
      <c r="R119" s="144">
        <v>40939</v>
      </c>
      <c r="S119" s="324" t="s">
        <v>1868</v>
      </c>
      <c r="T119" s="324" t="s">
        <v>1565</v>
      </c>
      <c r="U119" s="271" t="s">
        <v>1714</v>
      </c>
      <c r="V119" s="157">
        <v>40926</v>
      </c>
      <c r="W119" s="326"/>
      <c r="X119" s="336"/>
      <c r="Y119" s="328" t="s">
        <v>2172</v>
      </c>
      <c r="Z119" s="327">
        <v>0</v>
      </c>
      <c r="AA119" s="185"/>
      <c r="AB119" s="327" t="b">
        <f>OR(Table17[[#This Row],[Priority]]="04. High",Table17[[#This Row],[Priority]]="05. Critical")</f>
        <v>1</v>
      </c>
      <c r="AC119" s="284">
        <f ca="1">$AA$1-Table17[[#This Row],[Date captured]]</f>
        <v>142</v>
      </c>
      <c r="AD119" s="327" t="b">
        <f t="shared" ca="1" si="6"/>
        <v>0</v>
      </c>
      <c r="AE119" s="327" t="b">
        <f t="shared" ca="1" si="7"/>
        <v>1</v>
      </c>
      <c r="AF119" s="327" t="b">
        <f t="shared" ca="1" si="8"/>
        <v>0</v>
      </c>
      <c r="AG119" s="284">
        <f ca="1">Table17[[#This Row],[Required Resolution Date]]-$AA$1</f>
        <v>-51</v>
      </c>
      <c r="AH119" s="327" t="b">
        <f t="shared" ca="1" si="9"/>
        <v>0</v>
      </c>
      <c r="AI119" s="327" t="b">
        <f>OR(Table17[[#This Row],[Priority]]="04. High",Table17[[#This Row],[Priority]]="05. Critical",Table17[[#This Row],[Priority]]="03. Moderate")</f>
        <v>1</v>
      </c>
      <c r="AJ119" s="185"/>
      <c r="AK119" s="185"/>
      <c r="AL119" s="185"/>
      <c r="AM119" s="185"/>
      <c r="AN119" s="185"/>
      <c r="AO119" s="185"/>
      <c r="AP119" s="185"/>
      <c r="AQ119" s="185"/>
      <c r="AR119" s="185"/>
      <c r="AS119" s="185"/>
      <c r="AT119" s="185"/>
      <c r="AU119" s="185"/>
      <c r="AV119" s="185"/>
      <c r="AW119" s="185"/>
      <c r="AX119" s="185"/>
      <c r="AY119" s="185"/>
      <c r="AZ119" s="185"/>
      <c r="BA119" s="185"/>
      <c r="BB119" s="185"/>
      <c r="BC119" s="185"/>
      <c r="BD119" s="185"/>
      <c r="BE119" s="185"/>
      <c r="BF119" s="185"/>
      <c r="BG119" s="185"/>
      <c r="BH119" s="185"/>
      <c r="BI119" s="185"/>
      <c r="BJ119" s="185"/>
      <c r="BK119" s="185"/>
      <c r="BL119" s="185"/>
      <c r="BM119" s="185"/>
      <c r="BN119" s="185"/>
      <c r="BO119" s="185"/>
      <c r="BP119" s="185"/>
      <c r="BQ119" s="185"/>
      <c r="BR119" s="185"/>
      <c r="BS119" s="185"/>
      <c r="BT119" s="185"/>
      <c r="BU119" s="185"/>
      <c r="BV119" s="185"/>
      <c r="BW119" s="185"/>
      <c r="BX119" s="185"/>
      <c r="BY119" s="185"/>
      <c r="BZ119" s="185"/>
      <c r="CA119" s="185"/>
      <c r="CB119" s="185"/>
      <c r="CC119" s="185"/>
      <c r="CD119" s="185"/>
      <c r="CE119" s="185"/>
      <c r="CF119" s="185"/>
      <c r="CG119" s="185"/>
      <c r="CH119" s="185"/>
      <c r="CI119" s="185"/>
      <c r="CJ119" s="185"/>
      <c r="CK119" s="185"/>
      <c r="CL119" s="185"/>
      <c r="CM119" s="185"/>
      <c r="CN119" s="185"/>
      <c r="CO119" s="185"/>
      <c r="CP119" s="185"/>
      <c r="CQ119" s="185"/>
      <c r="CR119" s="185"/>
      <c r="CS119" s="185"/>
      <c r="CT119" s="185"/>
      <c r="CU119" s="185"/>
      <c r="CV119" s="185"/>
      <c r="CW119" s="185"/>
      <c r="CX119" s="185"/>
      <c r="CY119" s="185"/>
      <c r="CZ119" s="185"/>
      <c r="DA119" s="185"/>
      <c r="DB119" s="185"/>
      <c r="DC119" s="185"/>
      <c r="DD119" s="185"/>
      <c r="DE119" s="185"/>
      <c r="DF119" s="185"/>
      <c r="DG119" s="185"/>
      <c r="DH119" s="185"/>
      <c r="DI119" s="185"/>
      <c r="DJ119" s="185"/>
      <c r="DK119" s="185"/>
      <c r="DL119" s="185"/>
      <c r="DM119" s="185"/>
      <c r="DN119" s="185"/>
      <c r="DO119" s="185"/>
      <c r="DP119" s="185"/>
      <c r="DQ119" s="185"/>
      <c r="DR119" s="185"/>
      <c r="DS119" s="185"/>
      <c r="DT119" s="185"/>
      <c r="DU119" s="185"/>
      <c r="DV119" s="185"/>
      <c r="DW119" s="185"/>
      <c r="DX119" s="185"/>
      <c r="DY119" s="185"/>
      <c r="DZ119" s="185"/>
      <c r="EA119" s="185"/>
      <c r="EB119" s="185"/>
      <c r="EC119" s="185"/>
      <c r="ED119" s="185"/>
      <c r="EE119" s="185"/>
      <c r="EF119" s="185"/>
      <c r="EG119" s="185"/>
      <c r="EH119" s="185"/>
      <c r="EI119" s="185"/>
      <c r="EJ119" s="185"/>
      <c r="EK119" s="185"/>
      <c r="EL119" s="185"/>
      <c r="EM119" s="185"/>
      <c r="EN119" s="185"/>
      <c r="EO119" s="185"/>
      <c r="EP119" s="185"/>
      <c r="EQ119" s="185"/>
      <c r="ER119" s="185"/>
      <c r="ES119" s="185"/>
      <c r="ET119" s="185"/>
      <c r="EU119" s="185"/>
      <c r="EV119" s="185"/>
      <c r="EW119" s="185"/>
      <c r="EX119" s="185"/>
      <c r="EY119" s="185"/>
      <c r="EZ119" s="185"/>
      <c r="FA119" s="185"/>
      <c r="FB119" s="185"/>
      <c r="FC119" s="185"/>
      <c r="FD119" s="185"/>
      <c r="FE119" s="185"/>
      <c r="FF119" s="185"/>
      <c r="FG119" s="185"/>
      <c r="FH119" s="185"/>
      <c r="FI119" s="185"/>
      <c r="FJ119" s="185"/>
      <c r="FK119" s="185"/>
    </row>
    <row r="120" spans="1:167" s="186" customFormat="1" ht="162" hidden="1">
      <c r="A120" s="174" t="s">
        <v>798</v>
      </c>
      <c r="B120" s="142">
        <v>40869</v>
      </c>
      <c r="C120" s="326" t="s">
        <v>1570</v>
      </c>
      <c r="D120" s="143" t="s">
        <v>676</v>
      </c>
      <c r="E120" s="326"/>
      <c r="F120" s="324" t="s">
        <v>804</v>
      </c>
      <c r="G120" s="326" t="s">
        <v>679</v>
      </c>
      <c r="H120" s="326" t="s">
        <v>690</v>
      </c>
      <c r="I120" s="326" t="s">
        <v>690</v>
      </c>
      <c r="J120" s="326" t="s">
        <v>690</v>
      </c>
      <c r="K120" s="326" t="s">
        <v>1557</v>
      </c>
      <c r="L120" s="333" t="s">
        <v>261</v>
      </c>
      <c r="M120" s="324" t="s">
        <v>461</v>
      </c>
      <c r="N120" s="324" t="s">
        <v>150</v>
      </c>
      <c r="O120" s="324"/>
      <c r="P120" s="324" t="s">
        <v>2509</v>
      </c>
      <c r="Q120" s="147">
        <v>41002</v>
      </c>
      <c r="R120" s="144">
        <v>40893</v>
      </c>
      <c r="S120" s="324" t="s">
        <v>1521</v>
      </c>
      <c r="T120" s="324" t="s">
        <v>1571</v>
      </c>
      <c r="U120" s="271" t="s">
        <v>2699</v>
      </c>
      <c r="V120" s="275">
        <v>40977</v>
      </c>
      <c r="W120" s="326"/>
      <c r="X120" s="336"/>
      <c r="Y120" s="328" t="s">
        <v>2172</v>
      </c>
      <c r="Z120" s="327">
        <v>0</v>
      </c>
      <c r="AA120" s="185"/>
      <c r="AB120" s="327" t="b">
        <f>OR(Table17[[#This Row],[Priority]]="04. High",Table17[[#This Row],[Priority]]="05. Critical")</f>
        <v>0</v>
      </c>
      <c r="AC120" s="284">
        <f ca="1">$AA$1-Table17[[#This Row],[Date captured]]</f>
        <v>121</v>
      </c>
      <c r="AD120" s="327" t="b">
        <f t="shared" ca="1" si="6"/>
        <v>0</v>
      </c>
      <c r="AE120" s="327" t="b">
        <f t="shared" ca="1" si="7"/>
        <v>1</v>
      </c>
      <c r="AF120" s="327" t="b">
        <f t="shared" ca="1" si="8"/>
        <v>0</v>
      </c>
      <c r="AG120" s="284">
        <f ca="1">Table17[[#This Row],[Required Resolution Date]]-$AA$1</f>
        <v>-97</v>
      </c>
      <c r="AH120" s="327" t="b">
        <f t="shared" ca="1" si="9"/>
        <v>0</v>
      </c>
      <c r="AI120" s="327" t="b">
        <f>OR(Table17[[#This Row],[Priority]]="04. High",Table17[[#This Row],[Priority]]="05. Critical",Table17[[#This Row],[Priority]]="03. Moderate")</f>
        <v>1</v>
      </c>
      <c r="AJ120" s="185"/>
      <c r="AK120" s="185"/>
      <c r="AL120" s="185"/>
      <c r="AM120" s="185"/>
      <c r="AN120" s="185"/>
      <c r="AO120" s="185"/>
      <c r="AP120" s="185"/>
      <c r="AQ120" s="185"/>
      <c r="AR120" s="185"/>
      <c r="AS120" s="185"/>
      <c r="AT120" s="185"/>
      <c r="AU120" s="185"/>
      <c r="AV120" s="185"/>
      <c r="AW120" s="185"/>
      <c r="AX120" s="185"/>
      <c r="AY120" s="185"/>
      <c r="AZ120" s="185"/>
      <c r="BA120" s="185"/>
      <c r="BB120" s="185"/>
      <c r="BC120" s="185"/>
      <c r="BD120" s="185"/>
      <c r="BE120" s="185"/>
      <c r="BF120" s="185"/>
      <c r="BG120" s="185"/>
      <c r="BH120" s="185"/>
      <c r="BI120" s="185"/>
      <c r="BJ120" s="185"/>
      <c r="BK120" s="185"/>
      <c r="BL120" s="185"/>
      <c r="BM120" s="185"/>
      <c r="BN120" s="185"/>
      <c r="BO120" s="185"/>
      <c r="BP120" s="185"/>
      <c r="BQ120" s="185"/>
      <c r="BR120" s="185"/>
      <c r="BS120" s="185"/>
      <c r="BT120" s="185"/>
      <c r="BU120" s="185"/>
      <c r="BV120" s="185"/>
      <c r="BW120" s="185"/>
      <c r="BX120" s="185"/>
      <c r="BY120" s="185"/>
      <c r="BZ120" s="185"/>
      <c r="CA120" s="185"/>
      <c r="CB120" s="185"/>
      <c r="CC120" s="185"/>
      <c r="CD120" s="185"/>
      <c r="CE120" s="185"/>
      <c r="CF120" s="185"/>
      <c r="CG120" s="185"/>
      <c r="CH120" s="185"/>
      <c r="CI120" s="185"/>
      <c r="CJ120" s="185"/>
      <c r="CK120" s="185"/>
      <c r="CL120" s="185"/>
      <c r="CM120" s="185"/>
      <c r="CN120" s="185"/>
      <c r="CO120" s="185"/>
      <c r="CP120" s="185"/>
      <c r="CQ120" s="185"/>
      <c r="CR120" s="185"/>
      <c r="CS120" s="185"/>
      <c r="CT120" s="185"/>
      <c r="CU120" s="185"/>
      <c r="CV120" s="185"/>
      <c r="CW120" s="185"/>
      <c r="CX120" s="185"/>
      <c r="CY120" s="185"/>
      <c r="CZ120" s="185"/>
      <c r="DA120" s="185"/>
      <c r="DB120" s="185"/>
      <c r="DC120" s="185"/>
      <c r="DD120" s="185"/>
      <c r="DE120" s="185"/>
      <c r="DF120" s="185"/>
      <c r="DG120" s="185"/>
      <c r="DH120" s="185"/>
      <c r="DI120" s="185"/>
      <c r="DJ120" s="185"/>
      <c r="DK120" s="185"/>
      <c r="DL120" s="185"/>
      <c r="DM120" s="185"/>
      <c r="DN120" s="185"/>
      <c r="DO120" s="185"/>
      <c r="DP120" s="185"/>
      <c r="DQ120" s="185"/>
      <c r="DR120" s="185"/>
      <c r="DS120" s="185"/>
      <c r="DT120" s="185"/>
      <c r="DU120" s="185"/>
      <c r="DV120" s="185"/>
      <c r="DW120" s="185"/>
      <c r="DX120" s="185"/>
      <c r="DY120" s="185"/>
      <c r="DZ120" s="185"/>
      <c r="EA120" s="185"/>
      <c r="EB120" s="185"/>
      <c r="EC120" s="185"/>
      <c r="ED120" s="185"/>
      <c r="EE120" s="185"/>
      <c r="EF120" s="185"/>
      <c r="EG120" s="185"/>
      <c r="EH120" s="185"/>
      <c r="EI120" s="185"/>
      <c r="EJ120" s="185"/>
      <c r="EK120" s="185"/>
      <c r="EL120" s="185"/>
      <c r="EM120" s="185"/>
      <c r="EN120" s="185"/>
      <c r="EO120" s="185"/>
      <c r="EP120" s="185"/>
      <c r="EQ120" s="185"/>
      <c r="ER120" s="185"/>
      <c r="ES120" s="185"/>
      <c r="ET120" s="185"/>
      <c r="EU120" s="185"/>
      <c r="EV120" s="185"/>
      <c r="EW120" s="185"/>
      <c r="EX120" s="185"/>
      <c r="EY120" s="185"/>
      <c r="EZ120" s="185"/>
      <c r="FA120" s="185"/>
      <c r="FB120" s="185"/>
      <c r="FC120" s="185"/>
      <c r="FD120" s="185"/>
      <c r="FE120" s="185"/>
      <c r="FF120" s="185"/>
      <c r="FG120" s="185"/>
      <c r="FH120" s="185"/>
      <c r="FI120" s="185"/>
      <c r="FJ120" s="185"/>
      <c r="FK120" s="185"/>
    </row>
    <row r="121" spans="1:167" s="186" customFormat="1" ht="130.5" hidden="1" customHeight="1">
      <c r="A121" s="174" t="s">
        <v>642</v>
      </c>
      <c r="B121" s="142">
        <v>40869</v>
      </c>
      <c r="C121" s="326" t="s">
        <v>1570</v>
      </c>
      <c r="D121" s="143" t="s">
        <v>676</v>
      </c>
      <c r="E121" s="326"/>
      <c r="F121" s="324" t="s">
        <v>805</v>
      </c>
      <c r="G121" s="326" t="s">
        <v>152</v>
      </c>
      <c r="H121" s="326" t="s">
        <v>152</v>
      </c>
      <c r="I121" s="326" t="s">
        <v>152</v>
      </c>
      <c r="J121" s="326" t="s">
        <v>152</v>
      </c>
      <c r="K121" s="326" t="s">
        <v>152</v>
      </c>
      <c r="L121" s="333" t="s">
        <v>186</v>
      </c>
      <c r="M121" s="324" t="s">
        <v>186</v>
      </c>
      <c r="N121" s="324" t="s">
        <v>311</v>
      </c>
      <c r="O121" s="324"/>
      <c r="P121" s="324" t="s">
        <v>1704</v>
      </c>
      <c r="Q121" s="142">
        <v>40954</v>
      </c>
      <c r="R121" s="144">
        <v>40877</v>
      </c>
      <c r="S121" s="324" t="s">
        <v>2096</v>
      </c>
      <c r="T121" s="324"/>
      <c r="U121" s="271" t="s">
        <v>2097</v>
      </c>
      <c r="V121" s="157">
        <v>40954</v>
      </c>
      <c r="W121" s="326"/>
      <c r="X121" s="336"/>
      <c r="Y121" s="328" t="s">
        <v>2172</v>
      </c>
      <c r="Z121" s="327">
        <v>0</v>
      </c>
      <c r="AA121" s="185"/>
      <c r="AB121" s="327" t="b">
        <f>OR(Table17[[#This Row],[Priority]]="04. High",Table17[[#This Row],[Priority]]="05. Critical")</f>
        <v>1</v>
      </c>
      <c r="AC121" s="284">
        <f ca="1">$AA$1-Table17[[#This Row],[Date captured]]</f>
        <v>121</v>
      </c>
      <c r="AD121" s="327" t="b">
        <f t="shared" ca="1" si="6"/>
        <v>0</v>
      </c>
      <c r="AE121" s="327" t="b">
        <f t="shared" ca="1" si="7"/>
        <v>1</v>
      </c>
      <c r="AF121" s="327" t="b">
        <f t="shared" ca="1" si="8"/>
        <v>0</v>
      </c>
      <c r="AG121" s="284">
        <f ca="1">Table17[[#This Row],[Required Resolution Date]]-$AA$1</f>
        <v>-113</v>
      </c>
      <c r="AH121" s="327" t="b">
        <f t="shared" ca="1" si="9"/>
        <v>0</v>
      </c>
      <c r="AI121" s="327" t="b">
        <f>OR(Table17[[#This Row],[Priority]]="04. High",Table17[[#This Row],[Priority]]="05. Critical",Table17[[#This Row],[Priority]]="03. Moderate")</f>
        <v>1</v>
      </c>
      <c r="AJ121" s="185"/>
      <c r="AK121" s="185"/>
      <c r="AL121" s="185"/>
      <c r="AM121" s="185"/>
      <c r="AN121" s="185"/>
      <c r="AO121" s="185"/>
      <c r="AP121" s="185"/>
      <c r="AQ121" s="185"/>
      <c r="AR121" s="185"/>
      <c r="AS121" s="185"/>
      <c r="AT121" s="185"/>
      <c r="AU121" s="185"/>
      <c r="AV121" s="185"/>
      <c r="AW121" s="185"/>
      <c r="AX121" s="185"/>
      <c r="AY121" s="185"/>
      <c r="AZ121" s="185"/>
      <c r="BA121" s="185"/>
      <c r="BB121" s="185"/>
      <c r="BC121" s="185"/>
      <c r="BD121" s="185"/>
      <c r="BE121" s="185"/>
      <c r="BF121" s="185"/>
      <c r="BG121" s="185"/>
      <c r="BH121" s="185"/>
      <c r="BI121" s="185"/>
      <c r="BJ121" s="185"/>
      <c r="BK121" s="185"/>
      <c r="BL121" s="185"/>
      <c r="BM121" s="185"/>
      <c r="BN121" s="185"/>
      <c r="BO121" s="185"/>
      <c r="BP121" s="185"/>
      <c r="BQ121" s="185"/>
      <c r="BR121" s="185"/>
      <c r="BS121" s="185"/>
      <c r="BT121" s="185"/>
      <c r="BU121" s="185"/>
      <c r="BV121" s="185"/>
      <c r="BW121" s="185"/>
      <c r="BX121" s="185"/>
      <c r="BY121" s="185"/>
      <c r="BZ121" s="185"/>
      <c r="CA121" s="185"/>
      <c r="CB121" s="185"/>
      <c r="CC121" s="185"/>
      <c r="CD121" s="185"/>
      <c r="CE121" s="185"/>
      <c r="CF121" s="185"/>
      <c r="CG121" s="185"/>
      <c r="CH121" s="185"/>
      <c r="CI121" s="185"/>
      <c r="CJ121" s="185"/>
      <c r="CK121" s="185"/>
      <c r="CL121" s="185"/>
      <c r="CM121" s="185"/>
      <c r="CN121" s="185"/>
      <c r="CO121" s="185"/>
      <c r="CP121" s="185"/>
      <c r="CQ121" s="185"/>
      <c r="CR121" s="185"/>
      <c r="CS121" s="185"/>
      <c r="CT121" s="185"/>
      <c r="CU121" s="185"/>
      <c r="CV121" s="185"/>
      <c r="CW121" s="185"/>
      <c r="CX121" s="185"/>
      <c r="CY121" s="185"/>
      <c r="CZ121" s="185"/>
      <c r="DA121" s="185"/>
      <c r="DB121" s="185"/>
      <c r="DC121" s="185"/>
      <c r="DD121" s="185"/>
      <c r="DE121" s="185"/>
      <c r="DF121" s="185"/>
      <c r="DG121" s="185"/>
      <c r="DH121" s="185"/>
      <c r="DI121" s="185"/>
      <c r="DJ121" s="185"/>
      <c r="DK121" s="185"/>
      <c r="DL121" s="185"/>
      <c r="DM121" s="185"/>
      <c r="DN121" s="185"/>
      <c r="DO121" s="185"/>
      <c r="DP121" s="185"/>
      <c r="DQ121" s="185"/>
      <c r="DR121" s="185"/>
      <c r="DS121" s="185"/>
      <c r="DT121" s="185"/>
      <c r="DU121" s="185"/>
      <c r="DV121" s="185"/>
      <c r="DW121" s="185"/>
      <c r="DX121" s="185"/>
      <c r="DY121" s="185"/>
      <c r="DZ121" s="185"/>
      <c r="EA121" s="185"/>
      <c r="EB121" s="185"/>
      <c r="EC121" s="185"/>
      <c r="ED121" s="185"/>
      <c r="EE121" s="185"/>
      <c r="EF121" s="185"/>
      <c r="EG121" s="185"/>
      <c r="EH121" s="185"/>
      <c r="EI121" s="185"/>
      <c r="EJ121" s="185"/>
      <c r="EK121" s="185"/>
      <c r="EL121" s="185"/>
      <c r="EM121" s="185"/>
      <c r="EN121" s="185"/>
      <c r="EO121" s="185"/>
      <c r="EP121" s="185"/>
      <c r="EQ121" s="185"/>
      <c r="ER121" s="185"/>
      <c r="ES121" s="185"/>
      <c r="ET121" s="185"/>
      <c r="EU121" s="185"/>
      <c r="EV121" s="185"/>
      <c r="EW121" s="185"/>
      <c r="EX121" s="185"/>
      <c r="EY121" s="185"/>
      <c r="EZ121" s="185"/>
      <c r="FA121" s="185"/>
      <c r="FB121" s="185"/>
      <c r="FC121" s="185"/>
      <c r="FD121" s="185"/>
      <c r="FE121" s="185"/>
      <c r="FF121" s="185"/>
      <c r="FG121" s="185"/>
      <c r="FH121" s="185"/>
      <c r="FI121" s="185"/>
      <c r="FJ121" s="185"/>
      <c r="FK121" s="185"/>
    </row>
    <row r="122" spans="1:167" s="186" customFormat="1" ht="102.75" hidden="1" customHeight="1">
      <c r="A122" s="130" t="s">
        <v>643</v>
      </c>
      <c r="B122" s="142">
        <v>40869</v>
      </c>
      <c r="C122" s="326" t="s">
        <v>1570</v>
      </c>
      <c r="D122" s="143" t="s">
        <v>676</v>
      </c>
      <c r="E122" s="326"/>
      <c r="F122" s="324" t="s">
        <v>806</v>
      </c>
      <c r="G122" s="326"/>
      <c r="H122" s="326"/>
      <c r="I122" s="326"/>
      <c r="J122" s="326"/>
      <c r="K122" s="91" t="s">
        <v>1557</v>
      </c>
      <c r="L122" s="127"/>
      <c r="M122" s="324" t="s">
        <v>816</v>
      </c>
      <c r="N122" s="324" t="s">
        <v>150</v>
      </c>
      <c r="O122" s="324"/>
      <c r="P122" s="324"/>
      <c r="Q122" s="142">
        <v>40933</v>
      </c>
      <c r="R122" s="144">
        <v>40877</v>
      </c>
      <c r="S122" s="324" t="s">
        <v>1732</v>
      </c>
      <c r="T122" s="324"/>
      <c r="U122" s="271" t="s">
        <v>3057</v>
      </c>
      <c r="V122" s="157">
        <v>40933</v>
      </c>
      <c r="W122" s="91"/>
      <c r="X122" s="336"/>
      <c r="Y122" s="328" t="s">
        <v>2172</v>
      </c>
      <c r="Z122" s="327">
        <v>0</v>
      </c>
      <c r="AA122" s="185"/>
      <c r="AB122" s="327" t="b">
        <f>OR(Table17[[#This Row],[Priority]]="04. High",Table17[[#This Row],[Priority]]="05. Critical")</f>
        <v>0</v>
      </c>
      <c r="AC122" s="284">
        <f ca="1">$AA$1-Table17[[#This Row],[Date captured]]</f>
        <v>121</v>
      </c>
      <c r="AD122" s="327" t="b">
        <f t="shared" ca="1" si="6"/>
        <v>0</v>
      </c>
      <c r="AE122" s="327" t="b">
        <f t="shared" ca="1" si="7"/>
        <v>1</v>
      </c>
      <c r="AF122" s="327" t="b">
        <f t="shared" ca="1" si="8"/>
        <v>0</v>
      </c>
      <c r="AG122" s="284">
        <f ca="1">Table17[[#This Row],[Required Resolution Date]]-$AA$1</f>
        <v>-113</v>
      </c>
      <c r="AH122" s="327" t="b">
        <f t="shared" ca="1" si="9"/>
        <v>0</v>
      </c>
      <c r="AI122" s="327" t="b">
        <f>OR(Table17[[#This Row],[Priority]]="04. High",Table17[[#This Row],[Priority]]="05. Critical",Table17[[#This Row],[Priority]]="03. Moderate")</f>
        <v>1</v>
      </c>
      <c r="AJ122" s="185"/>
      <c r="AK122" s="185"/>
      <c r="AL122" s="185"/>
      <c r="AM122" s="185"/>
      <c r="AN122" s="185"/>
      <c r="AO122" s="185"/>
      <c r="AP122" s="185"/>
      <c r="AQ122" s="185"/>
      <c r="AR122" s="185"/>
      <c r="AS122" s="185"/>
      <c r="AT122" s="185"/>
      <c r="AU122" s="185"/>
      <c r="AV122" s="185"/>
      <c r="AW122" s="185"/>
      <c r="AX122" s="185"/>
      <c r="AY122" s="185"/>
      <c r="AZ122" s="185"/>
      <c r="BA122" s="185"/>
      <c r="BB122" s="185"/>
      <c r="BC122" s="185"/>
      <c r="BD122" s="185"/>
      <c r="BE122" s="185"/>
      <c r="BF122" s="185"/>
      <c r="BG122" s="185"/>
      <c r="BH122" s="185"/>
      <c r="BI122" s="185"/>
      <c r="BJ122" s="185"/>
      <c r="BK122" s="185"/>
      <c r="BL122" s="185"/>
      <c r="BM122" s="185"/>
      <c r="BN122" s="185"/>
      <c r="BO122" s="185"/>
      <c r="BP122" s="185"/>
      <c r="BQ122" s="185"/>
      <c r="BR122" s="185"/>
      <c r="BS122" s="185"/>
      <c r="BT122" s="185"/>
      <c r="BU122" s="185"/>
      <c r="BV122" s="185"/>
      <c r="BW122" s="185"/>
      <c r="BX122" s="185"/>
      <c r="BY122" s="185"/>
      <c r="BZ122" s="185"/>
      <c r="CA122" s="185"/>
      <c r="CB122" s="185"/>
      <c r="CC122" s="185"/>
      <c r="CD122" s="185"/>
      <c r="CE122" s="185"/>
      <c r="CF122" s="185"/>
      <c r="CG122" s="185"/>
      <c r="CH122" s="185"/>
      <c r="CI122" s="185"/>
      <c r="CJ122" s="185"/>
      <c r="CK122" s="185"/>
      <c r="CL122" s="185"/>
      <c r="CM122" s="185"/>
      <c r="CN122" s="185"/>
      <c r="CO122" s="185"/>
      <c r="CP122" s="185"/>
      <c r="CQ122" s="185"/>
      <c r="CR122" s="185"/>
      <c r="CS122" s="185"/>
      <c r="CT122" s="185"/>
      <c r="CU122" s="185"/>
      <c r="CV122" s="185"/>
      <c r="CW122" s="185"/>
      <c r="CX122" s="185"/>
      <c r="CY122" s="185"/>
      <c r="CZ122" s="185"/>
      <c r="DA122" s="185"/>
      <c r="DB122" s="185"/>
      <c r="DC122" s="185"/>
      <c r="DD122" s="185"/>
      <c r="DE122" s="185"/>
      <c r="DF122" s="185"/>
      <c r="DG122" s="185"/>
      <c r="DH122" s="185"/>
      <c r="DI122" s="185"/>
      <c r="DJ122" s="185"/>
      <c r="DK122" s="185"/>
      <c r="DL122" s="185"/>
      <c r="DM122" s="185"/>
      <c r="DN122" s="185"/>
      <c r="DO122" s="185"/>
      <c r="DP122" s="185"/>
      <c r="DQ122" s="185"/>
      <c r="DR122" s="185"/>
      <c r="DS122" s="185"/>
      <c r="DT122" s="185"/>
      <c r="DU122" s="185"/>
      <c r="DV122" s="185"/>
      <c r="DW122" s="185"/>
      <c r="DX122" s="185"/>
      <c r="DY122" s="185"/>
      <c r="DZ122" s="185"/>
      <c r="EA122" s="185"/>
      <c r="EB122" s="185"/>
      <c r="EC122" s="185"/>
      <c r="ED122" s="185"/>
      <c r="EE122" s="185"/>
      <c r="EF122" s="185"/>
      <c r="EG122" s="185"/>
      <c r="EH122" s="185"/>
      <c r="EI122" s="185"/>
      <c r="EJ122" s="185"/>
      <c r="EK122" s="185"/>
      <c r="EL122" s="185"/>
      <c r="EM122" s="185"/>
      <c r="EN122" s="185"/>
      <c r="EO122" s="185"/>
      <c r="EP122" s="185"/>
      <c r="EQ122" s="185"/>
      <c r="ER122" s="185"/>
      <c r="ES122" s="185"/>
      <c r="ET122" s="185"/>
      <c r="EU122" s="185"/>
      <c r="EV122" s="185"/>
      <c r="EW122" s="185"/>
      <c r="EX122" s="185"/>
      <c r="EY122" s="185"/>
      <c r="EZ122" s="185"/>
      <c r="FA122" s="185"/>
      <c r="FB122" s="185"/>
      <c r="FC122" s="185"/>
      <c r="FD122" s="185"/>
      <c r="FE122" s="185"/>
      <c r="FF122" s="185"/>
      <c r="FG122" s="185"/>
      <c r="FH122" s="185"/>
      <c r="FI122" s="185"/>
      <c r="FJ122" s="185"/>
      <c r="FK122" s="185"/>
    </row>
    <row r="123" spans="1:167" s="186" customFormat="1" ht="283.5" hidden="1">
      <c r="A123" s="174" t="s">
        <v>491</v>
      </c>
      <c r="B123" s="142">
        <v>40869</v>
      </c>
      <c r="C123" s="326" t="s">
        <v>1570</v>
      </c>
      <c r="D123" s="143" t="s">
        <v>676</v>
      </c>
      <c r="E123" s="326"/>
      <c r="F123" s="324" t="s">
        <v>807</v>
      </c>
      <c r="G123" s="326" t="s">
        <v>679</v>
      </c>
      <c r="H123" s="326" t="s">
        <v>679</v>
      </c>
      <c r="I123" s="326" t="s">
        <v>690</v>
      </c>
      <c r="J123" s="326" t="s">
        <v>679</v>
      </c>
      <c r="K123" s="326" t="s">
        <v>1557</v>
      </c>
      <c r="L123" s="333" t="s">
        <v>296</v>
      </c>
      <c r="M123" s="324" t="s">
        <v>296</v>
      </c>
      <c r="N123" s="324" t="s">
        <v>303</v>
      </c>
      <c r="O123" s="324"/>
      <c r="P123" s="324" t="s">
        <v>1616</v>
      </c>
      <c r="Q123" s="142">
        <v>40933</v>
      </c>
      <c r="R123" s="144">
        <v>40939</v>
      </c>
      <c r="S123" s="324" t="s">
        <v>1632</v>
      </c>
      <c r="T123" s="324" t="s">
        <v>1565</v>
      </c>
      <c r="U123" s="271" t="s">
        <v>1935</v>
      </c>
      <c r="V123" s="275">
        <v>40938</v>
      </c>
      <c r="W123" s="326"/>
      <c r="X123" s="336"/>
      <c r="Y123" s="328" t="s">
        <v>2172</v>
      </c>
      <c r="Z123" s="327">
        <v>0</v>
      </c>
      <c r="AA123" s="185"/>
      <c r="AB123" s="327" t="b">
        <f>OR(Table17[[#This Row],[Priority]]="04. High",Table17[[#This Row],[Priority]]="05. Critical")</f>
        <v>0</v>
      </c>
      <c r="AC123" s="284">
        <f ca="1">$AA$1-Table17[[#This Row],[Date captured]]</f>
        <v>121</v>
      </c>
      <c r="AD123" s="327" t="b">
        <f t="shared" ca="1" si="6"/>
        <v>0</v>
      </c>
      <c r="AE123" s="327" t="b">
        <f t="shared" ca="1" si="7"/>
        <v>1</v>
      </c>
      <c r="AF123" s="327" t="b">
        <f t="shared" ca="1" si="8"/>
        <v>0</v>
      </c>
      <c r="AG123" s="284">
        <f ca="1">Table17[[#This Row],[Required Resolution Date]]-$AA$1</f>
        <v>-51</v>
      </c>
      <c r="AH123" s="327" t="b">
        <f t="shared" ca="1" si="9"/>
        <v>0</v>
      </c>
      <c r="AI123" s="327" t="b">
        <f>OR(Table17[[#This Row],[Priority]]="04. High",Table17[[#This Row],[Priority]]="05. Critical",Table17[[#This Row],[Priority]]="03. Moderate")</f>
        <v>1</v>
      </c>
      <c r="AJ123" s="185"/>
      <c r="AK123" s="185"/>
      <c r="AL123" s="185"/>
      <c r="AM123" s="185"/>
      <c r="AN123" s="185"/>
      <c r="AO123" s="185"/>
      <c r="AP123" s="185"/>
      <c r="AQ123" s="185"/>
      <c r="AR123" s="185"/>
      <c r="AS123" s="185"/>
      <c r="AT123" s="185"/>
      <c r="AU123" s="185"/>
      <c r="AV123" s="185"/>
      <c r="AW123" s="185"/>
      <c r="AX123" s="185"/>
      <c r="AY123" s="185"/>
      <c r="AZ123" s="185"/>
      <c r="BA123" s="185"/>
      <c r="BB123" s="185"/>
      <c r="BC123" s="185"/>
      <c r="BD123" s="185"/>
      <c r="BE123" s="185"/>
      <c r="BF123" s="185"/>
      <c r="BG123" s="185"/>
      <c r="BH123" s="185"/>
      <c r="BI123" s="185"/>
      <c r="BJ123" s="185"/>
      <c r="BK123" s="185"/>
      <c r="BL123" s="185"/>
      <c r="BM123" s="185"/>
      <c r="BN123" s="185"/>
      <c r="BO123" s="185"/>
      <c r="BP123" s="185"/>
      <c r="BQ123" s="185"/>
      <c r="BR123" s="185"/>
      <c r="BS123" s="185"/>
      <c r="BT123" s="185"/>
      <c r="BU123" s="185"/>
      <c r="BV123" s="185"/>
      <c r="BW123" s="185"/>
      <c r="BX123" s="185"/>
      <c r="BY123" s="185"/>
      <c r="BZ123" s="185"/>
      <c r="CA123" s="185"/>
      <c r="CB123" s="185"/>
      <c r="CC123" s="185"/>
      <c r="CD123" s="185"/>
      <c r="CE123" s="185"/>
      <c r="CF123" s="185"/>
      <c r="CG123" s="185"/>
      <c r="CH123" s="185"/>
      <c r="CI123" s="185"/>
      <c r="CJ123" s="185"/>
      <c r="CK123" s="185"/>
      <c r="CL123" s="185"/>
      <c r="CM123" s="185"/>
      <c r="CN123" s="185"/>
      <c r="CO123" s="185"/>
      <c r="CP123" s="185"/>
      <c r="CQ123" s="185"/>
      <c r="CR123" s="185"/>
      <c r="CS123" s="185"/>
      <c r="CT123" s="185"/>
      <c r="CU123" s="185"/>
      <c r="CV123" s="185"/>
      <c r="CW123" s="185"/>
      <c r="CX123" s="185"/>
      <c r="CY123" s="185"/>
      <c r="CZ123" s="185"/>
      <c r="DA123" s="185"/>
      <c r="DB123" s="185"/>
      <c r="DC123" s="185"/>
      <c r="DD123" s="185"/>
      <c r="DE123" s="185"/>
      <c r="DF123" s="185"/>
      <c r="DG123" s="185"/>
      <c r="DH123" s="185"/>
      <c r="DI123" s="185"/>
      <c r="DJ123" s="185"/>
      <c r="DK123" s="185"/>
      <c r="DL123" s="185"/>
      <c r="DM123" s="185"/>
      <c r="DN123" s="185"/>
      <c r="DO123" s="185"/>
      <c r="DP123" s="185"/>
      <c r="DQ123" s="185"/>
      <c r="DR123" s="185"/>
      <c r="DS123" s="185"/>
      <c r="DT123" s="185"/>
      <c r="DU123" s="185"/>
      <c r="DV123" s="185"/>
      <c r="DW123" s="185"/>
      <c r="DX123" s="185"/>
      <c r="DY123" s="185"/>
      <c r="DZ123" s="185"/>
      <c r="EA123" s="185"/>
      <c r="EB123" s="185"/>
      <c r="EC123" s="185"/>
      <c r="ED123" s="185"/>
      <c r="EE123" s="185"/>
      <c r="EF123" s="185"/>
      <c r="EG123" s="185"/>
      <c r="EH123" s="185"/>
      <c r="EI123" s="185"/>
      <c r="EJ123" s="185"/>
      <c r="EK123" s="185"/>
      <c r="EL123" s="185"/>
      <c r="EM123" s="185"/>
      <c r="EN123" s="185"/>
      <c r="EO123" s="185"/>
      <c r="EP123" s="185"/>
      <c r="EQ123" s="185"/>
      <c r="ER123" s="185"/>
      <c r="ES123" s="185"/>
      <c r="ET123" s="185"/>
      <c r="EU123" s="185"/>
      <c r="EV123" s="185"/>
      <c r="EW123" s="185"/>
      <c r="EX123" s="185"/>
      <c r="EY123" s="185"/>
      <c r="EZ123" s="185"/>
      <c r="FA123" s="185"/>
      <c r="FB123" s="185"/>
      <c r="FC123" s="185"/>
      <c r="FD123" s="185"/>
      <c r="FE123" s="185"/>
      <c r="FF123" s="185"/>
      <c r="FG123" s="185"/>
      <c r="FH123" s="185"/>
      <c r="FI123" s="185"/>
      <c r="FJ123" s="185"/>
      <c r="FK123" s="185"/>
    </row>
    <row r="124" spans="1:167" s="186" customFormat="1" ht="53.25" hidden="1" customHeight="1">
      <c r="A124" s="174" t="s">
        <v>644</v>
      </c>
      <c r="B124" s="142">
        <v>40877</v>
      </c>
      <c r="C124" s="326" t="s">
        <v>323</v>
      </c>
      <c r="D124" s="143" t="s">
        <v>676</v>
      </c>
      <c r="E124" s="326" t="s">
        <v>610</v>
      </c>
      <c r="F124" s="324" t="s">
        <v>808</v>
      </c>
      <c r="G124" s="326"/>
      <c r="H124" s="326"/>
      <c r="I124" s="326"/>
      <c r="J124" s="326"/>
      <c r="K124" s="326"/>
      <c r="L124" s="333" t="s">
        <v>186</v>
      </c>
      <c r="M124" s="324" t="s">
        <v>323</v>
      </c>
      <c r="N124" s="324" t="s">
        <v>311</v>
      </c>
      <c r="O124" s="324"/>
      <c r="P124" s="324"/>
      <c r="Q124" s="142">
        <v>40919</v>
      </c>
      <c r="R124" s="144"/>
      <c r="S124" s="324" t="s">
        <v>1878</v>
      </c>
      <c r="T124" s="324"/>
      <c r="U124" s="271" t="s">
        <v>1879</v>
      </c>
      <c r="V124" s="157">
        <v>40940</v>
      </c>
      <c r="W124" s="326"/>
      <c r="X124" s="185"/>
      <c r="Y124" s="176" t="str">
        <f>IF(Table17[[#This Row],[Required Resolution Date]]="","FALSE",IF($AA$1&gt;Table17[[#This Row],[Required Resolution Date]],"TRUE","FALSE"))</f>
        <v>FALSE</v>
      </c>
      <c r="Z124" s="175">
        <f t="shared" si="5"/>
        <v>0</v>
      </c>
      <c r="AA124" s="185"/>
      <c r="AB124" s="327" t="b">
        <f>OR(Table17[[#This Row],[Priority]]="04. High",Table17[[#This Row],[Priority]]="05. Critical")</f>
        <v>0</v>
      </c>
      <c r="AC124" s="284">
        <f ca="1">$AA$1-Table17[[#This Row],[Date captured]]</f>
        <v>113</v>
      </c>
      <c r="AD124" s="327" t="b">
        <f t="shared" ca="1" si="6"/>
        <v>0</v>
      </c>
      <c r="AE124" s="327" t="b">
        <f t="shared" ca="1" si="7"/>
        <v>1</v>
      </c>
      <c r="AF124" s="327" t="b">
        <f t="shared" ca="1" si="8"/>
        <v>0</v>
      </c>
      <c r="AG124" s="284">
        <f ca="1">Table17[[#This Row],[Required Resolution Date]]-$AA$1</f>
        <v>-40990</v>
      </c>
      <c r="AH124" s="327" t="b">
        <f t="shared" ca="1" si="9"/>
        <v>0</v>
      </c>
      <c r="AI124" s="327" t="b">
        <f>OR(Table17[[#This Row],[Priority]]="04. High",Table17[[#This Row],[Priority]]="05. Critical",Table17[[#This Row],[Priority]]="03. Moderate")</f>
        <v>0</v>
      </c>
      <c r="AJ124" s="185"/>
      <c r="AK124" s="185"/>
      <c r="AL124" s="185"/>
      <c r="AM124" s="185"/>
      <c r="AN124" s="185"/>
      <c r="AO124" s="185"/>
      <c r="AP124" s="185"/>
      <c r="AQ124" s="185"/>
      <c r="AR124" s="185"/>
      <c r="AS124" s="185"/>
      <c r="AT124" s="185"/>
      <c r="AU124" s="185"/>
      <c r="AV124" s="185"/>
      <c r="AW124" s="185"/>
      <c r="AX124" s="185"/>
      <c r="AY124" s="185"/>
      <c r="AZ124" s="185"/>
      <c r="BA124" s="185"/>
      <c r="BB124" s="185"/>
      <c r="BC124" s="185"/>
      <c r="BD124" s="185"/>
      <c r="BE124" s="185"/>
      <c r="BF124" s="185"/>
      <c r="BG124" s="185"/>
      <c r="BH124" s="185"/>
      <c r="BI124" s="185"/>
      <c r="BJ124" s="185"/>
      <c r="BK124" s="185"/>
      <c r="BL124" s="185"/>
      <c r="BM124" s="185"/>
      <c r="BN124" s="185"/>
      <c r="BO124" s="185"/>
      <c r="BP124" s="185"/>
      <c r="BQ124" s="185"/>
      <c r="BR124" s="185"/>
      <c r="BS124" s="185"/>
      <c r="BT124" s="185"/>
      <c r="BU124" s="185"/>
      <c r="BV124" s="185"/>
      <c r="BW124" s="185"/>
      <c r="BX124" s="185"/>
      <c r="BY124" s="185"/>
      <c r="BZ124" s="185"/>
      <c r="CA124" s="185"/>
      <c r="CB124" s="185"/>
      <c r="CC124" s="185"/>
      <c r="CD124" s="185"/>
      <c r="CE124" s="185"/>
      <c r="CF124" s="185"/>
      <c r="CG124" s="185"/>
      <c r="CH124" s="185"/>
      <c r="CI124" s="185"/>
      <c r="CJ124" s="185"/>
      <c r="CK124" s="185"/>
      <c r="CL124" s="185"/>
      <c r="CM124" s="185"/>
      <c r="CN124" s="185"/>
      <c r="CO124" s="185"/>
      <c r="CP124" s="185"/>
      <c r="CQ124" s="185"/>
      <c r="CR124" s="185"/>
      <c r="CS124" s="185"/>
      <c r="CT124" s="185"/>
      <c r="CU124" s="185"/>
      <c r="CV124" s="185"/>
      <c r="CW124" s="185"/>
      <c r="CX124" s="185"/>
      <c r="CY124" s="185"/>
      <c r="CZ124" s="185"/>
      <c r="DA124" s="185"/>
      <c r="DB124" s="185"/>
      <c r="DC124" s="185"/>
      <c r="DD124" s="185"/>
      <c r="DE124" s="185"/>
      <c r="DF124" s="185"/>
      <c r="DG124" s="185"/>
      <c r="DH124" s="185"/>
      <c r="DI124" s="185"/>
      <c r="DJ124" s="185"/>
      <c r="DK124" s="185"/>
      <c r="DL124" s="185"/>
      <c r="DM124" s="185"/>
      <c r="DN124" s="185"/>
      <c r="DO124" s="185"/>
      <c r="DP124" s="185"/>
      <c r="DQ124" s="185"/>
      <c r="DR124" s="185"/>
      <c r="DS124" s="185"/>
      <c r="DT124" s="185"/>
      <c r="DU124" s="185"/>
      <c r="DV124" s="185"/>
      <c r="DW124" s="185"/>
      <c r="DX124" s="185"/>
      <c r="DY124" s="185"/>
      <c r="DZ124" s="185"/>
      <c r="EA124" s="185"/>
      <c r="EB124" s="185"/>
      <c r="EC124" s="185"/>
      <c r="ED124" s="185"/>
      <c r="EE124" s="185"/>
      <c r="EF124" s="185"/>
      <c r="EG124" s="185"/>
      <c r="EH124" s="185"/>
      <c r="EI124" s="185"/>
      <c r="EJ124" s="185"/>
      <c r="EK124" s="185"/>
      <c r="EL124" s="185"/>
      <c r="EM124" s="185"/>
      <c r="EN124" s="185"/>
      <c r="EO124" s="185"/>
      <c r="EP124" s="185"/>
      <c r="EQ124" s="185"/>
      <c r="ER124" s="185"/>
      <c r="ES124" s="185"/>
      <c r="ET124" s="185"/>
      <c r="EU124" s="185"/>
      <c r="EV124" s="185"/>
      <c r="EW124" s="185"/>
      <c r="EX124" s="185"/>
      <c r="EY124" s="185"/>
      <c r="EZ124" s="185"/>
      <c r="FA124" s="185"/>
      <c r="FB124" s="185"/>
      <c r="FC124" s="185"/>
      <c r="FD124" s="185"/>
      <c r="FE124" s="185"/>
      <c r="FF124" s="185"/>
      <c r="FG124" s="185"/>
      <c r="FH124" s="185"/>
      <c r="FI124" s="185"/>
      <c r="FJ124" s="185"/>
      <c r="FK124" s="185"/>
    </row>
    <row r="125" spans="1:167" s="186" customFormat="1" ht="54.75" customHeight="1">
      <c r="A125" s="174" t="s">
        <v>600</v>
      </c>
      <c r="B125" s="147">
        <v>40751</v>
      </c>
      <c r="C125" s="325" t="s">
        <v>1570</v>
      </c>
      <c r="D125" s="324" t="s">
        <v>15</v>
      </c>
      <c r="E125" s="326"/>
      <c r="F125" s="324" t="s">
        <v>707</v>
      </c>
      <c r="G125" s="326" t="s">
        <v>151</v>
      </c>
      <c r="H125" s="326" t="s">
        <v>690</v>
      </c>
      <c r="I125" s="326" t="s">
        <v>690</v>
      </c>
      <c r="J125" s="326" t="s">
        <v>690</v>
      </c>
      <c r="K125" s="326" t="s">
        <v>151</v>
      </c>
      <c r="L125" s="333" t="s">
        <v>1724</v>
      </c>
      <c r="M125" s="324" t="s">
        <v>708</v>
      </c>
      <c r="N125" s="324" t="s">
        <v>311</v>
      </c>
      <c r="O125" s="324"/>
      <c r="P125" s="324" t="s">
        <v>1702</v>
      </c>
      <c r="Q125" s="147">
        <v>41045</v>
      </c>
      <c r="R125" s="331">
        <v>41066</v>
      </c>
      <c r="S125" s="152" t="s">
        <v>2100</v>
      </c>
      <c r="T125" s="152" t="s">
        <v>1574</v>
      </c>
      <c r="U125" s="152"/>
      <c r="V125" s="150"/>
      <c r="W125" s="326"/>
      <c r="X125" s="185"/>
      <c r="Y125" s="176" t="str">
        <f ca="1">IF(Table17[[#This Row],[Required Resolution Date]]="","FALSE",IF($AA$1&gt;Table17[[#This Row],[Required Resolution Date]],"TRUE","FALSE"))</f>
        <v>FALSE</v>
      </c>
      <c r="Z125" s="175">
        <f t="shared" ca="1" si="5"/>
        <v>0</v>
      </c>
      <c r="AA125" s="185"/>
      <c r="AB125" s="327" t="b">
        <f>OR(Table17[[#This Row],[Priority]]="04. High",Table17[[#This Row],[Priority]]="05. Critical")</f>
        <v>1</v>
      </c>
      <c r="AC125" s="284">
        <f ca="1">$AA$1-Table17[[#This Row],[Date captured]]</f>
        <v>239</v>
      </c>
      <c r="AD125" s="327" t="b">
        <f t="shared" ca="1" si="6"/>
        <v>0</v>
      </c>
      <c r="AE125" s="327" t="b">
        <f t="shared" ca="1" si="7"/>
        <v>0</v>
      </c>
      <c r="AF125" s="327" t="b">
        <f t="shared" ca="1" si="8"/>
        <v>1</v>
      </c>
      <c r="AG125" s="284">
        <f ca="1">Table17[[#This Row],[Required Resolution Date]]-$AA$1</f>
        <v>76</v>
      </c>
      <c r="AH125" s="327" t="b">
        <f t="shared" ca="1" si="9"/>
        <v>0</v>
      </c>
      <c r="AI125" s="327" t="b">
        <f>OR(Table17[[#This Row],[Priority]]="04. High",Table17[[#This Row],[Priority]]="05. Critical",Table17[[#This Row],[Priority]]="03. Moderate")</f>
        <v>1</v>
      </c>
      <c r="AJ125" s="185"/>
      <c r="AK125" s="185"/>
      <c r="AL125" s="185"/>
      <c r="AM125" s="185"/>
      <c r="AN125" s="185"/>
      <c r="AO125" s="185"/>
      <c r="AP125" s="185"/>
      <c r="AQ125" s="185"/>
      <c r="AR125" s="185"/>
      <c r="AS125" s="185"/>
      <c r="AT125" s="185"/>
      <c r="AU125" s="185"/>
      <c r="AV125" s="185"/>
      <c r="AW125" s="185"/>
      <c r="AX125" s="185"/>
      <c r="AY125" s="185"/>
      <c r="AZ125" s="185"/>
      <c r="BA125" s="185"/>
      <c r="BB125" s="185"/>
      <c r="BC125" s="185"/>
      <c r="BD125" s="185"/>
      <c r="BE125" s="185"/>
      <c r="BF125" s="185"/>
      <c r="BG125" s="185"/>
      <c r="BH125" s="185"/>
      <c r="BI125" s="185"/>
      <c r="BJ125" s="185"/>
      <c r="BK125" s="185"/>
      <c r="BL125" s="185"/>
      <c r="BM125" s="185"/>
      <c r="BN125" s="185"/>
      <c r="BO125" s="185"/>
      <c r="BP125" s="185"/>
      <c r="BQ125" s="185"/>
      <c r="BR125" s="185"/>
      <c r="BS125" s="185"/>
      <c r="BT125" s="185"/>
      <c r="BU125" s="185"/>
      <c r="BV125" s="185"/>
      <c r="BW125" s="185"/>
      <c r="BX125" s="185"/>
      <c r="BY125" s="185"/>
      <c r="BZ125" s="185"/>
      <c r="CA125" s="185"/>
      <c r="CB125" s="185"/>
      <c r="CC125" s="185"/>
      <c r="CD125" s="185"/>
      <c r="CE125" s="185"/>
      <c r="CF125" s="185"/>
      <c r="CG125" s="185"/>
      <c r="CH125" s="185"/>
      <c r="CI125" s="185"/>
      <c r="CJ125" s="185"/>
      <c r="CK125" s="185"/>
      <c r="CL125" s="185"/>
      <c r="CM125" s="185"/>
      <c r="CN125" s="185"/>
      <c r="CO125" s="185"/>
      <c r="CP125" s="185"/>
      <c r="CQ125" s="185"/>
      <c r="CR125" s="185"/>
      <c r="CS125" s="185"/>
      <c r="CT125" s="185"/>
      <c r="CU125" s="185"/>
      <c r="CV125" s="185"/>
      <c r="CW125" s="185"/>
      <c r="CX125" s="185"/>
      <c r="CY125" s="185"/>
      <c r="CZ125" s="185"/>
      <c r="DA125" s="185"/>
      <c r="DB125" s="185"/>
      <c r="DC125" s="185"/>
      <c r="DD125" s="185"/>
      <c r="DE125" s="185"/>
      <c r="DF125" s="185"/>
      <c r="DG125" s="185"/>
      <c r="DH125" s="185"/>
      <c r="DI125" s="185"/>
      <c r="DJ125" s="185"/>
      <c r="DK125" s="185"/>
      <c r="DL125" s="185"/>
      <c r="DM125" s="185"/>
      <c r="DN125" s="185"/>
      <c r="DO125" s="185"/>
      <c r="DP125" s="185"/>
      <c r="DQ125" s="185"/>
      <c r="DR125" s="185"/>
      <c r="DS125" s="185"/>
      <c r="DT125" s="185"/>
      <c r="DU125" s="185"/>
      <c r="DV125" s="185"/>
      <c r="DW125" s="185"/>
      <c r="DX125" s="185"/>
      <c r="DY125" s="185"/>
      <c r="DZ125" s="185"/>
      <c r="EA125" s="185"/>
      <c r="EB125" s="185"/>
      <c r="EC125" s="185"/>
      <c r="ED125" s="185"/>
      <c r="EE125" s="185"/>
      <c r="EF125" s="185"/>
      <c r="EG125" s="185"/>
      <c r="EH125" s="185"/>
      <c r="EI125" s="185"/>
      <c r="EJ125" s="185"/>
      <c r="EK125" s="185"/>
      <c r="EL125" s="185"/>
      <c r="EM125" s="185"/>
      <c r="EN125" s="185"/>
      <c r="EO125" s="185"/>
      <c r="EP125" s="185"/>
      <c r="EQ125" s="185"/>
      <c r="ER125" s="185"/>
      <c r="ES125" s="185"/>
      <c r="ET125" s="185"/>
      <c r="EU125" s="185"/>
      <c r="EV125" s="185"/>
      <c r="EW125" s="185"/>
      <c r="EX125" s="185"/>
      <c r="EY125" s="185"/>
      <c r="EZ125" s="185"/>
      <c r="FA125" s="185"/>
      <c r="FB125" s="185"/>
      <c r="FC125" s="185"/>
      <c r="FD125" s="185"/>
      <c r="FE125" s="185"/>
      <c r="FF125" s="185"/>
      <c r="FG125" s="185"/>
      <c r="FH125" s="185"/>
      <c r="FI125" s="185"/>
      <c r="FJ125" s="185"/>
      <c r="FK125" s="185"/>
    </row>
    <row r="126" spans="1:167" s="186" customFormat="1" ht="95.25" hidden="1" customHeight="1">
      <c r="A126" s="174" t="s">
        <v>646</v>
      </c>
      <c r="B126" s="142">
        <v>37196</v>
      </c>
      <c r="C126" s="326" t="s">
        <v>1570</v>
      </c>
      <c r="D126" s="143" t="s">
        <v>676</v>
      </c>
      <c r="E126" s="326"/>
      <c r="F126" s="324" t="s">
        <v>810</v>
      </c>
      <c r="G126" s="326" t="s">
        <v>690</v>
      </c>
      <c r="H126" s="326" t="s">
        <v>690</v>
      </c>
      <c r="I126" s="326" t="s">
        <v>690</v>
      </c>
      <c r="J126" s="326" t="s">
        <v>690</v>
      </c>
      <c r="K126" s="326" t="s">
        <v>151</v>
      </c>
      <c r="L126" s="333"/>
      <c r="M126" s="324" t="s">
        <v>817</v>
      </c>
      <c r="N126" s="324" t="s">
        <v>150</v>
      </c>
      <c r="O126" s="324"/>
      <c r="P126" s="324"/>
      <c r="Q126" s="147">
        <v>40933</v>
      </c>
      <c r="R126" s="144">
        <v>40889</v>
      </c>
      <c r="S126" s="324" t="s">
        <v>1733</v>
      </c>
      <c r="T126" s="324"/>
      <c r="U126" s="271" t="s">
        <v>3058</v>
      </c>
      <c r="V126" s="157">
        <v>40933</v>
      </c>
      <c r="W126" s="326"/>
      <c r="X126" s="185"/>
      <c r="Y126" s="176" t="str">
        <f ca="1">IF(Table17[[#This Row],[Required Resolution Date]]="","FALSE",IF($AA$1&gt;Table17[[#This Row],[Required Resolution Date]],"TRUE","FALSE"))</f>
        <v>TRUE</v>
      </c>
      <c r="Z126" s="175">
        <f t="shared" ca="1" si="5"/>
        <v>1</v>
      </c>
      <c r="AA126" s="185"/>
      <c r="AB126" s="327" t="b">
        <f>OR(Table17[[#This Row],[Priority]]="04. High",Table17[[#This Row],[Priority]]="05. Critical")</f>
        <v>1</v>
      </c>
      <c r="AC126" s="284">
        <f ca="1">$AA$1-Table17[[#This Row],[Date captured]]</f>
        <v>3794</v>
      </c>
      <c r="AD126" s="327" t="b">
        <f t="shared" ca="1" si="6"/>
        <v>0</v>
      </c>
      <c r="AE126" s="327" t="b">
        <f t="shared" ca="1" si="7"/>
        <v>0</v>
      </c>
      <c r="AF126" s="327" t="b">
        <f t="shared" ca="1" si="8"/>
        <v>1</v>
      </c>
      <c r="AG126" s="284">
        <f ca="1">Table17[[#This Row],[Required Resolution Date]]-$AA$1</f>
        <v>-101</v>
      </c>
      <c r="AH126" s="327" t="b">
        <f t="shared" ca="1" si="9"/>
        <v>0</v>
      </c>
      <c r="AI126" s="327" t="b">
        <f>OR(Table17[[#This Row],[Priority]]="04. High",Table17[[#This Row],[Priority]]="05. Critical",Table17[[#This Row],[Priority]]="03. Moderate")</f>
        <v>1</v>
      </c>
      <c r="AJ126" s="185"/>
      <c r="AK126" s="185"/>
      <c r="AL126" s="185"/>
      <c r="AM126" s="185"/>
      <c r="AN126" s="185"/>
      <c r="AO126" s="185"/>
      <c r="AP126" s="185"/>
      <c r="AQ126" s="185"/>
      <c r="AR126" s="185"/>
      <c r="AS126" s="185"/>
      <c r="AT126" s="185"/>
      <c r="AU126" s="185"/>
      <c r="AV126" s="185"/>
      <c r="AW126" s="185"/>
      <c r="AX126" s="185"/>
      <c r="AY126" s="185"/>
      <c r="AZ126" s="185"/>
      <c r="BA126" s="185"/>
      <c r="BB126" s="185"/>
      <c r="BC126" s="185"/>
      <c r="BD126" s="185"/>
      <c r="BE126" s="185"/>
      <c r="BF126" s="185"/>
      <c r="BG126" s="185"/>
      <c r="BH126" s="185"/>
      <c r="BI126" s="185"/>
      <c r="BJ126" s="185"/>
      <c r="BK126" s="185"/>
      <c r="BL126" s="185"/>
      <c r="BM126" s="185"/>
      <c r="BN126" s="185"/>
      <c r="BO126" s="185"/>
      <c r="BP126" s="185"/>
      <c r="BQ126" s="185"/>
      <c r="BR126" s="185"/>
      <c r="BS126" s="185"/>
      <c r="BT126" s="185"/>
      <c r="BU126" s="185"/>
      <c r="BV126" s="185"/>
      <c r="BW126" s="185"/>
      <c r="BX126" s="185"/>
      <c r="BY126" s="185"/>
      <c r="BZ126" s="185"/>
      <c r="CA126" s="185"/>
      <c r="CB126" s="185"/>
      <c r="CC126" s="185"/>
      <c r="CD126" s="185"/>
      <c r="CE126" s="185"/>
      <c r="CF126" s="185"/>
      <c r="CG126" s="185"/>
      <c r="CH126" s="185"/>
      <c r="CI126" s="185"/>
      <c r="CJ126" s="185"/>
      <c r="CK126" s="185"/>
      <c r="CL126" s="185"/>
      <c r="CM126" s="185"/>
      <c r="CN126" s="185"/>
      <c r="CO126" s="185"/>
      <c r="CP126" s="185"/>
      <c r="CQ126" s="185"/>
      <c r="CR126" s="185"/>
      <c r="CS126" s="185"/>
      <c r="CT126" s="185"/>
      <c r="CU126" s="185"/>
      <c r="CV126" s="185"/>
      <c r="CW126" s="185"/>
      <c r="CX126" s="185"/>
      <c r="CY126" s="185"/>
      <c r="CZ126" s="185"/>
      <c r="DA126" s="185"/>
      <c r="DB126" s="185"/>
      <c r="DC126" s="185"/>
      <c r="DD126" s="185"/>
      <c r="DE126" s="185"/>
      <c r="DF126" s="185"/>
      <c r="DG126" s="185"/>
      <c r="DH126" s="185"/>
      <c r="DI126" s="185"/>
      <c r="DJ126" s="185"/>
      <c r="DK126" s="185"/>
      <c r="DL126" s="185"/>
      <c r="DM126" s="185"/>
      <c r="DN126" s="185"/>
      <c r="DO126" s="185"/>
      <c r="DP126" s="185"/>
      <c r="DQ126" s="185"/>
      <c r="DR126" s="185"/>
      <c r="DS126" s="185"/>
      <c r="DT126" s="185"/>
      <c r="DU126" s="185"/>
      <c r="DV126" s="185"/>
      <c r="DW126" s="185"/>
      <c r="DX126" s="185"/>
      <c r="DY126" s="185"/>
      <c r="DZ126" s="185"/>
      <c r="EA126" s="185"/>
      <c r="EB126" s="185"/>
      <c r="EC126" s="185"/>
      <c r="ED126" s="185"/>
      <c r="EE126" s="185"/>
      <c r="EF126" s="185"/>
      <c r="EG126" s="185"/>
      <c r="EH126" s="185"/>
      <c r="EI126" s="185"/>
      <c r="EJ126" s="185"/>
      <c r="EK126" s="185"/>
      <c r="EL126" s="185"/>
      <c r="EM126" s="185"/>
      <c r="EN126" s="185"/>
      <c r="EO126" s="185"/>
      <c r="EP126" s="185"/>
      <c r="EQ126" s="185"/>
      <c r="ER126" s="185"/>
      <c r="ES126" s="185"/>
      <c r="ET126" s="185"/>
      <c r="EU126" s="185"/>
      <c r="EV126" s="185"/>
      <c r="EW126" s="185"/>
      <c r="EX126" s="185"/>
      <c r="EY126" s="185"/>
      <c r="EZ126" s="185"/>
      <c r="FA126" s="185"/>
      <c r="FB126" s="185"/>
      <c r="FC126" s="185"/>
      <c r="FD126" s="185"/>
      <c r="FE126" s="185"/>
      <c r="FF126" s="185"/>
      <c r="FG126" s="185"/>
      <c r="FH126" s="185"/>
      <c r="FI126" s="185"/>
      <c r="FJ126" s="185"/>
      <c r="FK126" s="185"/>
    </row>
    <row r="127" spans="1:167" s="186" customFormat="1" ht="162" hidden="1">
      <c r="A127" s="174" t="s">
        <v>647</v>
      </c>
      <c r="B127" s="142">
        <v>40882</v>
      </c>
      <c r="C127" s="326" t="s">
        <v>1570</v>
      </c>
      <c r="D127" s="143" t="s">
        <v>676</v>
      </c>
      <c r="E127" s="326"/>
      <c r="F127" s="324" t="s">
        <v>811</v>
      </c>
      <c r="G127" s="326"/>
      <c r="H127" s="326"/>
      <c r="I127" s="326"/>
      <c r="J127" s="326"/>
      <c r="K127" s="326" t="s">
        <v>151</v>
      </c>
      <c r="L127" s="333"/>
      <c r="M127" s="324" t="s">
        <v>567</v>
      </c>
      <c r="N127" s="324" t="s">
        <v>150</v>
      </c>
      <c r="O127" s="324"/>
      <c r="P127" s="324"/>
      <c r="Q127" s="142">
        <v>40933</v>
      </c>
      <c r="R127" s="144">
        <v>40895</v>
      </c>
      <c r="S127" s="324" t="s">
        <v>1685</v>
      </c>
      <c r="T127" s="324"/>
      <c r="U127" s="271" t="s">
        <v>3059</v>
      </c>
      <c r="V127" s="157">
        <v>40925</v>
      </c>
      <c r="W127" s="326"/>
      <c r="X127" s="185"/>
      <c r="Y127" s="176"/>
      <c r="Z127" s="175"/>
      <c r="AA127" s="185"/>
      <c r="AB127" s="327"/>
      <c r="AC127" s="284"/>
      <c r="AD127" s="327"/>
      <c r="AE127" s="327"/>
      <c r="AF127" s="327"/>
      <c r="AG127" s="284"/>
      <c r="AH127" s="327"/>
      <c r="AI127" s="327" t="b">
        <f>OR(Table17[[#This Row],[Priority]]="04. High",Table17[[#This Row],[Priority]]="05. Critical",Table17[[#This Row],[Priority]]="03. Moderate")</f>
        <v>1</v>
      </c>
      <c r="AJ127" s="185"/>
      <c r="AK127" s="185"/>
      <c r="AL127" s="185"/>
      <c r="AM127" s="185"/>
      <c r="AN127" s="185"/>
      <c r="AO127" s="185"/>
      <c r="AP127" s="185"/>
      <c r="AQ127" s="185"/>
      <c r="AR127" s="185"/>
      <c r="AS127" s="185"/>
      <c r="AT127" s="185"/>
      <c r="AU127" s="185"/>
      <c r="AV127" s="185"/>
      <c r="AW127" s="185"/>
      <c r="AX127" s="185"/>
      <c r="AY127" s="185"/>
      <c r="AZ127" s="185"/>
      <c r="BA127" s="185"/>
      <c r="BB127" s="185"/>
      <c r="BC127" s="185"/>
      <c r="BD127" s="185"/>
      <c r="BE127" s="185"/>
      <c r="BF127" s="185"/>
      <c r="BG127" s="185"/>
      <c r="BH127" s="185"/>
      <c r="BI127" s="185"/>
      <c r="BJ127" s="185"/>
      <c r="BK127" s="185"/>
      <c r="BL127" s="185"/>
      <c r="BM127" s="185"/>
      <c r="BN127" s="185"/>
      <c r="BO127" s="185"/>
      <c r="BP127" s="185"/>
      <c r="BQ127" s="185"/>
      <c r="BR127" s="185"/>
      <c r="BS127" s="185"/>
      <c r="BT127" s="185"/>
      <c r="BU127" s="185"/>
      <c r="BV127" s="185"/>
      <c r="BW127" s="185"/>
      <c r="BX127" s="185"/>
      <c r="BY127" s="185"/>
      <c r="BZ127" s="185"/>
      <c r="CA127" s="185"/>
      <c r="CB127" s="185"/>
      <c r="CC127" s="185"/>
      <c r="CD127" s="185"/>
      <c r="CE127" s="185"/>
      <c r="CF127" s="185"/>
      <c r="CG127" s="185"/>
      <c r="CH127" s="185"/>
      <c r="CI127" s="185"/>
      <c r="CJ127" s="185"/>
      <c r="CK127" s="185"/>
      <c r="CL127" s="185"/>
      <c r="CM127" s="185"/>
      <c r="CN127" s="185"/>
      <c r="CO127" s="185"/>
      <c r="CP127" s="185"/>
      <c r="CQ127" s="185"/>
      <c r="CR127" s="185"/>
      <c r="CS127" s="185"/>
      <c r="CT127" s="185"/>
      <c r="CU127" s="185"/>
      <c r="CV127" s="185"/>
      <c r="CW127" s="185"/>
      <c r="CX127" s="185"/>
      <c r="CY127" s="185"/>
      <c r="CZ127" s="185"/>
      <c r="DA127" s="185"/>
      <c r="DB127" s="185"/>
      <c r="DC127" s="185"/>
      <c r="DD127" s="185"/>
      <c r="DE127" s="185"/>
      <c r="DF127" s="185"/>
      <c r="DG127" s="185"/>
      <c r="DH127" s="185"/>
      <c r="DI127" s="185"/>
      <c r="DJ127" s="185"/>
      <c r="DK127" s="185"/>
      <c r="DL127" s="185"/>
      <c r="DM127" s="185"/>
      <c r="DN127" s="185"/>
      <c r="DO127" s="185"/>
      <c r="DP127" s="185"/>
      <c r="DQ127" s="185"/>
      <c r="DR127" s="185"/>
      <c r="DS127" s="185"/>
      <c r="DT127" s="185"/>
      <c r="DU127" s="185"/>
      <c r="DV127" s="185"/>
      <c r="DW127" s="185"/>
      <c r="DX127" s="185"/>
      <c r="DY127" s="185"/>
      <c r="DZ127" s="185"/>
      <c r="EA127" s="185"/>
      <c r="EB127" s="185"/>
      <c r="EC127" s="185"/>
      <c r="ED127" s="185"/>
      <c r="EE127" s="185"/>
      <c r="EF127" s="185"/>
      <c r="EG127" s="185"/>
      <c r="EH127" s="185"/>
      <c r="EI127" s="185"/>
      <c r="EJ127" s="185"/>
      <c r="EK127" s="185"/>
      <c r="EL127" s="185"/>
      <c r="EM127" s="185"/>
      <c r="EN127" s="185"/>
      <c r="EO127" s="185"/>
      <c r="EP127" s="185"/>
      <c r="EQ127" s="185"/>
      <c r="ER127" s="185"/>
      <c r="ES127" s="185"/>
      <c r="ET127" s="185"/>
      <c r="EU127" s="185"/>
      <c r="EV127" s="185"/>
      <c r="EW127" s="185"/>
      <c r="EX127" s="185"/>
      <c r="EY127" s="185"/>
      <c r="EZ127" s="185"/>
      <c r="FA127" s="185"/>
      <c r="FB127" s="185"/>
      <c r="FC127" s="185"/>
      <c r="FD127" s="185"/>
      <c r="FE127" s="185"/>
      <c r="FF127" s="185"/>
      <c r="FG127" s="185"/>
      <c r="FH127" s="185"/>
      <c r="FI127" s="185"/>
      <c r="FJ127" s="185"/>
      <c r="FK127" s="185"/>
    </row>
    <row r="128" spans="1:167" s="186" customFormat="1" ht="94.5" hidden="1">
      <c r="A128" s="174" t="s">
        <v>648</v>
      </c>
      <c r="B128" s="142">
        <v>40882</v>
      </c>
      <c r="C128" s="326" t="s">
        <v>1570</v>
      </c>
      <c r="D128" s="143" t="s">
        <v>676</v>
      </c>
      <c r="E128" s="326"/>
      <c r="F128" s="324" t="s">
        <v>812</v>
      </c>
      <c r="G128" s="326"/>
      <c r="H128" s="326"/>
      <c r="I128" s="326"/>
      <c r="J128" s="326"/>
      <c r="K128" s="326" t="s">
        <v>151</v>
      </c>
      <c r="L128" s="333"/>
      <c r="M128" s="324" t="s">
        <v>818</v>
      </c>
      <c r="N128" s="324" t="s">
        <v>150</v>
      </c>
      <c r="O128" s="324"/>
      <c r="P128" s="324"/>
      <c r="Q128" s="147">
        <v>40919</v>
      </c>
      <c r="R128" s="144">
        <v>40924</v>
      </c>
      <c r="S128" s="324" t="s">
        <v>1665</v>
      </c>
      <c r="T128" s="324"/>
      <c r="U128" s="271" t="s">
        <v>1666</v>
      </c>
      <c r="V128" s="157">
        <v>40919</v>
      </c>
      <c r="W128" s="326"/>
      <c r="X128" s="185"/>
      <c r="Y128" s="176" t="str">
        <f ca="1">IF(Table17[[#This Row],[Required Resolution Date]]="","FALSE",IF($AA$1&gt;Table17[[#This Row],[Required Resolution Date]],"TRUE","FALSE"))</f>
        <v>TRUE</v>
      </c>
      <c r="Z128" s="175">
        <f t="shared" ca="1" si="5"/>
        <v>1</v>
      </c>
      <c r="AA128" s="185"/>
      <c r="AB128" s="327" t="b">
        <f>OR(Table17[[#This Row],[Priority]]="04. High",Table17[[#This Row],[Priority]]="05. Critical")</f>
        <v>1</v>
      </c>
      <c r="AC128" s="284">
        <f ca="1">$AA$1-Table17[[#This Row],[Date captured]]</f>
        <v>108</v>
      </c>
      <c r="AD128" s="327" t="b">
        <f t="shared" ca="1" si="6"/>
        <v>0</v>
      </c>
      <c r="AE128" s="327" t="b">
        <f ca="1">IF(AC128&lt;91,FALSE,IF(AC128&gt;180,FALSE,TRUE))</f>
        <v>1</v>
      </c>
      <c r="AF128" s="327" t="b">
        <f t="shared" ca="1" si="8"/>
        <v>0</v>
      </c>
      <c r="AG128" s="284">
        <f ca="1">Table17[[#This Row],[Required Resolution Date]]-$AA$1</f>
        <v>-66</v>
      </c>
      <c r="AH128" s="327" t="b">
        <f t="shared" ca="1" si="9"/>
        <v>0</v>
      </c>
      <c r="AI128" s="327" t="b">
        <f>OR(Table17[[#This Row],[Priority]]="04. High",Table17[[#This Row],[Priority]]="05. Critical",Table17[[#This Row],[Priority]]="03. Moderate")</f>
        <v>1</v>
      </c>
      <c r="AJ128" s="185"/>
      <c r="AK128" s="185"/>
      <c r="AL128" s="185"/>
      <c r="AM128" s="185"/>
      <c r="AN128" s="185"/>
      <c r="AO128" s="185"/>
      <c r="AP128" s="185"/>
      <c r="AQ128" s="185"/>
      <c r="AR128" s="185"/>
      <c r="AS128" s="185"/>
      <c r="AT128" s="185"/>
      <c r="AU128" s="185"/>
      <c r="AV128" s="185"/>
      <c r="AW128" s="185"/>
      <c r="AX128" s="185"/>
      <c r="AY128" s="185"/>
      <c r="AZ128" s="185"/>
      <c r="BA128" s="185"/>
      <c r="BB128" s="185"/>
      <c r="BC128" s="185"/>
      <c r="BD128" s="185"/>
      <c r="BE128" s="185"/>
      <c r="BF128" s="185"/>
      <c r="BG128" s="185"/>
      <c r="BH128" s="185"/>
      <c r="BI128" s="185"/>
      <c r="BJ128" s="185"/>
      <c r="BK128" s="185"/>
      <c r="BL128" s="185"/>
      <c r="BM128" s="185"/>
      <c r="BN128" s="185"/>
      <c r="BO128" s="185"/>
      <c r="BP128" s="185"/>
      <c r="BQ128" s="185"/>
      <c r="BR128" s="185"/>
      <c r="BS128" s="185"/>
      <c r="BT128" s="185"/>
      <c r="BU128" s="185"/>
      <c r="BV128" s="185"/>
      <c r="BW128" s="185"/>
      <c r="BX128" s="185"/>
      <c r="BY128" s="185"/>
      <c r="BZ128" s="185"/>
      <c r="CA128" s="185"/>
      <c r="CB128" s="185"/>
      <c r="CC128" s="185"/>
      <c r="CD128" s="185"/>
      <c r="CE128" s="185"/>
      <c r="CF128" s="185"/>
      <c r="CG128" s="185"/>
      <c r="CH128" s="185"/>
      <c r="CI128" s="185"/>
      <c r="CJ128" s="185"/>
      <c r="CK128" s="185"/>
      <c r="CL128" s="185"/>
      <c r="CM128" s="185"/>
      <c r="CN128" s="185"/>
      <c r="CO128" s="185"/>
      <c r="CP128" s="185"/>
      <c r="CQ128" s="185"/>
      <c r="CR128" s="185"/>
      <c r="CS128" s="185"/>
      <c r="CT128" s="185"/>
      <c r="CU128" s="185"/>
      <c r="CV128" s="185"/>
      <c r="CW128" s="185"/>
      <c r="CX128" s="185"/>
      <c r="CY128" s="185"/>
      <c r="CZ128" s="185"/>
      <c r="DA128" s="185"/>
      <c r="DB128" s="185"/>
      <c r="DC128" s="185"/>
      <c r="DD128" s="185"/>
      <c r="DE128" s="185"/>
      <c r="DF128" s="185"/>
      <c r="DG128" s="185"/>
      <c r="DH128" s="185"/>
      <c r="DI128" s="185"/>
      <c r="DJ128" s="185"/>
      <c r="DK128" s="185"/>
      <c r="DL128" s="185"/>
      <c r="DM128" s="185"/>
      <c r="DN128" s="185"/>
      <c r="DO128" s="185"/>
      <c r="DP128" s="185"/>
      <c r="DQ128" s="185"/>
      <c r="DR128" s="185"/>
      <c r="DS128" s="185"/>
      <c r="DT128" s="185"/>
      <c r="DU128" s="185"/>
      <c r="DV128" s="185"/>
      <c r="DW128" s="185"/>
      <c r="DX128" s="185"/>
      <c r="DY128" s="185"/>
      <c r="DZ128" s="185"/>
      <c r="EA128" s="185"/>
      <c r="EB128" s="185"/>
      <c r="EC128" s="185"/>
      <c r="ED128" s="185"/>
      <c r="EE128" s="185"/>
      <c r="EF128" s="185"/>
      <c r="EG128" s="185"/>
      <c r="EH128" s="185"/>
      <c r="EI128" s="185"/>
      <c r="EJ128" s="185"/>
      <c r="EK128" s="185"/>
      <c r="EL128" s="185"/>
      <c r="EM128" s="185"/>
      <c r="EN128" s="185"/>
      <c r="EO128" s="185"/>
      <c r="EP128" s="185"/>
      <c r="EQ128" s="185"/>
      <c r="ER128" s="185"/>
      <c r="ES128" s="185"/>
      <c r="ET128" s="185"/>
      <c r="EU128" s="185"/>
      <c r="EV128" s="185"/>
      <c r="EW128" s="185"/>
      <c r="EX128" s="185"/>
      <c r="EY128" s="185"/>
      <c r="EZ128" s="185"/>
      <c r="FA128" s="185"/>
      <c r="FB128" s="185"/>
      <c r="FC128" s="185"/>
      <c r="FD128" s="185"/>
      <c r="FE128" s="185"/>
      <c r="FF128" s="185"/>
      <c r="FG128" s="185"/>
      <c r="FH128" s="185"/>
      <c r="FI128" s="185"/>
      <c r="FJ128" s="185"/>
      <c r="FK128" s="185"/>
    </row>
    <row r="129" spans="1:167" s="186" customFormat="1" ht="48" hidden="1">
      <c r="A129" s="90" t="s">
        <v>588</v>
      </c>
      <c r="B129" s="78">
        <v>40493</v>
      </c>
      <c r="C129" s="91"/>
      <c r="D129" s="71" t="s">
        <v>676</v>
      </c>
      <c r="E129" s="71"/>
      <c r="F129" s="71" t="s">
        <v>819</v>
      </c>
      <c r="G129" s="91"/>
      <c r="H129" s="91"/>
      <c r="I129" s="91"/>
      <c r="J129" s="91"/>
      <c r="K129" s="91" t="s">
        <v>152</v>
      </c>
      <c r="L129" s="127"/>
      <c r="M129" s="71" t="s">
        <v>261</v>
      </c>
      <c r="N129" s="71" t="s">
        <v>150</v>
      </c>
      <c r="O129" s="71"/>
      <c r="P129" s="71"/>
      <c r="Q129" s="78">
        <v>40660</v>
      </c>
      <c r="R129" s="105">
        <v>40522</v>
      </c>
      <c r="S129" s="103" t="s">
        <v>826</v>
      </c>
      <c r="T129" s="103"/>
      <c r="U129" s="442" t="s">
        <v>3060</v>
      </c>
      <c r="V129" s="87">
        <v>40660</v>
      </c>
      <c r="W129" s="31"/>
      <c r="X129" s="185"/>
      <c r="Y129" s="328" t="str">
        <f ca="1">IF(Table17[[#This Row],[Required Resolution Date]]="","FALSE",IF($AA$1&gt;Table17[[#This Row],[Required Resolution Date]],"TRUE","FALSE"))</f>
        <v>TRUE</v>
      </c>
      <c r="Z129" s="327">
        <f t="shared" ca="1" si="5"/>
        <v>1</v>
      </c>
      <c r="AA129" s="185"/>
      <c r="AB129" s="327" t="b">
        <f>OR(Table17[[#This Row],[Priority]]="04. High",Table17[[#This Row],[Priority]]="05. Critical")</f>
        <v>1</v>
      </c>
      <c r="AC129" s="284">
        <f ca="1">$AA$1-Table17[[#This Row],[Date captured]]</f>
        <v>497</v>
      </c>
      <c r="AD129" s="327" t="b">
        <f t="shared" ca="1" si="6"/>
        <v>0</v>
      </c>
      <c r="AE129" s="327" t="b">
        <f t="shared" ref="AE129:AE134" ca="1" si="10">IF(AC129&lt;91,FALSE,IF(AC129&gt;180,FALSE,TRUE))</f>
        <v>0</v>
      </c>
      <c r="AF129" s="327" t="b">
        <f t="shared" ca="1" si="8"/>
        <v>1</v>
      </c>
      <c r="AG129" s="284">
        <f ca="1">Table17[[#This Row],[Required Resolution Date]]-$AA$1</f>
        <v>-468</v>
      </c>
      <c r="AH129" s="327" t="b">
        <f t="shared" ca="1" si="9"/>
        <v>0</v>
      </c>
      <c r="AI129" s="327" t="b">
        <f>OR(Table17[[#This Row],[Priority]]="04. High",Table17[[#This Row],[Priority]]="05. Critical",Table17[[#This Row],[Priority]]="03. Moderate")</f>
        <v>1</v>
      </c>
      <c r="AJ129" s="185"/>
      <c r="AK129" s="185"/>
      <c r="AL129" s="185"/>
      <c r="AM129" s="185"/>
      <c r="AN129" s="185"/>
      <c r="AO129" s="185"/>
      <c r="AP129" s="185"/>
      <c r="AQ129" s="185"/>
      <c r="AR129" s="185"/>
      <c r="AS129" s="185"/>
      <c r="AT129" s="185"/>
      <c r="AU129" s="185"/>
      <c r="AV129" s="185"/>
      <c r="AW129" s="185"/>
      <c r="AX129" s="185"/>
      <c r="AY129" s="185"/>
      <c r="AZ129" s="185"/>
      <c r="BA129" s="185"/>
      <c r="BB129" s="185"/>
      <c r="BC129" s="185"/>
      <c r="BD129" s="185"/>
      <c r="BE129" s="185"/>
      <c r="BF129" s="185"/>
      <c r="BG129" s="185"/>
      <c r="BH129" s="185"/>
      <c r="BI129" s="185"/>
      <c r="BJ129" s="185"/>
      <c r="BK129" s="185"/>
      <c r="BL129" s="185"/>
      <c r="BM129" s="185"/>
      <c r="BN129" s="185"/>
      <c r="BO129" s="185"/>
      <c r="BP129" s="185"/>
      <c r="BQ129" s="185"/>
      <c r="BR129" s="185"/>
      <c r="BS129" s="185"/>
      <c r="BT129" s="185"/>
      <c r="BU129" s="185"/>
      <c r="BV129" s="185"/>
      <c r="BW129" s="185"/>
      <c r="BX129" s="185"/>
      <c r="BY129" s="185"/>
      <c r="BZ129" s="185"/>
      <c r="CA129" s="185"/>
      <c r="CB129" s="185"/>
      <c r="CC129" s="185"/>
      <c r="CD129" s="185"/>
      <c r="CE129" s="185"/>
      <c r="CF129" s="185"/>
      <c r="CG129" s="185"/>
      <c r="CH129" s="185"/>
      <c r="CI129" s="185"/>
      <c r="CJ129" s="185"/>
      <c r="CK129" s="185"/>
      <c r="CL129" s="185"/>
      <c r="CM129" s="185"/>
      <c r="CN129" s="185"/>
      <c r="CO129" s="185"/>
      <c r="CP129" s="185"/>
      <c r="CQ129" s="185"/>
      <c r="CR129" s="185"/>
      <c r="CS129" s="185"/>
      <c r="CT129" s="185"/>
      <c r="CU129" s="185"/>
      <c r="CV129" s="185"/>
      <c r="CW129" s="185"/>
      <c r="CX129" s="185"/>
      <c r="CY129" s="185"/>
      <c r="CZ129" s="185"/>
      <c r="DA129" s="185"/>
      <c r="DB129" s="185"/>
      <c r="DC129" s="185"/>
      <c r="DD129" s="185"/>
      <c r="DE129" s="185"/>
      <c r="DF129" s="185"/>
      <c r="DG129" s="185"/>
      <c r="DH129" s="185"/>
      <c r="DI129" s="185"/>
      <c r="DJ129" s="185"/>
      <c r="DK129" s="185"/>
      <c r="DL129" s="185"/>
      <c r="DM129" s="185"/>
      <c r="DN129" s="185"/>
      <c r="DO129" s="185"/>
      <c r="DP129" s="185"/>
      <c r="DQ129" s="185"/>
      <c r="DR129" s="185"/>
      <c r="DS129" s="185"/>
      <c r="DT129" s="185"/>
      <c r="DU129" s="185"/>
      <c r="DV129" s="185"/>
      <c r="DW129" s="185"/>
      <c r="DX129" s="185"/>
      <c r="DY129" s="185"/>
      <c r="DZ129" s="185"/>
      <c r="EA129" s="185"/>
      <c r="EB129" s="185"/>
      <c r="EC129" s="185"/>
      <c r="ED129" s="185"/>
      <c r="EE129" s="185"/>
      <c r="EF129" s="185"/>
      <c r="EG129" s="185"/>
      <c r="EH129" s="185"/>
      <c r="EI129" s="185"/>
      <c r="EJ129" s="185"/>
      <c r="EK129" s="185"/>
      <c r="EL129" s="185"/>
      <c r="EM129" s="185"/>
      <c r="EN129" s="185"/>
      <c r="EO129" s="185"/>
      <c r="EP129" s="185"/>
      <c r="EQ129" s="185"/>
      <c r="ER129" s="185"/>
      <c r="ES129" s="185"/>
      <c r="ET129" s="185"/>
      <c r="EU129" s="185"/>
      <c r="EV129" s="185"/>
      <c r="EW129" s="185"/>
      <c r="EX129" s="185"/>
      <c r="EY129" s="185"/>
      <c r="EZ129" s="185"/>
      <c r="FA129" s="185"/>
      <c r="FB129" s="185"/>
      <c r="FC129" s="185"/>
      <c r="FD129" s="185"/>
      <c r="FE129" s="185"/>
      <c r="FF129" s="185"/>
      <c r="FG129" s="185"/>
      <c r="FH129" s="185"/>
      <c r="FI129" s="185"/>
      <c r="FJ129" s="185"/>
      <c r="FK129" s="185"/>
    </row>
    <row r="130" spans="1:167" s="186" customFormat="1" ht="283.5" hidden="1">
      <c r="A130" s="174" t="s">
        <v>649</v>
      </c>
      <c r="B130" s="142">
        <v>40877</v>
      </c>
      <c r="C130" s="326" t="s">
        <v>1562</v>
      </c>
      <c r="D130" s="143" t="s">
        <v>676</v>
      </c>
      <c r="E130" s="143"/>
      <c r="F130" s="324" t="s">
        <v>1592</v>
      </c>
      <c r="G130" s="326" t="s">
        <v>679</v>
      </c>
      <c r="H130" s="326" t="s">
        <v>690</v>
      </c>
      <c r="I130" s="326" t="s">
        <v>690</v>
      </c>
      <c r="J130" s="326" t="s">
        <v>679</v>
      </c>
      <c r="K130" s="326" t="s">
        <v>1557</v>
      </c>
      <c r="L130" s="333" t="s">
        <v>1772</v>
      </c>
      <c r="M130" s="324" t="s">
        <v>438</v>
      </c>
      <c r="N130" s="324" t="s">
        <v>148</v>
      </c>
      <c r="O130" s="324"/>
      <c r="P130" s="324" t="s">
        <v>1593</v>
      </c>
      <c r="Q130" s="142">
        <v>40954</v>
      </c>
      <c r="R130" s="144">
        <v>40889</v>
      </c>
      <c r="S130" s="324" t="s">
        <v>2084</v>
      </c>
      <c r="T130" s="324" t="s">
        <v>1564</v>
      </c>
      <c r="U130" s="271" t="s">
        <v>3061</v>
      </c>
      <c r="V130" s="157">
        <v>40954</v>
      </c>
      <c r="W130" s="326"/>
      <c r="X130" s="185"/>
      <c r="Y130" s="328" t="str">
        <f ca="1">IF(Table17[[#This Row],[Required Resolution Date]]="","FALSE",IF($AA$1&gt;Table17[[#This Row],[Required Resolution Date]],"TRUE","FALSE"))</f>
        <v>TRUE</v>
      </c>
      <c r="Z130" s="327">
        <f t="shared" ca="1" si="5"/>
        <v>1</v>
      </c>
      <c r="AA130" s="185"/>
      <c r="AB130" s="327" t="b">
        <f>OR(Table17[[#This Row],[Priority]]="04. High",Table17[[#This Row],[Priority]]="05. Critical")</f>
        <v>0</v>
      </c>
      <c r="AC130" s="284">
        <f ca="1">$AA$1-Table17[[#This Row],[Date captured]]</f>
        <v>113</v>
      </c>
      <c r="AD130" s="327" t="b">
        <f t="shared" ca="1" si="6"/>
        <v>0</v>
      </c>
      <c r="AE130" s="327" t="b">
        <f t="shared" ca="1" si="10"/>
        <v>1</v>
      </c>
      <c r="AF130" s="327" t="b">
        <f t="shared" ca="1" si="8"/>
        <v>0</v>
      </c>
      <c r="AG130" s="284">
        <f ca="1">Table17[[#This Row],[Required Resolution Date]]-$AA$1</f>
        <v>-101</v>
      </c>
      <c r="AH130" s="327" t="b">
        <f t="shared" ca="1" si="9"/>
        <v>0</v>
      </c>
      <c r="AI130" s="327" t="b">
        <f>OR(Table17[[#This Row],[Priority]]="04. High",Table17[[#This Row],[Priority]]="05. Critical",Table17[[#This Row],[Priority]]="03. Moderate")</f>
        <v>1</v>
      </c>
      <c r="AJ130" s="185"/>
      <c r="AK130" s="185"/>
      <c r="AL130" s="185"/>
      <c r="AM130" s="185"/>
      <c r="AN130" s="185"/>
      <c r="AO130" s="185"/>
      <c r="AP130" s="185"/>
      <c r="AQ130" s="185"/>
      <c r="AR130" s="185"/>
      <c r="AS130" s="185"/>
      <c r="AT130" s="185"/>
      <c r="AU130" s="185"/>
      <c r="AV130" s="185"/>
      <c r="AW130" s="185"/>
      <c r="AX130" s="185"/>
      <c r="AY130" s="185"/>
      <c r="AZ130" s="185"/>
      <c r="BA130" s="185"/>
      <c r="BB130" s="185"/>
      <c r="BC130" s="185"/>
      <c r="BD130" s="185"/>
      <c r="BE130" s="185"/>
      <c r="BF130" s="185"/>
      <c r="BG130" s="185"/>
      <c r="BH130" s="185"/>
      <c r="BI130" s="185"/>
      <c r="BJ130" s="185"/>
      <c r="BK130" s="185"/>
      <c r="BL130" s="185"/>
      <c r="BM130" s="185"/>
      <c r="BN130" s="185"/>
      <c r="BO130" s="185"/>
      <c r="BP130" s="185"/>
      <c r="BQ130" s="185"/>
      <c r="BR130" s="185"/>
      <c r="BS130" s="185"/>
      <c r="BT130" s="185"/>
      <c r="BU130" s="185"/>
      <c r="BV130" s="185"/>
      <c r="BW130" s="185"/>
      <c r="BX130" s="185"/>
      <c r="BY130" s="185"/>
      <c r="BZ130" s="185"/>
      <c r="CA130" s="185"/>
      <c r="CB130" s="185"/>
      <c r="CC130" s="185"/>
      <c r="CD130" s="185"/>
      <c r="CE130" s="185"/>
      <c r="CF130" s="185"/>
      <c r="CG130" s="185"/>
      <c r="CH130" s="185"/>
      <c r="CI130" s="185"/>
      <c r="CJ130" s="185"/>
      <c r="CK130" s="185"/>
      <c r="CL130" s="185"/>
      <c r="CM130" s="185"/>
      <c r="CN130" s="185"/>
      <c r="CO130" s="185"/>
      <c r="CP130" s="185"/>
      <c r="CQ130" s="185"/>
      <c r="CR130" s="185"/>
      <c r="CS130" s="185"/>
      <c r="CT130" s="185"/>
      <c r="CU130" s="185"/>
      <c r="CV130" s="185"/>
      <c r="CW130" s="185"/>
      <c r="CX130" s="185"/>
      <c r="CY130" s="185"/>
      <c r="CZ130" s="185"/>
      <c r="DA130" s="185"/>
      <c r="DB130" s="185"/>
      <c r="DC130" s="185"/>
      <c r="DD130" s="185"/>
      <c r="DE130" s="185"/>
      <c r="DF130" s="185"/>
      <c r="DG130" s="185"/>
      <c r="DH130" s="185"/>
      <c r="DI130" s="185"/>
      <c r="DJ130" s="185"/>
      <c r="DK130" s="185"/>
      <c r="DL130" s="185"/>
      <c r="DM130" s="185"/>
      <c r="DN130" s="185"/>
      <c r="DO130" s="185"/>
      <c r="DP130" s="185"/>
      <c r="DQ130" s="185"/>
      <c r="DR130" s="185"/>
      <c r="DS130" s="185"/>
      <c r="DT130" s="185"/>
      <c r="DU130" s="185"/>
      <c r="DV130" s="185"/>
      <c r="DW130" s="185"/>
      <c r="DX130" s="185"/>
      <c r="DY130" s="185"/>
      <c r="DZ130" s="185"/>
      <c r="EA130" s="185"/>
      <c r="EB130" s="185"/>
      <c r="EC130" s="185"/>
      <c r="ED130" s="185"/>
      <c r="EE130" s="185"/>
      <c r="EF130" s="185"/>
      <c r="EG130" s="185"/>
      <c r="EH130" s="185"/>
      <c r="EI130" s="185"/>
      <c r="EJ130" s="185"/>
      <c r="EK130" s="185"/>
      <c r="EL130" s="185"/>
      <c r="EM130" s="185"/>
      <c r="EN130" s="185"/>
      <c r="EO130" s="185"/>
      <c r="EP130" s="185"/>
      <c r="EQ130" s="185"/>
      <c r="ER130" s="185"/>
      <c r="ES130" s="185"/>
      <c r="ET130" s="185"/>
      <c r="EU130" s="185"/>
      <c r="EV130" s="185"/>
      <c r="EW130" s="185"/>
      <c r="EX130" s="185"/>
      <c r="EY130" s="185"/>
      <c r="EZ130" s="185"/>
      <c r="FA130" s="185"/>
      <c r="FB130" s="185"/>
      <c r="FC130" s="185"/>
      <c r="FD130" s="185"/>
      <c r="FE130" s="185"/>
      <c r="FF130" s="185"/>
      <c r="FG130" s="185"/>
      <c r="FH130" s="185"/>
      <c r="FI130" s="185"/>
      <c r="FJ130" s="185"/>
      <c r="FK130" s="185"/>
    </row>
    <row r="131" spans="1:167" s="186" customFormat="1" ht="229.5">
      <c r="A131" s="174" t="s">
        <v>645</v>
      </c>
      <c r="B131" s="142">
        <v>40878</v>
      </c>
      <c r="C131" s="326" t="s">
        <v>1570</v>
      </c>
      <c r="D131" s="143" t="s">
        <v>15</v>
      </c>
      <c r="E131" s="326" t="s">
        <v>180</v>
      </c>
      <c r="F131" s="324" t="s">
        <v>809</v>
      </c>
      <c r="G131" s="326" t="s">
        <v>690</v>
      </c>
      <c r="H131" s="326" t="s">
        <v>690</v>
      </c>
      <c r="I131" s="326" t="s">
        <v>690</v>
      </c>
      <c r="J131" s="326" t="s">
        <v>690</v>
      </c>
      <c r="K131" s="326" t="s">
        <v>151</v>
      </c>
      <c r="L131" s="333" t="s">
        <v>724</v>
      </c>
      <c r="M131" s="324" t="s">
        <v>2639</v>
      </c>
      <c r="N131" s="324" t="s">
        <v>311</v>
      </c>
      <c r="O131" s="324"/>
      <c r="P131" s="324" t="s">
        <v>2453</v>
      </c>
      <c r="Q131" s="142">
        <v>40975</v>
      </c>
      <c r="R131" s="144">
        <v>40924</v>
      </c>
      <c r="S131" s="324" t="s">
        <v>2735</v>
      </c>
      <c r="T131" s="324" t="s">
        <v>1564</v>
      </c>
      <c r="U131" s="324"/>
      <c r="V131" s="143"/>
      <c r="W131" s="326"/>
      <c r="X131" s="185"/>
      <c r="Y131" s="328" t="str">
        <f ca="1">IF(Table17[[#This Row],[Required Resolution Date]]="","FALSE",IF($AA$1&gt;Table17[[#This Row],[Required Resolution Date]],"TRUE","FALSE"))</f>
        <v>TRUE</v>
      </c>
      <c r="Z131" s="327">
        <f t="shared" ca="1" si="5"/>
        <v>1</v>
      </c>
      <c r="AA131" s="185"/>
      <c r="AB131" s="327" t="b">
        <f>OR(Table17[[#This Row],[Priority]]="04. High",Table17[[#This Row],[Priority]]="05. Critical")</f>
        <v>1</v>
      </c>
      <c r="AC131" s="284">
        <f ca="1">$AA$1-Table17[[#This Row],[Date captured]]</f>
        <v>112</v>
      </c>
      <c r="AD131" s="327" t="b">
        <f t="shared" ref="AD131:AD134" ca="1" si="11">IF(AC131&lt;30,FALSE,IF(AC131&gt;90,FALSE,TRUE))</f>
        <v>0</v>
      </c>
      <c r="AE131" s="327" t="b">
        <f t="shared" ca="1" si="10"/>
        <v>1</v>
      </c>
      <c r="AF131" s="327" t="b">
        <f t="shared" ref="AF131:AF134" ca="1" si="12">IF(AC131&gt;180,TRUE,FALSE)</f>
        <v>0</v>
      </c>
      <c r="AG131" s="284">
        <f ca="1">Table17[[#This Row],[Required Resolution Date]]-$AA$1</f>
        <v>-66</v>
      </c>
      <c r="AH131" s="327" t="b">
        <f t="shared" ref="AH131:AH134" ca="1" si="13">IF(AG131&lt;1,FALSE,IF(AG131&gt;7,FALSE,TRUE))</f>
        <v>0</v>
      </c>
      <c r="AI131" s="327" t="b">
        <f>OR(Table17[[#This Row],[Priority]]="04. High",Table17[[#This Row],[Priority]]="05. Critical",Table17[[#This Row],[Priority]]="03. Moderate")</f>
        <v>1</v>
      </c>
      <c r="AJ131" s="185"/>
      <c r="AK131" s="185"/>
      <c r="AL131" s="185"/>
      <c r="AM131" s="185"/>
      <c r="AN131" s="185"/>
      <c r="AO131" s="185"/>
      <c r="AP131" s="185"/>
      <c r="AQ131" s="185"/>
      <c r="AR131" s="185"/>
      <c r="AS131" s="185"/>
      <c r="AT131" s="185"/>
      <c r="AU131" s="185"/>
      <c r="AV131" s="185"/>
      <c r="AW131" s="185"/>
      <c r="AX131" s="185"/>
      <c r="AY131" s="185"/>
      <c r="AZ131" s="185"/>
      <c r="BA131" s="185"/>
      <c r="BB131" s="185"/>
      <c r="BC131" s="185"/>
      <c r="BD131" s="185"/>
      <c r="BE131" s="185"/>
      <c r="BF131" s="185"/>
      <c r="BG131" s="185"/>
      <c r="BH131" s="185"/>
      <c r="BI131" s="185"/>
      <c r="BJ131" s="185"/>
      <c r="BK131" s="185"/>
      <c r="BL131" s="185"/>
      <c r="BM131" s="185"/>
      <c r="BN131" s="185"/>
      <c r="BO131" s="185"/>
      <c r="BP131" s="185"/>
      <c r="BQ131" s="185"/>
      <c r="BR131" s="185"/>
      <c r="BS131" s="185"/>
      <c r="BT131" s="185"/>
      <c r="BU131" s="185"/>
      <c r="BV131" s="185"/>
      <c r="BW131" s="185"/>
      <c r="BX131" s="185"/>
      <c r="BY131" s="185"/>
      <c r="BZ131" s="185"/>
      <c r="CA131" s="185"/>
      <c r="CB131" s="185"/>
      <c r="CC131" s="185"/>
      <c r="CD131" s="185"/>
      <c r="CE131" s="185"/>
      <c r="CF131" s="185"/>
      <c r="CG131" s="185"/>
      <c r="CH131" s="185"/>
      <c r="CI131" s="185"/>
      <c r="CJ131" s="185"/>
      <c r="CK131" s="185"/>
      <c r="CL131" s="185"/>
      <c r="CM131" s="185"/>
      <c r="CN131" s="185"/>
      <c r="CO131" s="185"/>
      <c r="CP131" s="185"/>
      <c r="CQ131" s="185"/>
      <c r="CR131" s="185"/>
      <c r="CS131" s="185"/>
      <c r="CT131" s="185"/>
      <c r="CU131" s="185"/>
      <c r="CV131" s="185"/>
      <c r="CW131" s="185"/>
      <c r="CX131" s="185"/>
      <c r="CY131" s="185"/>
      <c r="CZ131" s="185"/>
      <c r="DA131" s="185"/>
      <c r="DB131" s="185"/>
      <c r="DC131" s="185"/>
      <c r="DD131" s="185"/>
      <c r="DE131" s="185"/>
      <c r="DF131" s="185"/>
      <c r="DG131" s="185"/>
      <c r="DH131" s="185"/>
      <c r="DI131" s="185"/>
      <c r="DJ131" s="185"/>
      <c r="DK131" s="185"/>
      <c r="DL131" s="185"/>
      <c r="DM131" s="185"/>
      <c r="DN131" s="185"/>
      <c r="DO131" s="185"/>
      <c r="DP131" s="185"/>
      <c r="DQ131" s="185"/>
      <c r="DR131" s="185"/>
      <c r="DS131" s="185"/>
      <c r="DT131" s="185"/>
      <c r="DU131" s="185"/>
      <c r="DV131" s="185"/>
      <c r="DW131" s="185"/>
      <c r="DX131" s="185"/>
      <c r="DY131" s="185"/>
      <c r="DZ131" s="185"/>
      <c r="EA131" s="185"/>
      <c r="EB131" s="185"/>
      <c r="EC131" s="185"/>
      <c r="ED131" s="185"/>
      <c r="EE131" s="185"/>
      <c r="EF131" s="185"/>
      <c r="EG131" s="185"/>
      <c r="EH131" s="185"/>
      <c r="EI131" s="185"/>
      <c r="EJ131" s="185"/>
      <c r="EK131" s="185"/>
      <c r="EL131" s="185"/>
      <c r="EM131" s="185"/>
      <c r="EN131" s="185"/>
      <c r="EO131" s="185"/>
      <c r="EP131" s="185"/>
      <c r="EQ131" s="185"/>
      <c r="ER131" s="185"/>
      <c r="ES131" s="185"/>
      <c r="ET131" s="185"/>
      <c r="EU131" s="185"/>
      <c r="EV131" s="185"/>
      <c r="EW131" s="185"/>
      <c r="EX131" s="185"/>
      <c r="EY131" s="185"/>
      <c r="EZ131" s="185"/>
      <c r="FA131" s="185"/>
      <c r="FB131" s="185"/>
      <c r="FC131" s="185"/>
      <c r="FD131" s="185"/>
      <c r="FE131" s="185"/>
      <c r="FF131" s="185"/>
      <c r="FG131" s="185"/>
      <c r="FH131" s="185"/>
      <c r="FI131" s="185"/>
      <c r="FJ131" s="185"/>
      <c r="FK131" s="185"/>
    </row>
    <row r="132" spans="1:167" s="186" customFormat="1" ht="389.25" hidden="1" customHeight="1">
      <c r="A132" s="174" t="s">
        <v>1668</v>
      </c>
      <c r="B132" s="142">
        <v>40883</v>
      </c>
      <c r="C132" s="326" t="s">
        <v>1570</v>
      </c>
      <c r="D132" s="143" t="s">
        <v>676</v>
      </c>
      <c r="E132" s="143" t="s">
        <v>180</v>
      </c>
      <c r="F132" s="324" t="s">
        <v>1670</v>
      </c>
      <c r="G132" s="326" t="s">
        <v>690</v>
      </c>
      <c r="H132" s="326" t="s">
        <v>679</v>
      </c>
      <c r="I132" s="326" t="s">
        <v>679</v>
      </c>
      <c r="J132" s="326" t="s">
        <v>690</v>
      </c>
      <c r="K132" s="326" t="s">
        <v>151</v>
      </c>
      <c r="L132" s="333" t="s">
        <v>261</v>
      </c>
      <c r="M132" s="324" t="s">
        <v>261</v>
      </c>
      <c r="N132" s="324" t="s">
        <v>150</v>
      </c>
      <c r="O132" s="324"/>
      <c r="P132" s="324" t="s">
        <v>2511</v>
      </c>
      <c r="Q132" s="147">
        <v>40975</v>
      </c>
      <c r="R132" s="144">
        <v>40998</v>
      </c>
      <c r="S132" s="324" t="s">
        <v>2899</v>
      </c>
      <c r="T132" s="324"/>
      <c r="U132" s="271" t="s">
        <v>2946</v>
      </c>
      <c r="V132" s="157">
        <v>40983</v>
      </c>
      <c r="W132" s="326"/>
      <c r="X132" s="185"/>
      <c r="Y132" s="328" t="str">
        <f ca="1">IF(Table17[[#This Row],[Required Resolution Date]]="","FALSE",IF($AA$1&gt;Table17[[#This Row],[Required Resolution Date]],"TRUE","FALSE"))</f>
        <v>FALSE</v>
      </c>
      <c r="Z132" s="327">
        <f t="shared" ref="Z132:Z134" ca="1" si="14">IF(Y132="TRUE",1,0)</f>
        <v>0</v>
      </c>
      <c r="AA132" s="185"/>
      <c r="AB132" s="327" t="b">
        <f>OR(Table17[[#This Row],[Priority]]="04. High",Table17[[#This Row],[Priority]]="05. Critical")</f>
        <v>1</v>
      </c>
      <c r="AC132" s="284">
        <f ca="1">$AA$1-Table17[[#This Row],[Date captured]]</f>
        <v>107</v>
      </c>
      <c r="AD132" s="327" t="b">
        <f t="shared" ca="1" si="11"/>
        <v>0</v>
      </c>
      <c r="AE132" s="327" t="b">
        <f t="shared" ca="1" si="10"/>
        <v>1</v>
      </c>
      <c r="AF132" s="327" t="b">
        <f t="shared" ca="1" si="12"/>
        <v>0</v>
      </c>
      <c r="AG132" s="284">
        <f ca="1">Table17[[#This Row],[Required Resolution Date]]-$AA$1</f>
        <v>8</v>
      </c>
      <c r="AH132" s="327" t="b">
        <f t="shared" ca="1" si="13"/>
        <v>0</v>
      </c>
      <c r="AI132" s="327" t="b">
        <f>OR(Table17[[#This Row],[Priority]]="04. High",Table17[[#This Row],[Priority]]="05. Critical",Table17[[#This Row],[Priority]]="03. Moderate")</f>
        <v>1</v>
      </c>
      <c r="AJ132" s="185"/>
      <c r="AK132" s="185"/>
      <c r="AL132" s="185"/>
      <c r="AM132" s="185"/>
      <c r="AN132" s="185"/>
      <c r="AO132" s="185"/>
      <c r="AP132" s="185"/>
      <c r="AQ132" s="185"/>
      <c r="AR132" s="185"/>
      <c r="AS132" s="185"/>
      <c r="AT132" s="185"/>
      <c r="AU132" s="185"/>
      <c r="AV132" s="185"/>
      <c r="AW132" s="185"/>
      <c r="AX132" s="185"/>
      <c r="AY132" s="185"/>
      <c r="AZ132" s="185"/>
      <c r="BA132" s="185"/>
      <c r="BB132" s="185"/>
      <c r="BC132" s="185"/>
      <c r="BD132" s="185"/>
      <c r="BE132" s="185"/>
      <c r="BF132" s="185"/>
      <c r="BG132" s="185"/>
      <c r="BH132" s="185"/>
      <c r="BI132" s="185"/>
      <c r="BJ132" s="185"/>
      <c r="BK132" s="185"/>
      <c r="BL132" s="185"/>
      <c r="BM132" s="185"/>
      <c r="BN132" s="185"/>
      <c r="BO132" s="185"/>
      <c r="BP132" s="185"/>
      <c r="BQ132" s="185"/>
      <c r="BR132" s="185"/>
      <c r="BS132" s="185"/>
      <c r="BT132" s="185"/>
      <c r="BU132" s="185"/>
      <c r="BV132" s="185"/>
      <c r="BW132" s="185"/>
      <c r="BX132" s="185"/>
      <c r="BY132" s="185"/>
      <c r="BZ132" s="185"/>
      <c r="CA132" s="185"/>
      <c r="CB132" s="185"/>
      <c r="CC132" s="185"/>
      <c r="CD132" s="185"/>
      <c r="CE132" s="185"/>
      <c r="CF132" s="185"/>
      <c r="CG132" s="185"/>
      <c r="CH132" s="185"/>
      <c r="CI132" s="185"/>
      <c r="CJ132" s="185"/>
      <c r="CK132" s="185"/>
      <c r="CL132" s="185"/>
      <c r="CM132" s="185"/>
      <c r="CN132" s="185"/>
      <c r="CO132" s="185"/>
      <c r="CP132" s="185"/>
      <c r="CQ132" s="185"/>
      <c r="CR132" s="185"/>
      <c r="CS132" s="185"/>
      <c r="CT132" s="185"/>
      <c r="CU132" s="185"/>
      <c r="CV132" s="185"/>
      <c r="CW132" s="185"/>
      <c r="CX132" s="185"/>
      <c r="CY132" s="185"/>
      <c r="CZ132" s="185"/>
      <c r="DA132" s="185"/>
      <c r="DB132" s="185"/>
      <c r="DC132" s="185"/>
      <c r="DD132" s="185"/>
      <c r="DE132" s="185"/>
      <c r="DF132" s="185"/>
      <c r="DG132" s="185"/>
      <c r="DH132" s="185"/>
      <c r="DI132" s="185"/>
      <c r="DJ132" s="185"/>
      <c r="DK132" s="185"/>
      <c r="DL132" s="185"/>
      <c r="DM132" s="185"/>
      <c r="DN132" s="185"/>
      <c r="DO132" s="185"/>
      <c r="DP132" s="185"/>
      <c r="DQ132" s="185"/>
      <c r="DR132" s="185"/>
      <c r="DS132" s="185"/>
      <c r="DT132" s="185"/>
      <c r="DU132" s="185"/>
      <c r="DV132" s="185"/>
      <c r="DW132" s="185"/>
      <c r="DX132" s="185"/>
      <c r="DY132" s="185"/>
      <c r="DZ132" s="185"/>
      <c r="EA132" s="185"/>
      <c r="EB132" s="185"/>
      <c r="EC132" s="185"/>
      <c r="ED132" s="185"/>
      <c r="EE132" s="185"/>
      <c r="EF132" s="185"/>
      <c r="EG132" s="185"/>
      <c r="EH132" s="185"/>
      <c r="EI132" s="185"/>
      <c r="EJ132" s="185"/>
      <c r="EK132" s="185"/>
      <c r="EL132" s="185"/>
      <c r="EM132" s="185"/>
      <c r="EN132" s="185"/>
      <c r="EO132" s="185"/>
      <c r="EP132" s="185"/>
      <c r="EQ132" s="185"/>
      <c r="ER132" s="185"/>
      <c r="ES132" s="185"/>
      <c r="ET132" s="185"/>
      <c r="EU132" s="185"/>
      <c r="EV132" s="185"/>
      <c r="EW132" s="185"/>
      <c r="EX132" s="185"/>
      <c r="EY132" s="185"/>
      <c r="EZ132" s="185"/>
      <c r="FA132" s="185"/>
      <c r="FB132" s="185"/>
      <c r="FC132" s="185"/>
      <c r="FD132" s="185"/>
      <c r="FE132" s="185"/>
      <c r="FF132" s="185"/>
      <c r="FG132" s="185"/>
      <c r="FH132" s="185"/>
      <c r="FI132" s="185"/>
      <c r="FJ132" s="185"/>
      <c r="FK132" s="185"/>
    </row>
    <row r="133" spans="1:167" s="186" customFormat="1" ht="189" hidden="1">
      <c r="A133" s="174" t="s">
        <v>650</v>
      </c>
      <c r="B133" s="142">
        <v>40883</v>
      </c>
      <c r="C133" s="326"/>
      <c r="D133" s="143" t="s">
        <v>676</v>
      </c>
      <c r="E133" s="143"/>
      <c r="F133" s="152" t="s">
        <v>820</v>
      </c>
      <c r="G133" s="326" t="s">
        <v>690</v>
      </c>
      <c r="H133" s="326" t="s">
        <v>690</v>
      </c>
      <c r="I133" s="326" t="s">
        <v>151</v>
      </c>
      <c r="J133" s="326" t="s">
        <v>151</v>
      </c>
      <c r="K133" s="326" t="s">
        <v>152</v>
      </c>
      <c r="L133" s="333" t="s">
        <v>261</v>
      </c>
      <c r="M133" s="324" t="s">
        <v>261</v>
      </c>
      <c r="N133" s="324" t="s">
        <v>150</v>
      </c>
      <c r="O133" s="324"/>
      <c r="P133" s="324"/>
      <c r="Q133" s="142">
        <v>40968</v>
      </c>
      <c r="R133" s="144">
        <v>40924</v>
      </c>
      <c r="S133" s="324" t="s">
        <v>1734</v>
      </c>
      <c r="T133" s="324"/>
      <c r="U133" s="271" t="s">
        <v>3062</v>
      </c>
      <c r="V133" s="157">
        <v>40933</v>
      </c>
      <c r="W133" s="326"/>
      <c r="X133" s="185"/>
      <c r="Y133" s="328" t="str">
        <f ca="1">IF(Table17[[#This Row],[Required Resolution Date]]="","FALSE",IF($AA$1&gt;Table17[[#This Row],[Required Resolution Date]],"TRUE","FALSE"))</f>
        <v>TRUE</v>
      </c>
      <c r="Z133" s="327">
        <f t="shared" ca="1" si="14"/>
        <v>1</v>
      </c>
      <c r="AA133" s="185"/>
      <c r="AB133" s="327" t="b">
        <f>OR(Table17[[#This Row],[Priority]]="04. High",Table17[[#This Row],[Priority]]="05. Critical")</f>
        <v>1</v>
      </c>
      <c r="AC133" s="284">
        <f ca="1">$AA$1-Table17[[#This Row],[Date captured]]</f>
        <v>107</v>
      </c>
      <c r="AD133" s="327" t="b">
        <f t="shared" ca="1" si="11"/>
        <v>0</v>
      </c>
      <c r="AE133" s="327" t="b">
        <f t="shared" ca="1" si="10"/>
        <v>1</v>
      </c>
      <c r="AF133" s="327" t="b">
        <f t="shared" ca="1" si="12"/>
        <v>0</v>
      </c>
      <c r="AG133" s="284">
        <f ca="1">Table17[[#This Row],[Required Resolution Date]]-$AA$1</f>
        <v>-66</v>
      </c>
      <c r="AH133" s="327" t="b">
        <f t="shared" ca="1" si="13"/>
        <v>0</v>
      </c>
      <c r="AI133" s="327" t="b">
        <f>OR(Table17[[#This Row],[Priority]]="04. High",Table17[[#This Row],[Priority]]="05. Critical",Table17[[#This Row],[Priority]]="03. Moderate")</f>
        <v>1</v>
      </c>
      <c r="AJ133" s="185"/>
      <c r="AK133" s="185"/>
      <c r="AL133" s="185"/>
      <c r="AM133" s="185"/>
      <c r="AN133" s="185"/>
      <c r="AO133" s="185"/>
      <c r="AP133" s="185"/>
      <c r="AQ133" s="185"/>
      <c r="AR133" s="185"/>
      <c r="AS133" s="185"/>
      <c r="AT133" s="185"/>
      <c r="AU133" s="185"/>
      <c r="AV133" s="185"/>
      <c r="AW133" s="185"/>
      <c r="AX133" s="185"/>
      <c r="AY133" s="185"/>
      <c r="AZ133" s="185"/>
      <c r="BA133" s="185"/>
      <c r="BB133" s="185"/>
      <c r="BC133" s="185"/>
      <c r="BD133" s="185"/>
      <c r="BE133" s="185"/>
      <c r="BF133" s="185"/>
      <c r="BG133" s="185"/>
      <c r="BH133" s="185"/>
      <c r="BI133" s="185"/>
      <c r="BJ133" s="185"/>
      <c r="BK133" s="185"/>
      <c r="BL133" s="185"/>
      <c r="BM133" s="185"/>
      <c r="BN133" s="185"/>
      <c r="BO133" s="185"/>
      <c r="BP133" s="185"/>
      <c r="BQ133" s="185"/>
      <c r="BR133" s="185"/>
      <c r="BS133" s="185"/>
      <c r="BT133" s="185"/>
      <c r="BU133" s="185"/>
      <c r="BV133" s="185"/>
      <c r="BW133" s="185"/>
      <c r="BX133" s="185"/>
      <c r="BY133" s="185"/>
      <c r="BZ133" s="185"/>
      <c r="CA133" s="185"/>
      <c r="CB133" s="185"/>
      <c r="CC133" s="185"/>
      <c r="CD133" s="185"/>
      <c r="CE133" s="185"/>
      <c r="CF133" s="185"/>
      <c r="CG133" s="185"/>
      <c r="CH133" s="185"/>
      <c r="CI133" s="185"/>
      <c r="CJ133" s="185"/>
      <c r="CK133" s="185"/>
      <c r="CL133" s="185"/>
      <c r="CM133" s="185"/>
      <c r="CN133" s="185"/>
      <c r="CO133" s="185"/>
      <c r="CP133" s="185"/>
      <c r="CQ133" s="185"/>
      <c r="CR133" s="185"/>
      <c r="CS133" s="185"/>
      <c r="CT133" s="185"/>
      <c r="CU133" s="185"/>
      <c r="CV133" s="185"/>
      <c r="CW133" s="185"/>
      <c r="CX133" s="185"/>
      <c r="CY133" s="185"/>
      <c r="CZ133" s="185"/>
      <c r="DA133" s="185"/>
      <c r="DB133" s="185"/>
      <c r="DC133" s="185"/>
      <c r="DD133" s="185"/>
      <c r="DE133" s="185"/>
      <c r="DF133" s="185"/>
      <c r="DG133" s="185"/>
      <c r="DH133" s="185"/>
      <c r="DI133" s="185"/>
      <c r="DJ133" s="185"/>
      <c r="DK133" s="185"/>
      <c r="DL133" s="185"/>
      <c r="DM133" s="185"/>
      <c r="DN133" s="185"/>
      <c r="DO133" s="185"/>
      <c r="DP133" s="185"/>
      <c r="DQ133" s="185"/>
      <c r="DR133" s="185"/>
      <c r="DS133" s="185"/>
      <c r="DT133" s="185"/>
      <c r="DU133" s="185"/>
      <c r="DV133" s="185"/>
      <c r="DW133" s="185"/>
      <c r="DX133" s="185"/>
      <c r="DY133" s="185"/>
      <c r="DZ133" s="185"/>
      <c r="EA133" s="185"/>
      <c r="EB133" s="185"/>
      <c r="EC133" s="185"/>
      <c r="ED133" s="185"/>
      <c r="EE133" s="185"/>
      <c r="EF133" s="185"/>
      <c r="EG133" s="185"/>
      <c r="EH133" s="185"/>
      <c r="EI133" s="185"/>
      <c r="EJ133" s="185"/>
      <c r="EK133" s="185"/>
      <c r="EL133" s="185"/>
      <c r="EM133" s="185"/>
      <c r="EN133" s="185"/>
      <c r="EO133" s="185"/>
      <c r="EP133" s="185"/>
      <c r="EQ133" s="185"/>
      <c r="ER133" s="185"/>
      <c r="ES133" s="185"/>
      <c r="ET133" s="185"/>
      <c r="EU133" s="185"/>
      <c r="EV133" s="185"/>
      <c r="EW133" s="185"/>
      <c r="EX133" s="185"/>
      <c r="EY133" s="185"/>
      <c r="EZ133" s="185"/>
      <c r="FA133" s="185"/>
      <c r="FB133" s="185"/>
      <c r="FC133" s="185"/>
      <c r="FD133" s="185"/>
      <c r="FE133" s="185"/>
      <c r="FF133" s="185"/>
      <c r="FG133" s="185"/>
      <c r="FH133" s="185"/>
      <c r="FI133" s="185"/>
      <c r="FJ133" s="185"/>
      <c r="FK133" s="185"/>
    </row>
    <row r="134" spans="1:167" s="186" customFormat="1" ht="162">
      <c r="A134" s="174" t="s">
        <v>1667</v>
      </c>
      <c r="B134" s="200">
        <v>40883</v>
      </c>
      <c r="C134" s="326" t="s">
        <v>1570</v>
      </c>
      <c r="D134" s="325" t="s">
        <v>15</v>
      </c>
      <c r="E134" s="326" t="s">
        <v>180</v>
      </c>
      <c r="F134" s="151" t="s">
        <v>1669</v>
      </c>
      <c r="G134" s="326" t="s">
        <v>690</v>
      </c>
      <c r="H134" s="326" t="s">
        <v>679</v>
      </c>
      <c r="I134" s="326" t="s">
        <v>679</v>
      </c>
      <c r="J134" s="326" t="s">
        <v>690</v>
      </c>
      <c r="K134" s="326" t="s">
        <v>151</v>
      </c>
      <c r="L134" s="333" t="s">
        <v>186</v>
      </c>
      <c r="M134" s="151" t="s">
        <v>379</v>
      </c>
      <c r="N134" s="250" t="s">
        <v>311</v>
      </c>
      <c r="O134" s="250"/>
      <c r="P134" s="151" t="s">
        <v>1699</v>
      </c>
      <c r="Q134" s="201">
        <v>40988</v>
      </c>
      <c r="R134" s="251">
        <v>40988</v>
      </c>
      <c r="S134" s="190" t="s">
        <v>2458</v>
      </c>
      <c r="T134" s="326" t="s">
        <v>1574</v>
      </c>
      <c r="U134" s="326"/>
      <c r="V134" s="326"/>
      <c r="W134" s="326"/>
      <c r="X134" s="185"/>
      <c r="Y134" s="328" t="str">
        <f ca="1">IF(Table17[[#This Row],[Required Resolution Date]]="","FALSE",IF($AA$1&gt;Table17[[#This Row],[Required Resolution Date]],"TRUE","FALSE"))</f>
        <v>TRUE</v>
      </c>
      <c r="Z134" s="327">
        <f t="shared" ca="1" si="14"/>
        <v>1</v>
      </c>
      <c r="AA134" s="185"/>
      <c r="AB134" s="327" t="b">
        <f>OR(Table17[[#This Row],[Priority]]="04. High",Table17[[#This Row],[Priority]]="05. Critical")</f>
        <v>1</v>
      </c>
      <c r="AC134" s="284">
        <f ca="1">$AA$1-Table17[[#This Row],[Date captured]]</f>
        <v>107</v>
      </c>
      <c r="AD134" s="327" t="b">
        <f t="shared" ca="1" si="11"/>
        <v>0</v>
      </c>
      <c r="AE134" s="327" t="b">
        <f t="shared" ca="1" si="10"/>
        <v>1</v>
      </c>
      <c r="AF134" s="327" t="b">
        <f t="shared" ca="1" si="12"/>
        <v>0</v>
      </c>
      <c r="AG134" s="284">
        <f ca="1">Table17[[#This Row],[Required Resolution Date]]-$AA$1</f>
        <v>-2</v>
      </c>
      <c r="AH134" s="327" t="b">
        <f t="shared" ca="1" si="13"/>
        <v>0</v>
      </c>
      <c r="AI134" s="327" t="b">
        <f>OR(Table17[[#This Row],[Priority]]="04. High",Table17[[#This Row],[Priority]]="05. Critical",Table17[[#This Row],[Priority]]="03. Moderate")</f>
        <v>1</v>
      </c>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c r="BS134" s="185"/>
      <c r="BT134" s="185"/>
      <c r="BU134" s="185"/>
      <c r="BV134" s="185"/>
      <c r="BW134" s="185"/>
      <c r="BX134" s="185"/>
      <c r="BY134" s="185"/>
      <c r="BZ134" s="185"/>
      <c r="CA134" s="185"/>
      <c r="CB134" s="185"/>
      <c r="CC134" s="185"/>
      <c r="CD134" s="185"/>
      <c r="CE134" s="185"/>
      <c r="CF134" s="185"/>
      <c r="CG134" s="185"/>
      <c r="CH134" s="185"/>
      <c r="CI134" s="185"/>
      <c r="CJ134" s="185"/>
      <c r="CK134" s="185"/>
      <c r="CL134" s="185"/>
      <c r="CM134" s="185"/>
      <c r="CN134" s="185"/>
      <c r="CO134" s="185"/>
      <c r="CP134" s="185"/>
      <c r="CQ134" s="185"/>
      <c r="CR134" s="185"/>
      <c r="CS134" s="185"/>
      <c r="CT134" s="185"/>
      <c r="CU134" s="185"/>
      <c r="CV134" s="185"/>
      <c r="CW134" s="185"/>
      <c r="CX134" s="185"/>
      <c r="CY134" s="185"/>
      <c r="CZ134" s="185"/>
      <c r="DA134" s="185"/>
      <c r="DB134" s="185"/>
      <c r="DC134" s="185"/>
      <c r="DD134" s="185"/>
      <c r="DE134" s="185"/>
      <c r="DF134" s="185"/>
      <c r="DG134" s="185"/>
      <c r="DH134" s="185"/>
      <c r="DI134" s="185"/>
      <c r="DJ134" s="185"/>
      <c r="DK134" s="185"/>
      <c r="DL134" s="185"/>
      <c r="DM134" s="185"/>
      <c r="DN134" s="185"/>
      <c r="DO134" s="185"/>
      <c r="DP134" s="185"/>
      <c r="DQ134" s="185"/>
      <c r="DR134" s="185"/>
      <c r="DS134" s="185"/>
      <c r="DT134" s="185"/>
      <c r="DU134" s="185"/>
      <c r="DV134" s="185"/>
      <c r="DW134" s="185"/>
      <c r="DX134" s="185"/>
      <c r="DY134" s="185"/>
      <c r="DZ134" s="185"/>
      <c r="EA134" s="185"/>
      <c r="EB134" s="185"/>
      <c r="EC134" s="185"/>
      <c r="ED134" s="185"/>
      <c r="EE134" s="185"/>
      <c r="EF134" s="185"/>
      <c r="EG134" s="185"/>
      <c r="EH134" s="185"/>
      <c r="EI134" s="185"/>
      <c r="EJ134" s="185"/>
      <c r="EK134" s="185"/>
      <c r="EL134" s="185"/>
      <c r="EM134" s="185"/>
      <c r="EN134" s="185"/>
      <c r="EO134" s="185"/>
      <c r="EP134" s="185"/>
      <c r="EQ134" s="185"/>
      <c r="ER134" s="185"/>
      <c r="ES134" s="185"/>
      <c r="ET134" s="185"/>
      <c r="EU134" s="185"/>
      <c r="EV134" s="185"/>
      <c r="EW134" s="185"/>
      <c r="EX134" s="185"/>
      <c r="EY134" s="185"/>
      <c r="EZ134" s="185"/>
      <c r="FA134" s="185"/>
      <c r="FB134" s="185"/>
      <c r="FC134" s="185"/>
      <c r="FD134" s="185"/>
      <c r="FE134" s="185"/>
      <c r="FF134" s="185"/>
      <c r="FG134" s="185"/>
      <c r="FH134" s="185"/>
      <c r="FI134" s="185"/>
      <c r="FJ134" s="185"/>
      <c r="FK134" s="185"/>
    </row>
    <row r="135" spans="1:167" s="186" customFormat="1" ht="310.5">
      <c r="A135" s="174" t="s">
        <v>653</v>
      </c>
      <c r="B135" s="142">
        <v>40883</v>
      </c>
      <c r="C135" s="326" t="s">
        <v>1570</v>
      </c>
      <c r="D135" s="143" t="s">
        <v>15</v>
      </c>
      <c r="E135" s="143"/>
      <c r="F135" s="324" t="s">
        <v>822</v>
      </c>
      <c r="G135" s="326" t="s">
        <v>690</v>
      </c>
      <c r="H135" s="326" t="s">
        <v>690</v>
      </c>
      <c r="I135" s="326" t="s">
        <v>151</v>
      </c>
      <c r="J135" s="326" t="s">
        <v>679</v>
      </c>
      <c r="K135" s="326" t="s">
        <v>151</v>
      </c>
      <c r="L135" s="333" t="s">
        <v>1674</v>
      </c>
      <c r="M135" s="324" t="s">
        <v>1925</v>
      </c>
      <c r="N135" s="324" t="s">
        <v>311</v>
      </c>
      <c r="O135" s="324"/>
      <c r="P135" s="324" t="s">
        <v>1700</v>
      </c>
      <c r="Q135" s="142">
        <v>40996</v>
      </c>
      <c r="R135" s="144">
        <v>40996</v>
      </c>
      <c r="S135" s="324" t="s">
        <v>2638</v>
      </c>
      <c r="T135" s="324" t="s">
        <v>1574</v>
      </c>
      <c r="U135" s="324"/>
      <c r="V135" s="143"/>
      <c r="W135" s="326"/>
      <c r="X135" s="185"/>
      <c r="Y135" s="176" t="str">
        <f ca="1">IF(Table17[[#This Row],[Required Resolution Date]]="","FALSE",IF($AA$1&gt;Table17[[#This Row],[Required Resolution Date]],"TRUE","FALSE"))</f>
        <v>FALSE</v>
      </c>
      <c r="Z135" s="175">
        <f t="shared" ref="Z135:Z195" ca="1" si="15">IF(Y135="TRUE",1,0)</f>
        <v>0</v>
      </c>
      <c r="AA135" s="185"/>
      <c r="AB135" s="327" t="b">
        <f>OR(Table17[[#This Row],[Priority]]="04. High",Table17[[#This Row],[Priority]]="05. Critical")</f>
        <v>1</v>
      </c>
      <c r="AC135" s="284">
        <f ca="1">$AA$1-Table17[[#This Row],[Date captured]]</f>
        <v>107</v>
      </c>
      <c r="AD135" s="327" t="b">
        <f t="shared" ref="AD135:AD194" ca="1" si="16">IF(AC135&lt;30,FALSE,IF(AC135&gt;90,FALSE,TRUE))</f>
        <v>0</v>
      </c>
      <c r="AE135" s="327" t="b">
        <f t="shared" ref="AE135:AE194" ca="1" si="17">IF(AC135&lt;91,FALSE,IF(AC135&gt;180,FALSE,TRUE))</f>
        <v>1</v>
      </c>
      <c r="AF135" s="327" t="b">
        <f t="shared" ref="AF135:AF194" ca="1" si="18">IF(AC135&gt;180,TRUE,FALSE)</f>
        <v>0</v>
      </c>
      <c r="AG135" s="284">
        <f ca="1">Table17[[#This Row],[Required Resolution Date]]-$AA$1</f>
        <v>6</v>
      </c>
      <c r="AH135" s="327" t="b">
        <f t="shared" ref="AH135:AH194" ca="1" si="19">IF(AG135&lt;1,FALSE,IF(AG135&gt;7,FALSE,TRUE))</f>
        <v>1</v>
      </c>
      <c r="AI135" s="327" t="b">
        <f>OR(Table17[[#This Row],[Priority]]="04. High",Table17[[#This Row],[Priority]]="05. Critical",Table17[[#This Row],[Priority]]="03. Moderate")</f>
        <v>1</v>
      </c>
      <c r="AJ135" s="185"/>
      <c r="AK135" s="185"/>
      <c r="AL135" s="185"/>
      <c r="AM135" s="185"/>
      <c r="AN135" s="185"/>
      <c r="AO135" s="185"/>
      <c r="AP135" s="185"/>
      <c r="AQ135" s="185"/>
      <c r="AR135" s="185"/>
      <c r="AS135" s="185"/>
      <c r="AT135" s="185"/>
      <c r="AU135" s="185"/>
      <c r="AV135" s="185"/>
      <c r="AW135" s="185"/>
      <c r="AX135" s="185"/>
      <c r="AY135" s="185"/>
      <c r="AZ135" s="185"/>
      <c r="BA135" s="185"/>
      <c r="BB135" s="185"/>
      <c r="BC135" s="185"/>
      <c r="BD135" s="185"/>
      <c r="BE135" s="185"/>
      <c r="BF135" s="185"/>
      <c r="BG135" s="185"/>
      <c r="BH135" s="185"/>
      <c r="BI135" s="185"/>
      <c r="BJ135" s="185"/>
      <c r="BK135" s="185"/>
      <c r="BL135" s="185"/>
      <c r="BM135" s="185"/>
      <c r="BN135" s="185"/>
      <c r="BO135" s="185"/>
      <c r="BP135" s="185"/>
      <c r="BQ135" s="185"/>
      <c r="BR135" s="185"/>
      <c r="BS135" s="185"/>
      <c r="BT135" s="185"/>
      <c r="BU135" s="185"/>
      <c r="BV135" s="185"/>
      <c r="BW135" s="185"/>
      <c r="BX135" s="185"/>
      <c r="BY135" s="185"/>
      <c r="BZ135" s="185"/>
      <c r="CA135" s="185"/>
      <c r="CB135" s="185"/>
      <c r="CC135" s="185"/>
      <c r="CD135" s="185"/>
      <c r="CE135" s="185"/>
      <c r="CF135" s="185"/>
      <c r="CG135" s="185"/>
      <c r="CH135" s="185"/>
      <c r="CI135" s="185"/>
      <c r="CJ135" s="185"/>
      <c r="CK135" s="185"/>
      <c r="CL135" s="185"/>
      <c r="CM135" s="185"/>
      <c r="CN135" s="185"/>
      <c r="CO135" s="185"/>
      <c r="CP135" s="185"/>
      <c r="CQ135" s="185"/>
      <c r="CR135" s="185"/>
      <c r="CS135" s="185"/>
      <c r="CT135" s="185"/>
      <c r="CU135" s="185"/>
      <c r="CV135" s="185"/>
      <c r="CW135" s="185"/>
      <c r="CX135" s="185"/>
      <c r="CY135" s="185"/>
      <c r="CZ135" s="185"/>
      <c r="DA135" s="185"/>
      <c r="DB135" s="185"/>
      <c r="DC135" s="185"/>
      <c r="DD135" s="185"/>
      <c r="DE135" s="185"/>
      <c r="DF135" s="185"/>
      <c r="DG135" s="185"/>
      <c r="DH135" s="185"/>
      <c r="DI135" s="185"/>
      <c r="DJ135" s="185"/>
      <c r="DK135" s="185"/>
      <c r="DL135" s="185"/>
      <c r="DM135" s="185"/>
      <c r="DN135" s="185"/>
      <c r="DO135" s="185"/>
      <c r="DP135" s="185"/>
      <c r="DQ135" s="185"/>
      <c r="DR135" s="185"/>
      <c r="DS135" s="185"/>
      <c r="DT135" s="185"/>
      <c r="DU135" s="185"/>
      <c r="DV135" s="185"/>
      <c r="DW135" s="185"/>
      <c r="DX135" s="185"/>
      <c r="DY135" s="185"/>
      <c r="DZ135" s="185"/>
      <c r="EA135" s="185"/>
      <c r="EB135" s="185"/>
      <c r="EC135" s="185"/>
      <c r="ED135" s="185"/>
      <c r="EE135" s="185"/>
      <c r="EF135" s="185"/>
      <c r="EG135" s="185"/>
      <c r="EH135" s="185"/>
      <c r="EI135" s="185"/>
      <c r="EJ135" s="185"/>
      <c r="EK135" s="185"/>
      <c r="EL135" s="185"/>
      <c r="EM135" s="185"/>
      <c r="EN135" s="185"/>
      <c r="EO135" s="185"/>
      <c r="EP135" s="185"/>
      <c r="EQ135" s="185"/>
      <c r="ER135" s="185"/>
      <c r="ES135" s="185"/>
      <c r="ET135" s="185"/>
      <c r="EU135" s="185"/>
      <c r="EV135" s="185"/>
      <c r="EW135" s="185"/>
      <c r="EX135" s="185"/>
      <c r="EY135" s="185"/>
      <c r="EZ135" s="185"/>
      <c r="FA135" s="185"/>
      <c r="FB135" s="185"/>
      <c r="FC135" s="185"/>
      <c r="FD135" s="185"/>
      <c r="FE135" s="185"/>
      <c r="FF135" s="185"/>
      <c r="FG135" s="185"/>
      <c r="FH135" s="185"/>
      <c r="FI135" s="185"/>
      <c r="FJ135" s="185"/>
      <c r="FK135" s="185"/>
    </row>
    <row r="136" spans="1:167" s="186" customFormat="1" ht="337.5">
      <c r="A136" s="174" t="s">
        <v>656</v>
      </c>
      <c r="B136" s="142">
        <v>40883</v>
      </c>
      <c r="C136" s="326" t="s">
        <v>1570</v>
      </c>
      <c r="D136" s="155" t="s">
        <v>15</v>
      </c>
      <c r="E136" s="143"/>
      <c r="F136" s="324" t="s">
        <v>2870</v>
      </c>
      <c r="G136" s="326" t="s">
        <v>679</v>
      </c>
      <c r="H136" s="326" t="s">
        <v>679</v>
      </c>
      <c r="I136" s="326" t="s">
        <v>679</v>
      </c>
      <c r="J136" s="326" t="s">
        <v>679</v>
      </c>
      <c r="K136" s="326" t="s">
        <v>1558</v>
      </c>
      <c r="L136" s="333" t="s">
        <v>186</v>
      </c>
      <c r="M136" s="324" t="s">
        <v>2234</v>
      </c>
      <c r="N136" s="324" t="s">
        <v>311</v>
      </c>
      <c r="O136" s="324"/>
      <c r="P136" s="324" t="s">
        <v>2733</v>
      </c>
      <c r="Q136" s="142">
        <v>40999</v>
      </c>
      <c r="R136" s="144">
        <v>41003</v>
      </c>
      <c r="S136" s="324" t="s">
        <v>2869</v>
      </c>
      <c r="T136" s="324" t="s">
        <v>1574</v>
      </c>
      <c r="U136" s="324"/>
      <c r="V136" s="143"/>
      <c r="W136" s="326"/>
      <c r="X136" s="185"/>
      <c r="Y136" s="176"/>
      <c r="Z136" s="175"/>
      <c r="AA136" s="185"/>
      <c r="AB136" s="327"/>
      <c r="AC136" s="284"/>
      <c r="AD136" s="327"/>
      <c r="AE136" s="327"/>
      <c r="AF136" s="327"/>
      <c r="AG136" s="284"/>
      <c r="AH136" s="327"/>
      <c r="AI136" s="327" t="b">
        <f>OR(Table17[[#This Row],[Priority]]="04. High",Table17[[#This Row],[Priority]]="05. Critical",Table17[[#This Row],[Priority]]="03. Moderate")</f>
        <v>0</v>
      </c>
      <c r="AJ136" s="185"/>
      <c r="AK136" s="185"/>
      <c r="AL136" s="185"/>
      <c r="AM136" s="185"/>
      <c r="AN136" s="185"/>
      <c r="AO136" s="185"/>
      <c r="AP136" s="185"/>
      <c r="AQ136" s="185"/>
      <c r="AR136" s="185"/>
      <c r="AS136" s="185"/>
      <c r="AT136" s="185"/>
      <c r="AU136" s="185"/>
      <c r="AV136" s="185"/>
      <c r="AW136" s="185"/>
      <c r="AX136" s="185"/>
      <c r="AY136" s="185"/>
      <c r="AZ136" s="185"/>
      <c r="BA136" s="185"/>
      <c r="BB136" s="185"/>
      <c r="BC136" s="185"/>
      <c r="BD136" s="185"/>
      <c r="BE136" s="185"/>
      <c r="BF136" s="185"/>
      <c r="BG136" s="185"/>
      <c r="BH136" s="185"/>
      <c r="BI136" s="185"/>
      <c r="BJ136" s="185"/>
      <c r="BK136" s="185"/>
      <c r="BL136" s="185"/>
      <c r="BM136" s="185"/>
      <c r="BN136" s="185"/>
      <c r="BO136" s="185"/>
      <c r="BP136" s="185"/>
      <c r="BQ136" s="185"/>
      <c r="BR136" s="185"/>
      <c r="BS136" s="185"/>
      <c r="BT136" s="185"/>
      <c r="BU136" s="185"/>
      <c r="BV136" s="185"/>
      <c r="BW136" s="185"/>
      <c r="BX136" s="185"/>
      <c r="BY136" s="185"/>
      <c r="BZ136" s="185"/>
      <c r="CA136" s="185"/>
      <c r="CB136" s="185"/>
      <c r="CC136" s="185"/>
      <c r="CD136" s="185"/>
      <c r="CE136" s="185"/>
      <c r="CF136" s="185"/>
      <c r="CG136" s="185"/>
      <c r="CH136" s="185"/>
      <c r="CI136" s="185"/>
      <c r="CJ136" s="185"/>
      <c r="CK136" s="185"/>
      <c r="CL136" s="185"/>
      <c r="CM136" s="185"/>
      <c r="CN136" s="185"/>
      <c r="CO136" s="185"/>
      <c r="CP136" s="185"/>
      <c r="CQ136" s="185"/>
      <c r="CR136" s="185"/>
      <c r="CS136" s="185"/>
      <c r="CT136" s="185"/>
      <c r="CU136" s="185"/>
      <c r="CV136" s="185"/>
      <c r="CW136" s="185"/>
      <c r="CX136" s="185"/>
      <c r="CY136" s="185"/>
      <c r="CZ136" s="185"/>
      <c r="DA136" s="185"/>
      <c r="DB136" s="185"/>
      <c r="DC136" s="185"/>
      <c r="DD136" s="185"/>
      <c r="DE136" s="185"/>
      <c r="DF136" s="185"/>
      <c r="DG136" s="185"/>
      <c r="DH136" s="185"/>
      <c r="DI136" s="185"/>
      <c r="DJ136" s="185"/>
      <c r="DK136" s="185"/>
      <c r="DL136" s="185"/>
      <c r="DM136" s="185"/>
      <c r="DN136" s="185"/>
      <c r="DO136" s="185"/>
      <c r="DP136" s="185"/>
      <c r="DQ136" s="185"/>
      <c r="DR136" s="185"/>
      <c r="DS136" s="185"/>
      <c r="DT136" s="185"/>
      <c r="DU136" s="185"/>
      <c r="DV136" s="185"/>
      <c r="DW136" s="185"/>
      <c r="DX136" s="185"/>
      <c r="DY136" s="185"/>
      <c r="DZ136" s="185"/>
      <c r="EA136" s="185"/>
      <c r="EB136" s="185"/>
      <c r="EC136" s="185"/>
      <c r="ED136" s="185"/>
      <c r="EE136" s="185"/>
      <c r="EF136" s="185"/>
      <c r="EG136" s="185"/>
      <c r="EH136" s="185"/>
      <c r="EI136" s="185"/>
      <c r="EJ136" s="185"/>
      <c r="EK136" s="185"/>
      <c r="EL136" s="185"/>
      <c r="EM136" s="185"/>
      <c r="EN136" s="185"/>
      <c r="EO136" s="185"/>
      <c r="EP136" s="185"/>
      <c r="EQ136" s="185"/>
      <c r="ER136" s="185"/>
      <c r="ES136" s="185"/>
      <c r="ET136" s="185"/>
      <c r="EU136" s="185"/>
      <c r="EV136" s="185"/>
      <c r="EW136" s="185"/>
      <c r="EX136" s="185"/>
      <c r="EY136" s="185"/>
      <c r="EZ136" s="185"/>
      <c r="FA136" s="185"/>
      <c r="FB136" s="185"/>
      <c r="FC136" s="185"/>
      <c r="FD136" s="185"/>
      <c r="FE136" s="185"/>
      <c r="FF136" s="185"/>
      <c r="FG136" s="185"/>
      <c r="FH136" s="185"/>
      <c r="FI136" s="185"/>
      <c r="FJ136" s="185"/>
      <c r="FK136" s="185"/>
    </row>
    <row r="137" spans="1:167" s="186" customFormat="1" ht="108" hidden="1">
      <c r="A137" s="3" t="s">
        <v>654</v>
      </c>
      <c r="B137" s="119">
        <v>40883</v>
      </c>
      <c r="C137" s="91"/>
      <c r="D137" s="117" t="s">
        <v>676</v>
      </c>
      <c r="E137" s="117"/>
      <c r="F137" s="65" t="s">
        <v>1499</v>
      </c>
      <c r="G137" s="91"/>
      <c r="H137" s="91"/>
      <c r="I137" s="91"/>
      <c r="J137" s="91"/>
      <c r="K137" s="91" t="s">
        <v>151</v>
      </c>
      <c r="L137" s="127"/>
      <c r="M137" s="65" t="s">
        <v>317</v>
      </c>
      <c r="N137" s="65" t="s">
        <v>311</v>
      </c>
      <c r="O137" s="65"/>
      <c r="P137" s="65"/>
      <c r="Q137" s="119">
        <v>40912</v>
      </c>
      <c r="R137" s="112"/>
      <c r="S137" s="65" t="s">
        <v>1526</v>
      </c>
      <c r="T137" s="65"/>
      <c r="U137" s="451" t="s">
        <v>1527</v>
      </c>
      <c r="V137" s="215">
        <v>40912</v>
      </c>
      <c r="W137" s="31"/>
      <c r="X137" s="185"/>
      <c r="Y137" s="176" t="str">
        <f>IF(Table17[[#This Row],[Required Resolution Date]]="","FALSE",IF($AA$1&gt;Table17[[#This Row],[Required Resolution Date]],"TRUE","FALSE"))</f>
        <v>FALSE</v>
      </c>
      <c r="Z137" s="175">
        <f t="shared" si="15"/>
        <v>0</v>
      </c>
      <c r="AA137" s="185"/>
      <c r="AB137" s="327" t="b">
        <f>OR(Table17[[#This Row],[Priority]]="04. High",Table17[[#This Row],[Priority]]="05. Critical")</f>
        <v>1</v>
      </c>
      <c r="AC137" s="284">
        <f ca="1">$AA$1-Table17[[#This Row],[Date captured]]</f>
        <v>107</v>
      </c>
      <c r="AD137" s="327" t="b">
        <f t="shared" ca="1" si="16"/>
        <v>0</v>
      </c>
      <c r="AE137" s="327" t="b">
        <f t="shared" ca="1" si="17"/>
        <v>1</v>
      </c>
      <c r="AF137" s="327" t="b">
        <f t="shared" ca="1" si="18"/>
        <v>0</v>
      </c>
      <c r="AG137" s="284">
        <f ca="1">Table17[[#This Row],[Required Resolution Date]]-$AA$1</f>
        <v>-40990</v>
      </c>
      <c r="AH137" s="327" t="b">
        <f t="shared" ca="1" si="19"/>
        <v>0</v>
      </c>
      <c r="AI137" s="327" t="b">
        <f>OR(Table17[[#This Row],[Priority]]="04. High",Table17[[#This Row],[Priority]]="05. Critical",Table17[[#This Row],[Priority]]="03. Moderate")</f>
        <v>1</v>
      </c>
      <c r="AJ137" s="185"/>
      <c r="AK137" s="185"/>
      <c r="AL137" s="185"/>
      <c r="AM137" s="185"/>
      <c r="AN137" s="185"/>
      <c r="AO137" s="185"/>
      <c r="AP137" s="185"/>
      <c r="AQ137" s="185"/>
      <c r="AR137" s="185"/>
      <c r="AS137" s="185"/>
      <c r="AT137" s="185"/>
      <c r="AU137" s="185"/>
      <c r="AV137" s="185"/>
      <c r="AW137" s="185"/>
      <c r="AX137" s="185"/>
      <c r="AY137" s="185"/>
      <c r="AZ137" s="185"/>
      <c r="BA137" s="185"/>
      <c r="BB137" s="185"/>
      <c r="BC137" s="185"/>
      <c r="BD137" s="185"/>
      <c r="BE137" s="185"/>
      <c r="BF137" s="185"/>
      <c r="BG137" s="185"/>
      <c r="BH137" s="185"/>
      <c r="BI137" s="185"/>
      <c r="BJ137" s="185"/>
      <c r="BK137" s="185"/>
      <c r="BL137" s="185"/>
      <c r="BM137" s="185"/>
      <c r="BN137" s="185"/>
      <c r="BO137" s="185"/>
      <c r="BP137" s="185"/>
      <c r="BQ137" s="185"/>
      <c r="BR137" s="185"/>
      <c r="BS137" s="185"/>
      <c r="BT137" s="185"/>
      <c r="BU137" s="185"/>
      <c r="BV137" s="185"/>
      <c r="BW137" s="185"/>
      <c r="BX137" s="185"/>
      <c r="BY137" s="185"/>
      <c r="BZ137" s="185"/>
      <c r="CA137" s="185"/>
      <c r="CB137" s="185"/>
      <c r="CC137" s="185"/>
      <c r="CD137" s="185"/>
      <c r="CE137" s="185"/>
      <c r="CF137" s="185"/>
      <c r="CG137" s="185"/>
      <c r="CH137" s="185"/>
      <c r="CI137" s="185"/>
      <c r="CJ137" s="185"/>
      <c r="CK137" s="185"/>
      <c r="CL137" s="185"/>
      <c r="CM137" s="185"/>
      <c r="CN137" s="185"/>
      <c r="CO137" s="185"/>
      <c r="CP137" s="185"/>
      <c r="CQ137" s="185"/>
      <c r="CR137" s="185"/>
      <c r="CS137" s="185"/>
      <c r="CT137" s="185"/>
      <c r="CU137" s="185"/>
      <c r="CV137" s="185"/>
      <c r="CW137" s="185"/>
      <c r="CX137" s="185"/>
      <c r="CY137" s="185"/>
      <c r="CZ137" s="185"/>
      <c r="DA137" s="185"/>
      <c r="DB137" s="185"/>
      <c r="DC137" s="185"/>
      <c r="DD137" s="185"/>
      <c r="DE137" s="185"/>
      <c r="DF137" s="185"/>
      <c r="DG137" s="185"/>
      <c r="DH137" s="185"/>
      <c r="DI137" s="185"/>
      <c r="DJ137" s="185"/>
      <c r="DK137" s="185"/>
      <c r="DL137" s="185"/>
      <c r="DM137" s="185"/>
      <c r="DN137" s="185"/>
      <c r="DO137" s="185"/>
      <c r="DP137" s="185"/>
      <c r="DQ137" s="185"/>
      <c r="DR137" s="185"/>
      <c r="DS137" s="185"/>
      <c r="DT137" s="185"/>
      <c r="DU137" s="185"/>
      <c r="DV137" s="185"/>
      <c r="DW137" s="185"/>
      <c r="DX137" s="185"/>
      <c r="DY137" s="185"/>
      <c r="DZ137" s="185"/>
      <c r="EA137" s="185"/>
      <c r="EB137" s="185"/>
      <c r="EC137" s="185"/>
      <c r="ED137" s="185"/>
      <c r="EE137" s="185"/>
      <c r="EF137" s="185"/>
      <c r="EG137" s="185"/>
      <c r="EH137" s="185"/>
      <c r="EI137" s="185"/>
      <c r="EJ137" s="185"/>
      <c r="EK137" s="185"/>
      <c r="EL137" s="185"/>
      <c r="EM137" s="185"/>
      <c r="EN137" s="185"/>
      <c r="EO137" s="185"/>
      <c r="EP137" s="185"/>
      <c r="EQ137" s="185"/>
      <c r="ER137" s="185"/>
      <c r="ES137" s="185"/>
      <c r="ET137" s="185"/>
      <c r="EU137" s="185"/>
      <c r="EV137" s="185"/>
      <c r="EW137" s="185"/>
      <c r="EX137" s="185"/>
      <c r="EY137" s="185"/>
      <c r="EZ137" s="185"/>
      <c r="FA137" s="185"/>
      <c r="FB137" s="185"/>
      <c r="FC137" s="185"/>
      <c r="FD137" s="185"/>
      <c r="FE137" s="185"/>
      <c r="FF137" s="185"/>
      <c r="FG137" s="185"/>
      <c r="FH137" s="185"/>
      <c r="FI137" s="185"/>
      <c r="FJ137" s="185"/>
      <c r="FK137" s="185"/>
    </row>
    <row r="138" spans="1:167" s="186" customFormat="1" ht="96" hidden="1">
      <c r="A138" s="3" t="s">
        <v>655</v>
      </c>
      <c r="B138" s="81">
        <v>40883</v>
      </c>
      <c r="C138" s="91"/>
      <c r="D138" s="70" t="s">
        <v>676</v>
      </c>
      <c r="E138" s="70"/>
      <c r="F138" s="56" t="s">
        <v>823</v>
      </c>
      <c r="G138" s="91"/>
      <c r="H138" s="91"/>
      <c r="I138" s="91"/>
      <c r="J138" s="91"/>
      <c r="K138" s="91" t="s">
        <v>1557</v>
      </c>
      <c r="L138" s="127"/>
      <c r="M138" s="56" t="s">
        <v>828</v>
      </c>
      <c r="N138" s="56" t="s">
        <v>150</v>
      </c>
      <c r="O138" s="56"/>
      <c r="P138" s="56"/>
      <c r="Q138" s="81">
        <v>40884</v>
      </c>
      <c r="R138" s="110"/>
      <c r="S138" s="56" t="s">
        <v>827</v>
      </c>
      <c r="T138" s="56"/>
      <c r="U138" s="89" t="s">
        <v>839</v>
      </c>
      <c r="V138" s="128">
        <v>40896</v>
      </c>
      <c r="W138" s="31"/>
      <c r="X138" s="185"/>
      <c r="Y138" s="176" t="str">
        <f>IF(Table17[[#This Row],[Required Resolution Date]]="","FALSE",IF($AA$1&gt;Table17[[#This Row],[Required Resolution Date]],"TRUE","FALSE"))</f>
        <v>FALSE</v>
      </c>
      <c r="Z138" s="175">
        <f t="shared" si="15"/>
        <v>0</v>
      </c>
      <c r="AA138" s="185"/>
      <c r="AB138" s="327" t="b">
        <f>OR(Table17[[#This Row],[Priority]]="04. High",Table17[[#This Row],[Priority]]="05. Critical")</f>
        <v>0</v>
      </c>
      <c r="AC138" s="284">
        <f ca="1">$AA$1-Table17[[#This Row],[Date captured]]</f>
        <v>107</v>
      </c>
      <c r="AD138" s="327" t="b">
        <f t="shared" ca="1" si="16"/>
        <v>0</v>
      </c>
      <c r="AE138" s="327" t="b">
        <f t="shared" ca="1" si="17"/>
        <v>1</v>
      </c>
      <c r="AF138" s="327" t="b">
        <f t="shared" ca="1" si="18"/>
        <v>0</v>
      </c>
      <c r="AG138" s="284">
        <f ca="1">Table17[[#This Row],[Required Resolution Date]]-$AA$1</f>
        <v>-40990</v>
      </c>
      <c r="AH138" s="327" t="b">
        <f t="shared" ca="1" si="19"/>
        <v>0</v>
      </c>
      <c r="AI138" s="327" t="b">
        <f>OR(Table17[[#This Row],[Priority]]="04. High",Table17[[#This Row],[Priority]]="05. Critical",Table17[[#This Row],[Priority]]="03. Moderate")</f>
        <v>1</v>
      </c>
      <c r="AJ138" s="185"/>
      <c r="AK138" s="185"/>
      <c r="AL138" s="185"/>
      <c r="AM138" s="185"/>
      <c r="AN138" s="185"/>
      <c r="AO138" s="185"/>
      <c r="AP138" s="185"/>
      <c r="AQ138" s="185"/>
      <c r="AR138" s="185"/>
      <c r="AS138" s="185"/>
      <c r="AT138" s="185"/>
      <c r="AU138" s="185"/>
      <c r="AV138" s="185"/>
      <c r="AW138" s="185"/>
      <c r="AX138" s="185"/>
      <c r="AY138" s="185"/>
      <c r="AZ138" s="185"/>
      <c r="BA138" s="185"/>
      <c r="BB138" s="185"/>
      <c r="BC138" s="185"/>
      <c r="BD138" s="185"/>
      <c r="BE138" s="185"/>
      <c r="BF138" s="185"/>
      <c r="BG138" s="185"/>
      <c r="BH138" s="185"/>
      <c r="BI138" s="185"/>
      <c r="BJ138" s="185"/>
      <c r="BK138" s="185"/>
      <c r="BL138" s="185"/>
      <c r="BM138" s="185"/>
      <c r="BN138" s="185"/>
      <c r="BO138" s="185"/>
      <c r="BP138" s="185"/>
      <c r="BQ138" s="185"/>
      <c r="BR138" s="185"/>
      <c r="BS138" s="185"/>
      <c r="BT138" s="185"/>
      <c r="BU138" s="185"/>
      <c r="BV138" s="185"/>
      <c r="BW138" s="185"/>
      <c r="BX138" s="185"/>
      <c r="BY138" s="185"/>
      <c r="BZ138" s="185"/>
      <c r="CA138" s="185"/>
      <c r="CB138" s="185"/>
      <c r="CC138" s="185"/>
      <c r="CD138" s="185"/>
      <c r="CE138" s="185"/>
      <c r="CF138" s="185"/>
      <c r="CG138" s="185"/>
      <c r="CH138" s="185"/>
      <c r="CI138" s="185"/>
      <c r="CJ138" s="185"/>
      <c r="CK138" s="185"/>
      <c r="CL138" s="185"/>
      <c r="CM138" s="185"/>
      <c r="CN138" s="185"/>
      <c r="CO138" s="185"/>
      <c r="CP138" s="185"/>
      <c r="CQ138" s="185"/>
      <c r="CR138" s="185"/>
      <c r="CS138" s="185"/>
      <c r="CT138" s="185"/>
      <c r="CU138" s="185"/>
      <c r="CV138" s="185"/>
      <c r="CW138" s="185"/>
      <c r="CX138" s="185"/>
      <c r="CY138" s="185"/>
      <c r="CZ138" s="185"/>
      <c r="DA138" s="185"/>
      <c r="DB138" s="185"/>
      <c r="DC138" s="185"/>
      <c r="DD138" s="185"/>
      <c r="DE138" s="185"/>
      <c r="DF138" s="185"/>
      <c r="DG138" s="185"/>
      <c r="DH138" s="185"/>
      <c r="DI138" s="185"/>
      <c r="DJ138" s="185"/>
      <c r="DK138" s="185"/>
      <c r="DL138" s="185"/>
      <c r="DM138" s="185"/>
      <c r="DN138" s="185"/>
      <c r="DO138" s="185"/>
      <c r="DP138" s="185"/>
      <c r="DQ138" s="185"/>
      <c r="DR138" s="185"/>
      <c r="DS138" s="185"/>
      <c r="DT138" s="185"/>
      <c r="DU138" s="185"/>
      <c r="DV138" s="185"/>
      <c r="DW138" s="185"/>
      <c r="DX138" s="185"/>
      <c r="DY138" s="185"/>
      <c r="DZ138" s="185"/>
      <c r="EA138" s="185"/>
      <c r="EB138" s="185"/>
      <c r="EC138" s="185"/>
      <c r="ED138" s="185"/>
      <c r="EE138" s="185"/>
      <c r="EF138" s="185"/>
      <c r="EG138" s="185"/>
      <c r="EH138" s="185"/>
      <c r="EI138" s="185"/>
      <c r="EJ138" s="185"/>
      <c r="EK138" s="185"/>
      <c r="EL138" s="185"/>
      <c r="EM138" s="185"/>
      <c r="EN138" s="185"/>
      <c r="EO138" s="185"/>
      <c r="EP138" s="185"/>
      <c r="EQ138" s="185"/>
      <c r="ER138" s="185"/>
      <c r="ES138" s="185"/>
      <c r="ET138" s="185"/>
      <c r="EU138" s="185"/>
      <c r="EV138" s="185"/>
      <c r="EW138" s="185"/>
      <c r="EX138" s="185"/>
      <c r="EY138" s="185"/>
      <c r="EZ138" s="185"/>
      <c r="FA138" s="185"/>
      <c r="FB138" s="185"/>
      <c r="FC138" s="185"/>
      <c r="FD138" s="185"/>
      <c r="FE138" s="185"/>
      <c r="FF138" s="185"/>
      <c r="FG138" s="185"/>
      <c r="FH138" s="185"/>
      <c r="FI138" s="185"/>
      <c r="FJ138" s="185"/>
      <c r="FK138" s="185"/>
    </row>
    <row r="139" spans="1:167" s="186" customFormat="1" ht="135">
      <c r="A139" s="174" t="s">
        <v>662</v>
      </c>
      <c r="B139" s="145">
        <v>40889</v>
      </c>
      <c r="C139" s="326" t="s">
        <v>1570</v>
      </c>
      <c r="D139" s="325" t="s">
        <v>15</v>
      </c>
      <c r="E139" s="326"/>
      <c r="F139" s="146" t="s">
        <v>833</v>
      </c>
      <c r="G139" s="326" t="s">
        <v>690</v>
      </c>
      <c r="H139" s="326" t="s">
        <v>690</v>
      </c>
      <c r="I139" s="326" t="s">
        <v>690</v>
      </c>
      <c r="J139" s="326" t="s">
        <v>690</v>
      </c>
      <c r="K139" s="326" t="s">
        <v>151</v>
      </c>
      <c r="L139" s="333" t="s">
        <v>186</v>
      </c>
      <c r="M139" s="146" t="s">
        <v>836</v>
      </c>
      <c r="N139" s="146" t="s">
        <v>311</v>
      </c>
      <c r="O139" s="146"/>
      <c r="P139" s="146" t="s">
        <v>3003</v>
      </c>
      <c r="Q139" s="147">
        <v>41010</v>
      </c>
      <c r="R139" s="148">
        <v>41017</v>
      </c>
      <c r="S139" s="149" t="s">
        <v>3004</v>
      </c>
      <c r="T139" s="149" t="s">
        <v>1574</v>
      </c>
      <c r="U139" s="149"/>
      <c r="V139" s="150"/>
      <c r="W139" s="326"/>
      <c r="X139" s="185"/>
      <c r="Y139" s="176" t="str">
        <f ca="1">IF(Table17[[#This Row],[Required Resolution Date]]="","FALSE",IF($AA$1&gt;Table17[[#This Row],[Required Resolution Date]],"TRUE","FALSE"))</f>
        <v>FALSE</v>
      </c>
      <c r="Z139" s="175">
        <f t="shared" ca="1" si="15"/>
        <v>0</v>
      </c>
      <c r="AA139" s="185"/>
      <c r="AB139" s="327" t="b">
        <f>OR(Table17[[#This Row],[Priority]]="04. High",Table17[[#This Row],[Priority]]="05. Critical")</f>
        <v>1</v>
      </c>
      <c r="AC139" s="284">
        <f ca="1">$AA$1-Table17[[#This Row],[Date captured]]</f>
        <v>101</v>
      </c>
      <c r="AD139" s="327" t="b">
        <f t="shared" ca="1" si="16"/>
        <v>0</v>
      </c>
      <c r="AE139" s="327" t="b">
        <f t="shared" ca="1" si="17"/>
        <v>1</v>
      </c>
      <c r="AF139" s="327" t="b">
        <f t="shared" ca="1" si="18"/>
        <v>0</v>
      </c>
      <c r="AG139" s="284">
        <f ca="1">Table17[[#This Row],[Required Resolution Date]]-$AA$1</f>
        <v>27</v>
      </c>
      <c r="AH139" s="327" t="b">
        <f t="shared" ca="1" si="19"/>
        <v>0</v>
      </c>
      <c r="AI139" s="327" t="b">
        <f>OR(Table17[[#This Row],[Priority]]="04. High",Table17[[#This Row],[Priority]]="05. Critical",Table17[[#This Row],[Priority]]="03. Moderate")</f>
        <v>1</v>
      </c>
      <c r="AJ139" s="185"/>
      <c r="AK139" s="185"/>
      <c r="AL139" s="185"/>
      <c r="AM139" s="185"/>
      <c r="AN139" s="185"/>
      <c r="AO139" s="185"/>
      <c r="AP139" s="185"/>
      <c r="AQ139" s="185"/>
      <c r="AR139" s="185"/>
      <c r="AS139" s="185"/>
      <c r="AT139" s="185"/>
      <c r="AU139" s="185"/>
      <c r="AV139" s="185"/>
      <c r="AW139" s="185"/>
      <c r="AX139" s="185"/>
      <c r="AY139" s="185"/>
      <c r="AZ139" s="185"/>
      <c r="BA139" s="185"/>
      <c r="BB139" s="185"/>
      <c r="BC139" s="185"/>
      <c r="BD139" s="185"/>
      <c r="BE139" s="185"/>
      <c r="BF139" s="185"/>
      <c r="BG139" s="185"/>
      <c r="BH139" s="185"/>
      <c r="BI139" s="185"/>
      <c r="BJ139" s="185"/>
      <c r="BK139" s="185"/>
      <c r="BL139" s="185"/>
      <c r="BM139" s="185"/>
      <c r="BN139" s="185"/>
      <c r="BO139" s="185"/>
      <c r="BP139" s="185"/>
      <c r="BQ139" s="185"/>
      <c r="BR139" s="185"/>
      <c r="BS139" s="185"/>
      <c r="BT139" s="185"/>
      <c r="BU139" s="185"/>
      <c r="BV139" s="185"/>
      <c r="BW139" s="185"/>
      <c r="BX139" s="185"/>
      <c r="BY139" s="185"/>
      <c r="BZ139" s="185"/>
      <c r="CA139" s="185"/>
      <c r="CB139" s="185"/>
      <c r="CC139" s="185"/>
      <c r="CD139" s="185"/>
      <c r="CE139" s="185"/>
      <c r="CF139" s="185"/>
      <c r="CG139" s="185"/>
      <c r="CH139" s="185"/>
      <c r="CI139" s="185"/>
      <c r="CJ139" s="185"/>
      <c r="CK139" s="185"/>
      <c r="CL139" s="185"/>
      <c r="CM139" s="185"/>
      <c r="CN139" s="185"/>
      <c r="CO139" s="185"/>
      <c r="CP139" s="185"/>
      <c r="CQ139" s="185"/>
      <c r="CR139" s="185"/>
      <c r="CS139" s="185"/>
      <c r="CT139" s="185"/>
      <c r="CU139" s="185"/>
      <c r="CV139" s="185"/>
      <c r="CW139" s="185"/>
      <c r="CX139" s="185"/>
      <c r="CY139" s="185"/>
      <c r="CZ139" s="185"/>
      <c r="DA139" s="185"/>
      <c r="DB139" s="185"/>
      <c r="DC139" s="185"/>
      <c r="DD139" s="185"/>
      <c r="DE139" s="185"/>
      <c r="DF139" s="185"/>
      <c r="DG139" s="185"/>
      <c r="DH139" s="185"/>
      <c r="DI139" s="185"/>
      <c r="DJ139" s="185"/>
      <c r="DK139" s="185"/>
      <c r="DL139" s="185"/>
      <c r="DM139" s="185"/>
      <c r="DN139" s="185"/>
      <c r="DO139" s="185"/>
      <c r="DP139" s="185"/>
      <c r="DQ139" s="185"/>
      <c r="DR139" s="185"/>
      <c r="DS139" s="185"/>
      <c r="DT139" s="185"/>
      <c r="DU139" s="185"/>
      <c r="DV139" s="185"/>
      <c r="DW139" s="185"/>
      <c r="DX139" s="185"/>
      <c r="DY139" s="185"/>
      <c r="DZ139" s="185"/>
      <c r="EA139" s="185"/>
      <c r="EB139" s="185"/>
      <c r="EC139" s="185"/>
      <c r="ED139" s="185"/>
      <c r="EE139" s="185"/>
      <c r="EF139" s="185"/>
      <c r="EG139" s="185"/>
      <c r="EH139" s="185"/>
      <c r="EI139" s="185"/>
      <c r="EJ139" s="185"/>
      <c r="EK139" s="185"/>
      <c r="EL139" s="185"/>
      <c r="EM139" s="185"/>
      <c r="EN139" s="185"/>
      <c r="EO139" s="185"/>
      <c r="EP139" s="185"/>
      <c r="EQ139" s="185"/>
      <c r="ER139" s="185"/>
      <c r="ES139" s="185"/>
      <c r="ET139" s="185"/>
      <c r="EU139" s="185"/>
      <c r="EV139" s="185"/>
      <c r="EW139" s="185"/>
      <c r="EX139" s="185"/>
      <c r="EY139" s="185"/>
      <c r="EZ139" s="185"/>
      <c r="FA139" s="185"/>
      <c r="FB139" s="185"/>
      <c r="FC139" s="185"/>
      <c r="FD139" s="185"/>
      <c r="FE139" s="185"/>
      <c r="FF139" s="185"/>
      <c r="FG139" s="185"/>
      <c r="FH139" s="185"/>
      <c r="FI139" s="185"/>
      <c r="FJ139" s="185"/>
      <c r="FK139" s="185"/>
    </row>
    <row r="140" spans="1:167" s="186" customFormat="1" ht="67.5" hidden="1">
      <c r="A140" s="174" t="s">
        <v>657</v>
      </c>
      <c r="B140" s="142">
        <v>40883</v>
      </c>
      <c r="C140" s="326" t="s">
        <v>1570</v>
      </c>
      <c r="D140" s="155" t="s">
        <v>676</v>
      </c>
      <c r="E140" s="143"/>
      <c r="F140" s="324" t="s">
        <v>824</v>
      </c>
      <c r="G140" s="326"/>
      <c r="H140" s="326"/>
      <c r="I140" s="326"/>
      <c r="J140" s="326"/>
      <c r="K140" s="326" t="s">
        <v>1558</v>
      </c>
      <c r="L140" s="333" t="s">
        <v>186</v>
      </c>
      <c r="M140" s="324" t="s">
        <v>317</v>
      </c>
      <c r="N140" s="324" t="s">
        <v>311</v>
      </c>
      <c r="O140" s="324"/>
      <c r="P140" s="324"/>
      <c r="Q140" s="142">
        <v>40940</v>
      </c>
      <c r="R140" s="144">
        <v>40940</v>
      </c>
      <c r="S140" s="324" t="s">
        <v>2455</v>
      </c>
      <c r="T140" s="324"/>
      <c r="U140" s="271" t="s">
        <v>2454</v>
      </c>
      <c r="V140" s="157">
        <v>40974</v>
      </c>
      <c r="W140" s="326" t="s">
        <v>656</v>
      </c>
      <c r="X140" s="185"/>
      <c r="Y140" s="176" t="str">
        <f ca="1">IF(Table17[[#This Row],[Required Resolution Date]]="","FALSE",IF($AA$1&gt;Table17[[#This Row],[Required Resolution Date]],"TRUE","FALSE"))</f>
        <v>TRUE</v>
      </c>
      <c r="Z140" s="175">
        <f t="shared" ca="1" si="15"/>
        <v>1</v>
      </c>
      <c r="AA140" s="185"/>
      <c r="AB140" s="327" t="b">
        <f>OR(Table17[[#This Row],[Priority]]="04. High",Table17[[#This Row],[Priority]]="05. Critical")</f>
        <v>0</v>
      </c>
      <c r="AC140" s="284">
        <f ca="1">$AA$1-Table17[[#This Row],[Date captured]]</f>
        <v>107</v>
      </c>
      <c r="AD140" s="327" t="b">
        <f t="shared" ca="1" si="16"/>
        <v>0</v>
      </c>
      <c r="AE140" s="327" t="b">
        <f t="shared" ca="1" si="17"/>
        <v>1</v>
      </c>
      <c r="AF140" s="327" t="b">
        <f t="shared" ca="1" si="18"/>
        <v>0</v>
      </c>
      <c r="AG140" s="284">
        <f ca="1">Table17[[#This Row],[Required Resolution Date]]-$AA$1</f>
        <v>-50</v>
      </c>
      <c r="AH140" s="327" t="b">
        <f t="shared" ca="1" si="19"/>
        <v>0</v>
      </c>
      <c r="AI140" s="327" t="b">
        <f>OR(Table17[[#This Row],[Priority]]="04. High",Table17[[#This Row],[Priority]]="05. Critical",Table17[[#This Row],[Priority]]="03. Moderate")</f>
        <v>0</v>
      </c>
      <c r="AJ140" s="185"/>
      <c r="AK140" s="185"/>
      <c r="AL140" s="185"/>
      <c r="AM140" s="185"/>
      <c r="AN140" s="185"/>
      <c r="AO140" s="185"/>
      <c r="AP140" s="185"/>
      <c r="AQ140" s="185"/>
      <c r="AR140" s="185"/>
      <c r="AS140" s="185"/>
      <c r="AT140" s="185"/>
      <c r="AU140" s="185"/>
      <c r="AV140" s="185"/>
      <c r="AW140" s="185"/>
      <c r="AX140" s="185"/>
      <c r="AY140" s="185"/>
      <c r="AZ140" s="185"/>
      <c r="BA140" s="185"/>
      <c r="BB140" s="185"/>
      <c r="BC140" s="185"/>
      <c r="BD140" s="185"/>
      <c r="BE140" s="185"/>
      <c r="BF140" s="185"/>
      <c r="BG140" s="185"/>
      <c r="BH140" s="185"/>
      <c r="BI140" s="185"/>
      <c r="BJ140" s="185"/>
      <c r="BK140" s="185"/>
      <c r="BL140" s="185"/>
      <c r="BM140" s="185"/>
      <c r="BN140" s="185"/>
      <c r="BO140" s="185"/>
      <c r="BP140" s="185"/>
      <c r="BQ140" s="185"/>
      <c r="BR140" s="185"/>
      <c r="BS140" s="185"/>
      <c r="BT140" s="185"/>
      <c r="BU140" s="185"/>
      <c r="BV140" s="185"/>
      <c r="BW140" s="185"/>
      <c r="BX140" s="185"/>
      <c r="BY140" s="185"/>
      <c r="BZ140" s="185"/>
      <c r="CA140" s="185"/>
      <c r="CB140" s="185"/>
      <c r="CC140" s="185"/>
      <c r="CD140" s="185"/>
      <c r="CE140" s="185"/>
      <c r="CF140" s="185"/>
      <c r="CG140" s="185"/>
      <c r="CH140" s="185"/>
      <c r="CI140" s="185"/>
      <c r="CJ140" s="185"/>
      <c r="CK140" s="185"/>
      <c r="CL140" s="185"/>
      <c r="CM140" s="185"/>
      <c r="CN140" s="185"/>
      <c r="CO140" s="185"/>
      <c r="CP140" s="185"/>
      <c r="CQ140" s="185"/>
      <c r="CR140" s="185"/>
      <c r="CS140" s="185"/>
      <c r="CT140" s="185"/>
      <c r="CU140" s="185"/>
      <c r="CV140" s="185"/>
      <c r="CW140" s="185"/>
      <c r="CX140" s="185"/>
      <c r="CY140" s="185"/>
      <c r="CZ140" s="185"/>
      <c r="DA140" s="185"/>
      <c r="DB140" s="185"/>
      <c r="DC140" s="185"/>
      <c r="DD140" s="185"/>
      <c r="DE140" s="185"/>
      <c r="DF140" s="185"/>
      <c r="DG140" s="185"/>
      <c r="DH140" s="185"/>
      <c r="DI140" s="185"/>
      <c r="DJ140" s="185"/>
      <c r="DK140" s="185"/>
      <c r="DL140" s="185"/>
      <c r="DM140" s="185"/>
      <c r="DN140" s="185"/>
      <c r="DO140" s="185"/>
      <c r="DP140" s="185"/>
      <c r="DQ140" s="185"/>
      <c r="DR140" s="185"/>
      <c r="DS140" s="185"/>
      <c r="DT140" s="185"/>
      <c r="DU140" s="185"/>
      <c r="DV140" s="185"/>
      <c r="DW140" s="185"/>
      <c r="DX140" s="185"/>
      <c r="DY140" s="185"/>
      <c r="DZ140" s="185"/>
      <c r="EA140" s="185"/>
      <c r="EB140" s="185"/>
      <c r="EC140" s="185"/>
      <c r="ED140" s="185"/>
      <c r="EE140" s="185"/>
      <c r="EF140" s="185"/>
      <c r="EG140" s="185"/>
      <c r="EH140" s="185"/>
      <c r="EI140" s="185"/>
      <c r="EJ140" s="185"/>
      <c r="EK140" s="185"/>
      <c r="EL140" s="185"/>
      <c r="EM140" s="185"/>
      <c r="EN140" s="185"/>
      <c r="EO140" s="185"/>
      <c r="EP140" s="185"/>
      <c r="EQ140" s="185"/>
      <c r="ER140" s="185"/>
      <c r="ES140" s="185"/>
      <c r="ET140" s="185"/>
      <c r="EU140" s="185"/>
      <c r="EV140" s="185"/>
      <c r="EW140" s="185"/>
      <c r="EX140" s="185"/>
      <c r="EY140" s="185"/>
      <c r="EZ140" s="185"/>
      <c r="FA140" s="185"/>
      <c r="FB140" s="185"/>
      <c r="FC140" s="185"/>
      <c r="FD140" s="185"/>
      <c r="FE140" s="185"/>
      <c r="FF140" s="185"/>
      <c r="FG140" s="185"/>
      <c r="FH140" s="185"/>
      <c r="FI140" s="185"/>
      <c r="FJ140" s="185"/>
      <c r="FK140" s="185"/>
    </row>
    <row r="141" spans="1:167" s="186" customFormat="1" ht="48" hidden="1">
      <c r="A141" s="3" t="s">
        <v>589</v>
      </c>
      <c r="B141" s="78">
        <v>40655</v>
      </c>
      <c r="C141" s="91"/>
      <c r="D141" s="71" t="s">
        <v>676</v>
      </c>
      <c r="E141" s="71"/>
      <c r="F141" s="71" t="s">
        <v>825</v>
      </c>
      <c r="G141" s="91"/>
      <c r="H141" s="91"/>
      <c r="I141" s="91"/>
      <c r="J141" s="91"/>
      <c r="K141" s="91" t="s">
        <v>151</v>
      </c>
      <c r="L141" s="127"/>
      <c r="M141" s="71" t="s">
        <v>829</v>
      </c>
      <c r="N141" s="71" t="s">
        <v>150</v>
      </c>
      <c r="O141" s="71"/>
      <c r="P141" s="71"/>
      <c r="Q141" s="78">
        <v>40660</v>
      </c>
      <c r="R141" s="105">
        <v>40660</v>
      </c>
      <c r="S141" s="103" t="s">
        <v>830</v>
      </c>
      <c r="T141" s="103"/>
      <c r="U141" s="442" t="s">
        <v>3063</v>
      </c>
      <c r="V141" s="87">
        <v>40660</v>
      </c>
      <c r="W141" s="31"/>
      <c r="X141" s="185"/>
      <c r="Y141" s="176" t="str">
        <f ca="1">IF(Table17[[#This Row],[Required Resolution Date]]="","FALSE",IF($AA$1&gt;Table17[[#This Row],[Required Resolution Date]],"TRUE","FALSE"))</f>
        <v>TRUE</v>
      </c>
      <c r="Z141" s="175">
        <f t="shared" ca="1" si="15"/>
        <v>1</v>
      </c>
      <c r="AA141" s="185"/>
      <c r="AB141" s="327" t="b">
        <f>OR(Table17[[#This Row],[Priority]]="04. High",Table17[[#This Row],[Priority]]="05. Critical")</f>
        <v>1</v>
      </c>
      <c r="AC141" s="284">
        <f ca="1">$AA$1-Table17[[#This Row],[Date captured]]</f>
        <v>335</v>
      </c>
      <c r="AD141" s="327" t="b">
        <f t="shared" ca="1" si="16"/>
        <v>0</v>
      </c>
      <c r="AE141" s="327" t="b">
        <f t="shared" ca="1" si="17"/>
        <v>0</v>
      </c>
      <c r="AF141" s="327" t="b">
        <f t="shared" ca="1" si="18"/>
        <v>1</v>
      </c>
      <c r="AG141" s="284">
        <f ca="1">Table17[[#This Row],[Required Resolution Date]]-$AA$1</f>
        <v>-330</v>
      </c>
      <c r="AH141" s="327" t="b">
        <f t="shared" ca="1" si="19"/>
        <v>0</v>
      </c>
      <c r="AI141" s="327" t="b">
        <f>OR(Table17[[#This Row],[Priority]]="04. High",Table17[[#This Row],[Priority]]="05. Critical",Table17[[#This Row],[Priority]]="03. Moderate")</f>
        <v>1</v>
      </c>
      <c r="AJ141" s="185"/>
      <c r="AK141" s="185"/>
      <c r="AL141" s="185"/>
      <c r="AM141" s="185"/>
      <c r="AN141" s="185"/>
      <c r="AO141" s="185"/>
      <c r="AP141" s="185"/>
      <c r="AQ141" s="185"/>
      <c r="AR141" s="185"/>
      <c r="AS141" s="185"/>
      <c r="AT141" s="185"/>
      <c r="AU141" s="185"/>
      <c r="AV141" s="185"/>
      <c r="AW141" s="185"/>
      <c r="AX141" s="185"/>
      <c r="AY141" s="185"/>
      <c r="AZ141" s="185"/>
      <c r="BA141" s="185"/>
      <c r="BB141" s="185"/>
      <c r="BC141" s="185"/>
      <c r="BD141" s="185"/>
      <c r="BE141" s="185"/>
      <c r="BF141" s="185"/>
      <c r="BG141" s="185"/>
      <c r="BH141" s="185"/>
      <c r="BI141" s="185"/>
      <c r="BJ141" s="185"/>
      <c r="BK141" s="185"/>
      <c r="BL141" s="185"/>
      <c r="BM141" s="185"/>
      <c r="BN141" s="185"/>
      <c r="BO141" s="185"/>
      <c r="BP141" s="185"/>
      <c r="BQ141" s="185"/>
      <c r="BR141" s="185"/>
      <c r="BS141" s="185"/>
      <c r="BT141" s="185"/>
      <c r="BU141" s="185"/>
      <c r="BV141" s="185"/>
      <c r="BW141" s="185"/>
      <c r="BX141" s="185"/>
      <c r="BY141" s="185"/>
      <c r="BZ141" s="185"/>
      <c r="CA141" s="185"/>
      <c r="CB141" s="185"/>
      <c r="CC141" s="185"/>
      <c r="CD141" s="185"/>
      <c r="CE141" s="185"/>
      <c r="CF141" s="185"/>
      <c r="CG141" s="185"/>
      <c r="CH141" s="185"/>
      <c r="CI141" s="185"/>
      <c r="CJ141" s="185"/>
      <c r="CK141" s="185"/>
      <c r="CL141" s="185"/>
      <c r="CM141" s="185"/>
      <c r="CN141" s="185"/>
      <c r="CO141" s="185"/>
      <c r="CP141" s="185"/>
      <c r="CQ141" s="185"/>
      <c r="CR141" s="185"/>
      <c r="CS141" s="185"/>
      <c r="CT141" s="185"/>
      <c r="CU141" s="185"/>
      <c r="CV141" s="185"/>
      <c r="CW141" s="185"/>
      <c r="CX141" s="185"/>
      <c r="CY141" s="185"/>
      <c r="CZ141" s="185"/>
      <c r="DA141" s="185"/>
      <c r="DB141" s="185"/>
      <c r="DC141" s="185"/>
      <c r="DD141" s="185"/>
      <c r="DE141" s="185"/>
      <c r="DF141" s="185"/>
      <c r="DG141" s="185"/>
      <c r="DH141" s="185"/>
      <c r="DI141" s="185"/>
      <c r="DJ141" s="185"/>
      <c r="DK141" s="185"/>
      <c r="DL141" s="185"/>
      <c r="DM141" s="185"/>
      <c r="DN141" s="185"/>
      <c r="DO141" s="185"/>
      <c r="DP141" s="185"/>
      <c r="DQ141" s="185"/>
      <c r="DR141" s="185"/>
      <c r="DS141" s="185"/>
      <c r="DT141" s="185"/>
      <c r="DU141" s="185"/>
      <c r="DV141" s="185"/>
      <c r="DW141" s="185"/>
      <c r="DX141" s="185"/>
      <c r="DY141" s="185"/>
      <c r="DZ141" s="185"/>
      <c r="EA141" s="185"/>
      <c r="EB141" s="185"/>
      <c r="EC141" s="185"/>
      <c r="ED141" s="185"/>
      <c r="EE141" s="185"/>
      <c r="EF141" s="185"/>
      <c r="EG141" s="185"/>
      <c r="EH141" s="185"/>
      <c r="EI141" s="185"/>
      <c r="EJ141" s="185"/>
      <c r="EK141" s="185"/>
      <c r="EL141" s="185"/>
      <c r="EM141" s="185"/>
      <c r="EN141" s="185"/>
      <c r="EO141" s="185"/>
      <c r="EP141" s="185"/>
      <c r="EQ141" s="185"/>
      <c r="ER141" s="185"/>
      <c r="ES141" s="185"/>
      <c r="ET141" s="185"/>
      <c r="EU141" s="185"/>
      <c r="EV141" s="185"/>
      <c r="EW141" s="185"/>
      <c r="EX141" s="185"/>
      <c r="EY141" s="185"/>
      <c r="EZ141" s="185"/>
      <c r="FA141" s="185"/>
      <c r="FB141" s="185"/>
      <c r="FC141" s="185"/>
      <c r="FD141" s="185"/>
      <c r="FE141" s="185"/>
      <c r="FF141" s="185"/>
      <c r="FG141" s="185"/>
      <c r="FH141" s="185"/>
      <c r="FI141" s="185"/>
      <c r="FJ141" s="185"/>
      <c r="FK141" s="185"/>
    </row>
    <row r="142" spans="1:167" s="186" customFormat="1" ht="81" hidden="1">
      <c r="A142" s="130" t="s">
        <v>658</v>
      </c>
      <c r="B142" s="145">
        <v>40883</v>
      </c>
      <c r="C142" s="326"/>
      <c r="D142" s="92" t="s">
        <v>676</v>
      </c>
      <c r="E142" s="326"/>
      <c r="F142" s="146" t="s">
        <v>831</v>
      </c>
      <c r="G142" s="141" t="s">
        <v>679</v>
      </c>
      <c r="H142" s="141" t="s">
        <v>679</v>
      </c>
      <c r="I142" s="141" t="s">
        <v>679</v>
      </c>
      <c r="J142" s="141" t="s">
        <v>679</v>
      </c>
      <c r="K142" s="91" t="s">
        <v>1557</v>
      </c>
      <c r="L142" s="127"/>
      <c r="M142" s="146" t="s">
        <v>261</v>
      </c>
      <c r="N142" s="146" t="s">
        <v>150</v>
      </c>
      <c r="O142" s="146"/>
      <c r="P142" s="146" t="s">
        <v>1641</v>
      </c>
      <c r="Q142" s="147">
        <v>40919</v>
      </c>
      <c r="R142" s="148"/>
      <c r="S142" s="324" t="s">
        <v>827</v>
      </c>
      <c r="T142" s="324"/>
      <c r="U142" s="271" t="s">
        <v>1642</v>
      </c>
      <c r="V142" s="150">
        <v>40918</v>
      </c>
      <c r="W142" s="91"/>
      <c r="X142" s="185"/>
      <c r="Y142" s="176" t="str">
        <f>IF(Table17[[#This Row],[Required Resolution Date]]="","FALSE",IF($AA$1&gt;Table17[[#This Row],[Required Resolution Date]],"TRUE","FALSE"))</f>
        <v>FALSE</v>
      </c>
      <c r="Z142" s="175">
        <f t="shared" si="15"/>
        <v>0</v>
      </c>
      <c r="AA142" s="185"/>
      <c r="AB142" s="327" t="b">
        <f>OR(Table17[[#This Row],[Priority]]="04. High",Table17[[#This Row],[Priority]]="05. Critical")</f>
        <v>0</v>
      </c>
      <c r="AC142" s="284">
        <f ca="1">$AA$1-Table17[[#This Row],[Date captured]]</f>
        <v>107</v>
      </c>
      <c r="AD142" s="327" t="b">
        <f t="shared" ca="1" si="16"/>
        <v>0</v>
      </c>
      <c r="AE142" s="327" t="b">
        <f t="shared" ca="1" si="17"/>
        <v>1</v>
      </c>
      <c r="AF142" s="327" t="b">
        <f t="shared" ca="1" si="18"/>
        <v>0</v>
      </c>
      <c r="AG142" s="284">
        <f ca="1">Table17[[#This Row],[Required Resolution Date]]-$AA$1</f>
        <v>-40990</v>
      </c>
      <c r="AH142" s="327" t="b">
        <f t="shared" ca="1" si="19"/>
        <v>0</v>
      </c>
      <c r="AI142" s="327" t="b">
        <f>OR(Table17[[#This Row],[Priority]]="04. High",Table17[[#This Row],[Priority]]="05. Critical",Table17[[#This Row],[Priority]]="03. Moderate")</f>
        <v>1</v>
      </c>
      <c r="AJ142" s="185"/>
      <c r="AK142" s="185"/>
      <c r="AL142" s="185"/>
      <c r="AM142" s="185"/>
      <c r="AN142" s="185"/>
      <c r="AO142" s="185"/>
      <c r="AP142" s="185"/>
      <c r="AQ142" s="185"/>
      <c r="AR142" s="185"/>
      <c r="AS142" s="185"/>
      <c r="AT142" s="185"/>
      <c r="AU142" s="185"/>
      <c r="AV142" s="185"/>
      <c r="AW142" s="185"/>
      <c r="AX142" s="185"/>
      <c r="AY142" s="185"/>
      <c r="AZ142" s="185"/>
      <c r="BA142" s="185"/>
      <c r="BB142" s="185"/>
      <c r="BC142" s="185"/>
      <c r="BD142" s="185"/>
      <c r="BE142" s="185"/>
      <c r="BF142" s="185"/>
      <c r="BG142" s="185"/>
      <c r="BH142" s="185"/>
      <c r="BI142" s="185"/>
      <c r="BJ142" s="185"/>
      <c r="BK142" s="185"/>
      <c r="BL142" s="185"/>
      <c r="BM142" s="185"/>
      <c r="BN142" s="185"/>
      <c r="BO142" s="185"/>
      <c r="BP142" s="185"/>
      <c r="BQ142" s="185"/>
      <c r="BR142" s="185"/>
      <c r="BS142" s="185"/>
      <c r="BT142" s="185"/>
      <c r="BU142" s="185"/>
      <c r="BV142" s="185"/>
      <c r="BW142" s="185"/>
      <c r="BX142" s="185"/>
      <c r="BY142" s="185"/>
      <c r="BZ142" s="185"/>
      <c r="CA142" s="185"/>
      <c r="CB142" s="185"/>
      <c r="CC142" s="185"/>
      <c r="CD142" s="185"/>
      <c r="CE142" s="185"/>
      <c r="CF142" s="185"/>
      <c r="CG142" s="185"/>
      <c r="CH142" s="185"/>
      <c r="CI142" s="185"/>
      <c r="CJ142" s="185"/>
      <c r="CK142" s="185"/>
      <c r="CL142" s="185"/>
      <c r="CM142" s="185"/>
      <c r="CN142" s="185"/>
      <c r="CO142" s="185"/>
      <c r="CP142" s="185"/>
      <c r="CQ142" s="185"/>
      <c r="CR142" s="185"/>
      <c r="CS142" s="185"/>
      <c r="CT142" s="185"/>
      <c r="CU142" s="185"/>
      <c r="CV142" s="185"/>
      <c r="CW142" s="185"/>
      <c r="CX142" s="185"/>
      <c r="CY142" s="185"/>
      <c r="CZ142" s="185"/>
      <c r="DA142" s="185"/>
      <c r="DB142" s="185"/>
      <c r="DC142" s="185"/>
      <c r="DD142" s="185"/>
      <c r="DE142" s="185"/>
      <c r="DF142" s="185"/>
      <c r="DG142" s="185"/>
      <c r="DH142" s="185"/>
      <c r="DI142" s="185"/>
      <c r="DJ142" s="185"/>
      <c r="DK142" s="185"/>
      <c r="DL142" s="185"/>
      <c r="DM142" s="185"/>
      <c r="DN142" s="185"/>
      <c r="DO142" s="185"/>
      <c r="DP142" s="185"/>
      <c r="DQ142" s="185"/>
      <c r="DR142" s="185"/>
      <c r="DS142" s="185"/>
      <c r="DT142" s="185"/>
      <c r="DU142" s="185"/>
      <c r="DV142" s="185"/>
      <c r="DW142" s="185"/>
      <c r="DX142" s="185"/>
      <c r="DY142" s="185"/>
      <c r="DZ142" s="185"/>
      <c r="EA142" s="185"/>
      <c r="EB142" s="185"/>
      <c r="EC142" s="185"/>
      <c r="ED142" s="185"/>
      <c r="EE142" s="185"/>
      <c r="EF142" s="185"/>
      <c r="EG142" s="185"/>
      <c r="EH142" s="185"/>
      <c r="EI142" s="185"/>
      <c r="EJ142" s="185"/>
      <c r="EK142" s="185"/>
      <c r="EL142" s="185"/>
      <c r="EM142" s="185"/>
      <c r="EN142" s="185"/>
      <c r="EO142" s="185"/>
      <c r="EP142" s="185"/>
      <c r="EQ142" s="185"/>
      <c r="ER142" s="185"/>
      <c r="ES142" s="185"/>
      <c r="ET142" s="185"/>
      <c r="EU142" s="185"/>
      <c r="EV142" s="185"/>
      <c r="EW142" s="185"/>
      <c r="EX142" s="185"/>
      <c r="EY142" s="185"/>
      <c r="EZ142" s="185"/>
      <c r="FA142" s="185"/>
      <c r="FB142" s="185"/>
      <c r="FC142" s="185"/>
      <c r="FD142" s="185"/>
      <c r="FE142" s="185"/>
      <c r="FF142" s="185"/>
      <c r="FG142" s="185"/>
      <c r="FH142" s="185"/>
      <c r="FI142" s="185"/>
      <c r="FJ142" s="185"/>
      <c r="FK142" s="185"/>
    </row>
    <row r="143" spans="1:167" s="186" customFormat="1" ht="202.5" hidden="1">
      <c r="A143" s="174" t="s">
        <v>659</v>
      </c>
      <c r="B143" s="145">
        <v>40884</v>
      </c>
      <c r="C143" s="326" t="s">
        <v>1570</v>
      </c>
      <c r="D143" s="325" t="s">
        <v>676</v>
      </c>
      <c r="E143" s="326"/>
      <c r="F143" s="146" t="s">
        <v>1664</v>
      </c>
      <c r="G143" s="326" t="s">
        <v>690</v>
      </c>
      <c r="H143" s="326" t="s">
        <v>679</v>
      </c>
      <c r="I143" s="326" t="s">
        <v>151</v>
      </c>
      <c r="J143" s="326" t="s">
        <v>679</v>
      </c>
      <c r="K143" s="326" t="s">
        <v>151</v>
      </c>
      <c r="L143" s="333" t="s">
        <v>835</v>
      </c>
      <c r="M143" s="146" t="s">
        <v>835</v>
      </c>
      <c r="N143" s="146" t="s">
        <v>303</v>
      </c>
      <c r="O143" s="146"/>
      <c r="P143" s="146" t="s">
        <v>1933</v>
      </c>
      <c r="Q143" s="147">
        <v>40968</v>
      </c>
      <c r="R143" s="148">
        <v>40933</v>
      </c>
      <c r="S143" s="149" t="s">
        <v>2568</v>
      </c>
      <c r="T143" s="149" t="s">
        <v>1565</v>
      </c>
      <c r="U143" s="452" t="s">
        <v>2776</v>
      </c>
      <c r="V143" s="150">
        <v>40974</v>
      </c>
      <c r="W143" s="326"/>
      <c r="X143" s="185"/>
      <c r="Y143" s="176" t="str">
        <f ca="1">IF(Table17[[#This Row],[Required Resolution Date]]="","FALSE",IF($AA$1&gt;Table17[[#This Row],[Required Resolution Date]],"TRUE","FALSE"))</f>
        <v>TRUE</v>
      </c>
      <c r="Z143" s="175">
        <f t="shared" ca="1" si="15"/>
        <v>1</v>
      </c>
      <c r="AA143" s="185"/>
      <c r="AB143" s="327" t="b">
        <f>OR(Table17[[#This Row],[Priority]]="04. High",Table17[[#This Row],[Priority]]="05. Critical")</f>
        <v>1</v>
      </c>
      <c r="AC143" s="284">
        <f ca="1">$AA$1-Table17[[#This Row],[Date captured]]</f>
        <v>106</v>
      </c>
      <c r="AD143" s="327" t="b">
        <f t="shared" ca="1" si="16"/>
        <v>0</v>
      </c>
      <c r="AE143" s="327" t="b">
        <f t="shared" ca="1" si="17"/>
        <v>1</v>
      </c>
      <c r="AF143" s="327" t="b">
        <f t="shared" ca="1" si="18"/>
        <v>0</v>
      </c>
      <c r="AG143" s="284">
        <f ca="1">Table17[[#This Row],[Required Resolution Date]]-$AA$1</f>
        <v>-57</v>
      </c>
      <c r="AH143" s="327" t="b">
        <f t="shared" ca="1" si="19"/>
        <v>0</v>
      </c>
      <c r="AI143" s="327" t="b">
        <f>OR(Table17[[#This Row],[Priority]]="04. High",Table17[[#This Row],[Priority]]="05. Critical",Table17[[#This Row],[Priority]]="03. Moderate")</f>
        <v>1</v>
      </c>
      <c r="AJ143" s="185"/>
      <c r="AK143" s="185"/>
      <c r="AL143" s="185"/>
      <c r="AM143" s="185"/>
      <c r="AN143" s="185"/>
      <c r="AO143" s="185"/>
      <c r="AP143" s="185"/>
      <c r="AQ143" s="185"/>
      <c r="AR143" s="185"/>
      <c r="AS143" s="185"/>
      <c r="AT143" s="185"/>
      <c r="AU143" s="185"/>
      <c r="AV143" s="185"/>
      <c r="AW143" s="185"/>
      <c r="AX143" s="185"/>
      <c r="AY143" s="185"/>
      <c r="AZ143" s="185"/>
      <c r="BA143" s="185"/>
      <c r="BB143" s="185"/>
      <c r="BC143" s="185"/>
      <c r="BD143" s="185"/>
      <c r="BE143" s="185"/>
      <c r="BF143" s="185"/>
      <c r="BG143" s="185"/>
      <c r="BH143" s="185"/>
      <c r="BI143" s="185"/>
      <c r="BJ143" s="185"/>
      <c r="BK143" s="185"/>
      <c r="BL143" s="185"/>
      <c r="BM143" s="185"/>
      <c r="BN143" s="185"/>
      <c r="BO143" s="185"/>
      <c r="BP143" s="185"/>
      <c r="BQ143" s="185"/>
      <c r="BR143" s="185"/>
      <c r="BS143" s="185"/>
      <c r="BT143" s="185"/>
      <c r="BU143" s="185"/>
      <c r="BV143" s="185"/>
      <c r="BW143" s="185"/>
      <c r="BX143" s="185"/>
      <c r="BY143" s="185"/>
      <c r="BZ143" s="185"/>
      <c r="CA143" s="185"/>
      <c r="CB143" s="185"/>
      <c r="CC143" s="185"/>
      <c r="CD143" s="185"/>
      <c r="CE143" s="185"/>
      <c r="CF143" s="185"/>
      <c r="CG143" s="185"/>
      <c r="CH143" s="185"/>
      <c r="CI143" s="185"/>
      <c r="CJ143" s="185"/>
      <c r="CK143" s="185"/>
      <c r="CL143" s="185"/>
      <c r="CM143" s="185"/>
      <c r="CN143" s="185"/>
      <c r="CO143" s="185"/>
      <c r="CP143" s="185"/>
      <c r="CQ143" s="185"/>
      <c r="CR143" s="185"/>
      <c r="CS143" s="185"/>
      <c r="CT143" s="185"/>
      <c r="CU143" s="185"/>
      <c r="CV143" s="185"/>
      <c r="CW143" s="185"/>
      <c r="CX143" s="185"/>
      <c r="CY143" s="185"/>
      <c r="CZ143" s="185"/>
      <c r="DA143" s="185"/>
      <c r="DB143" s="185"/>
      <c r="DC143" s="185"/>
      <c r="DD143" s="185"/>
      <c r="DE143" s="185"/>
      <c r="DF143" s="185"/>
      <c r="DG143" s="185"/>
      <c r="DH143" s="185"/>
      <c r="DI143" s="185"/>
      <c r="DJ143" s="185"/>
      <c r="DK143" s="185"/>
      <c r="DL143" s="185"/>
      <c r="DM143" s="185"/>
      <c r="DN143" s="185"/>
      <c r="DO143" s="185"/>
      <c r="DP143" s="185"/>
      <c r="DQ143" s="185"/>
      <c r="DR143" s="185"/>
      <c r="DS143" s="185"/>
      <c r="DT143" s="185"/>
      <c r="DU143" s="185"/>
      <c r="DV143" s="185"/>
      <c r="DW143" s="185"/>
      <c r="DX143" s="185"/>
      <c r="DY143" s="185"/>
      <c r="DZ143" s="185"/>
      <c r="EA143" s="185"/>
      <c r="EB143" s="185"/>
      <c r="EC143" s="185"/>
      <c r="ED143" s="185"/>
      <c r="EE143" s="185"/>
      <c r="EF143" s="185"/>
      <c r="EG143" s="185"/>
      <c r="EH143" s="185"/>
      <c r="EI143" s="185"/>
      <c r="EJ143" s="185"/>
      <c r="EK143" s="185"/>
      <c r="EL143" s="185"/>
      <c r="EM143" s="185"/>
      <c r="EN143" s="185"/>
      <c r="EO143" s="185"/>
      <c r="EP143" s="185"/>
      <c r="EQ143" s="185"/>
      <c r="ER143" s="185"/>
      <c r="ES143" s="185"/>
      <c r="ET143" s="185"/>
      <c r="EU143" s="185"/>
      <c r="EV143" s="185"/>
      <c r="EW143" s="185"/>
      <c r="EX143" s="185"/>
      <c r="EY143" s="185"/>
      <c r="EZ143" s="185"/>
      <c r="FA143" s="185"/>
      <c r="FB143" s="185"/>
      <c r="FC143" s="185"/>
      <c r="FD143" s="185"/>
      <c r="FE143" s="185"/>
      <c r="FF143" s="185"/>
      <c r="FG143" s="185"/>
      <c r="FH143" s="185"/>
      <c r="FI143" s="185"/>
      <c r="FJ143" s="185"/>
      <c r="FK143" s="185"/>
    </row>
    <row r="144" spans="1:167" s="186" customFormat="1" ht="94.5" hidden="1">
      <c r="A144" s="130" t="s">
        <v>660</v>
      </c>
      <c r="B144" s="133">
        <v>40896</v>
      </c>
      <c r="C144" s="326"/>
      <c r="D144" s="92" t="s">
        <v>676</v>
      </c>
      <c r="E144" s="326"/>
      <c r="F144" s="158" t="s">
        <v>839</v>
      </c>
      <c r="G144" s="326"/>
      <c r="H144" s="326"/>
      <c r="I144" s="326"/>
      <c r="J144" s="326"/>
      <c r="K144" s="91" t="s">
        <v>1557</v>
      </c>
      <c r="L144" s="127"/>
      <c r="M144" s="324" t="s">
        <v>166</v>
      </c>
      <c r="N144" s="91"/>
      <c r="O144" s="91"/>
      <c r="P144" s="92"/>
      <c r="Q144" s="142">
        <v>40897</v>
      </c>
      <c r="R144" s="144">
        <v>41266</v>
      </c>
      <c r="S144" s="324" t="s">
        <v>1707</v>
      </c>
      <c r="T144" s="91"/>
      <c r="U144" s="409" t="s">
        <v>1708</v>
      </c>
      <c r="V144" s="91">
        <v>40926</v>
      </c>
      <c r="W144" s="91"/>
      <c r="X144" s="185"/>
      <c r="Y144" s="176" t="str">
        <f ca="1">IF(Table17[[#This Row],[Required Resolution Date]]="","FALSE",IF($AA$1&gt;Table17[[#This Row],[Required Resolution Date]],"TRUE","FALSE"))</f>
        <v>FALSE</v>
      </c>
      <c r="Z144" s="175">
        <f t="shared" ca="1" si="15"/>
        <v>0</v>
      </c>
      <c r="AA144" s="185"/>
      <c r="AB144" s="327" t="b">
        <f>OR(Table17[[#This Row],[Priority]]="04. High",Table17[[#This Row],[Priority]]="05. Critical")</f>
        <v>0</v>
      </c>
      <c r="AC144" s="284">
        <f ca="1">$AA$1-Table17[[#This Row],[Date captured]]</f>
        <v>94</v>
      </c>
      <c r="AD144" s="327" t="b">
        <f t="shared" ca="1" si="16"/>
        <v>0</v>
      </c>
      <c r="AE144" s="327" t="b">
        <f t="shared" ca="1" si="17"/>
        <v>1</v>
      </c>
      <c r="AF144" s="327" t="b">
        <f t="shared" ca="1" si="18"/>
        <v>0</v>
      </c>
      <c r="AG144" s="284">
        <f ca="1">Table17[[#This Row],[Required Resolution Date]]-$AA$1</f>
        <v>276</v>
      </c>
      <c r="AH144" s="327" t="b">
        <f t="shared" ca="1" si="19"/>
        <v>0</v>
      </c>
      <c r="AI144" s="327" t="b">
        <f>OR(Table17[[#This Row],[Priority]]="04. High",Table17[[#This Row],[Priority]]="05. Critical",Table17[[#This Row],[Priority]]="03. Moderate")</f>
        <v>1</v>
      </c>
      <c r="AJ144" s="185"/>
      <c r="AK144" s="185"/>
      <c r="AL144" s="185"/>
      <c r="AM144" s="185"/>
      <c r="AN144" s="185"/>
      <c r="AO144" s="185"/>
      <c r="AP144" s="185"/>
      <c r="AQ144" s="185"/>
      <c r="AR144" s="185"/>
      <c r="AS144" s="185"/>
      <c r="AT144" s="185"/>
      <c r="AU144" s="185"/>
      <c r="AV144" s="185"/>
      <c r="AW144" s="185"/>
      <c r="AX144" s="185"/>
      <c r="AY144" s="185"/>
      <c r="AZ144" s="185"/>
      <c r="BA144" s="185"/>
      <c r="BB144" s="185"/>
      <c r="BC144" s="185"/>
      <c r="BD144" s="185"/>
      <c r="BE144" s="185"/>
      <c r="BF144" s="185"/>
      <c r="BG144" s="185"/>
      <c r="BH144" s="185"/>
      <c r="BI144" s="185"/>
      <c r="BJ144" s="185"/>
      <c r="BK144" s="185"/>
      <c r="BL144" s="185"/>
      <c r="BM144" s="185"/>
      <c r="BN144" s="185"/>
      <c r="BO144" s="185"/>
      <c r="BP144" s="185"/>
      <c r="BQ144" s="185"/>
      <c r="BR144" s="185"/>
      <c r="BS144" s="185"/>
      <c r="BT144" s="185"/>
      <c r="BU144" s="185"/>
      <c r="BV144" s="185"/>
      <c r="BW144" s="185"/>
      <c r="BX144" s="185"/>
      <c r="BY144" s="185"/>
      <c r="BZ144" s="185"/>
      <c r="CA144" s="185"/>
      <c r="CB144" s="185"/>
      <c r="CC144" s="185"/>
      <c r="CD144" s="185"/>
      <c r="CE144" s="185"/>
      <c r="CF144" s="185"/>
      <c r="CG144" s="185"/>
      <c r="CH144" s="185"/>
      <c r="CI144" s="185"/>
      <c r="CJ144" s="185"/>
      <c r="CK144" s="185"/>
      <c r="CL144" s="185"/>
      <c r="CM144" s="185"/>
      <c r="CN144" s="185"/>
      <c r="CO144" s="185"/>
      <c r="CP144" s="185"/>
      <c r="CQ144" s="185"/>
      <c r="CR144" s="185"/>
      <c r="CS144" s="185"/>
      <c r="CT144" s="185"/>
      <c r="CU144" s="185"/>
      <c r="CV144" s="185"/>
      <c r="CW144" s="185"/>
      <c r="CX144" s="185"/>
      <c r="CY144" s="185"/>
      <c r="CZ144" s="185"/>
      <c r="DA144" s="185"/>
      <c r="DB144" s="185"/>
      <c r="DC144" s="185"/>
      <c r="DD144" s="185"/>
      <c r="DE144" s="185"/>
      <c r="DF144" s="185"/>
      <c r="DG144" s="185"/>
      <c r="DH144" s="185"/>
      <c r="DI144" s="185"/>
      <c r="DJ144" s="185"/>
      <c r="DK144" s="185"/>
      <c r="DL144" s="185"/>
      <c r="DM144" s="185"/>
      <c r="DN144" s="185"/>
      <c r="DO144" s="185"/>
      <c r="DP144" s="185"/>
      <c r="DQ144" s="185"/>
      <c r="DR144" s="185"/>
      <c r="DS144" s="185"/>
      <c r="DT144" s="185"/>
      <c r="DU144" s="185"/>
      <c r="DV144" s="185"/>
      <c r="DW144" s="185"/>
      <c r="DX144" s="185"/>
      <c r="DY144" s="185"/>
      <c r="DZ144" s="185"/>
      <c r="EA144" s="185"/>
      <c r="EB144" s="185"/>
      <c r="EC144" s="185"/>
      <c r="ED144" s="185"/>
      <c r="EE144" s="185"/>
      <c r="EF144" s="185"/>
      <c r="EG144" s="185"/>
      <c r="EH144" s="185"/>
      <c r="EI144" s="185"/>
      <c r="EJ144" s="185"/>
      <c r="EK144" s="185"/>
      <c r="EL144" s="185"/>
      <c r="EM144" s="185"/>
      <c r="EN144" s="185"/>
      <c r="EO144" s="185"/>
      <c r="EP144" s="185"/>
      <c r="EQ144" s="185"/>
      <c r="ER144" s="185"/>
      <c r="ES144" s="185"/>
      <c r="ET144" s="185"/>
      <c r="EU144" s="185"/>
      <c r="EV144" s="185"/>
      <c r="EW144" s="185"/>
      <c r="EX144" s="185"/>
      <c r="EY144" s="185"/>
      <c r="EZ144" s="185"/>
      <c r="FA144" s="185"/>
      <c r="FB144" s="185"/>
      <c r="FC144" s="185"/>
      <c r="FD144" s="185"/>
      <c r="FE144" s="185"/>
      <c r="FF144" s="185"/>
      <c r="FG144" s="185"/>
      <c r="FH144" s="185"/>
      <c r="FI144" s="185"/>
      <c r="FJ144" s="185"/>
      <c r="FK144" s="185"/>
    </row>
    <row r="145" spans="1:167" s="186" customFormat="1" ht="270">
      <c r="A145" s="177" t="s">
        <v>672</v>
      </c>
      <c r="B145" s="329">
        <v>40918</v>
      </c>
      <c r="C145" s="326" t="s">
        <v>261</v>
      </c>
      <c r="D145" s="325" t="s">
        <v>15</v>
      </c>
      <c r="E145" s="326" t="s">
        <v>226</v>
      </c>
      <c r="F145" s="324" t="s">
        <v>2446</v>
      </c>
      <c r="G145" s="326" t="s">
        <v>151</v>
      </c>
      <c r="H145" s="326" t="s">
        <v>151</v>
      </c>
      <c r="I145" s="326" t="s">
        <v>151</v>
      </c>
      <c r="J145" s="326" t="s">
        <v>151</v>
      </c>
      <c r="K145" s="326" t="s">
        <v>151</v>
      </c>
      <c r="L145" s="333" t="s">
        <v>186</v>
      </c>
      <c r="M145" s="189" t="s">
        <v>186</v>
      </c>
      <c r="N145" s="196" t="s">
        <v>311</v>
      </c>
      <c r="O145" s="196"/>
      <c r="P145" s="189" t="s">
        <v>2847</v>
      </c>
      <c r="Q145" s="331">
        <v>40988</v>
      </c>
      <c r="R145" s="187">
        <v>41019</v>
      </c>
      <c r="S145" s="190" t="s">
        <v>2912</v>
      </c>
      <c r="T145" s="326" t="s">
        <v>1574</v>
      </c>
      <c r="U145" s="326"/>
      <c r="V145" s="326"/>
      <c r="W145" s="184"/>
      <c r="X145" s="185"/>
      <c r="Y145" s="176" t="str">
        <f ca="1">IF(Table17[[#This Row],[Required Resolution Date]]="","FALSE",IF($AA$1&gt;Table17[[#This Row],[Required Resolution Date]],"TRUE","FALSE"))</f>
        <v>FALSE</v>
      </c>
      <c r="Z145" s="175">
        <f t="shared" ca="1" si="15"/>
        <v>0</v>
      </c>
      <c r="AA145" s="185"/>
      <c r="AB145" s="327" t="b">
        <f>OR(Table17[[#This Row],[Priority]]="04. High",Table17[[#This Row],[Priority]]="05. Critical")</f>
        <v>1</v>
      </c>
      <c r="AC145" s="284">
        <f ca="1">$AA$1-Table17[[#This Row],[Date captured]]</f>
        <v>72</v>
      </c>
      <c r="AD145" s="327" t="b">
        <f t="shared" ca="1" si="16"/>
        <v>1</v>
      </c>
      <c r="AE145" s="327" t="b">
        <f t="shared" ca="1" si="17"/>
        <v>0</v>
      </c>
      <c r="AF145" s="327" t="b">
        <f t="shared" ca="1" si="18"/>
        <v>0</v>
      </c>
      <c r="AG145" s="284">
        <f ca="1">Table17[[#This Row],[Required Resolution Date]]-$AA$1</f>
        <v>29</v>
      </c>
      <c r="AH145" s="327" t="b">
        <f t="shared" ca="1" si="19"/>
        <v>0</v>
      </c>
      <c r="AI145" s="327" t="b">
        <f>OR(Table17[[#This Row],[Priority]]="04. High",Table17[[#This Row],[Priority]]="05. Critical",Table17[[#This Row],[Priority]]="03. Moderate")</f>
        <v>1</v>
      </c>
      <c r="AJ145" s="185"/>
      <c r="AK145" s="185"/>
      <c r="AL145" s="185"/>
      <c r="AM145" s="185"/>
      <c r="AN145" s="185"/>
      <c r="AO145" s="185"/>
      <c r="AP145" s="185"/>
      <c r="AQ145" s="185"/>
      <c r="AR145" s="185"/>
      <c r="AS145" s="185"/>
      <c r="AT145" s="185"/>
      <c r="AU145" s="185"/>
      <c r="AV145" s="185"/>
      <c r="AW145" s="185"/>
      <c r="AX145" s="185"/>
      <c r="AY145" s="185"/>
      <c r="AZ145" s="185"/>
      <c r="BA145" s="185"/>
      <c r="BB145" s="185"/>
      <c r="BC145" s="185"/>
      <c r="BD145" s="185"/>
      <c r="BE145" s="185"/>
      <c r="BF145" s="185"/>
      <c r="BG145" s="185"/>
      <c r="BH145" s="185"/>
      <c r="BI145" s="185"/>
      <c r="BJ145" s="185"/>
      <c r="BK145" s="185"/>
      <c r="BL145" s="185"/>
      <c r="BM145" s="185"/>
      <c r="BN145" s="185"/>
      <c r="BO145" s="185"/>
      <c r="BP145" s="185"/>
      <c r="BQ145" s="185"/>
      <c r="BR145" s="185"/>
      <c r="BS145" s="185"/>
      <c r="BT145" s="185"/>
      <c r="BU145" s="185"/>
      <c r="BV145" s="185"/>
      <c r="BW145" s="185"/>
      <c r="BX145" s="185"/>
      <c r="BY145" s="185"/>
      <c r="BZ145" s="185"/>
      <c r="CA145" s="185"/>
      <c r="CB145" s="185"/>
      <c r="CC145" s="185"/>
      <c r="CD145" s="185"/>
      <c r="CE145" s="185"/>
      <c r="CF145" s="185"/>
      <c r="CG145" s="185"/>
      <c r="CH145" s="185"/>
      <c r="CI145" s="185"/>
      <c r="CJ145" s="185"/>
      <c r="CK145" s="185"/>
      <c r="CL145" s="185"/>
      <c r="CM145" s="185"/>
      <c r="CN145" s="185"/>
      <c r="CO145" s="185"/>
      <c r="CP145" s="185"/>
      <c r="CQ145" s="185"/>
      <c r="CR145" s="185"/>
      <c r="CS145" s="185"/>
      <c r="CT145" s="185"/>
      <c r="CU145" s="185"/>
      <c r="CV145" s="185"/>
      <c r="CW145" s="185"/>
      <c r="CX145" s="185"/>
      <c r="CY145" s="185"/>
      <c r="CZ145" s="185"/>
      <c r="DA145" s="185"/>
      <c r="DB145" s="185"/>
      <c r="DC145" s="185"/>
      <c r="DD145" s="185"/>
      <c r="DE145" s="185"/>
      <c r="DF145" s="185"/>
      <c r="DG145" s="185"/>
      <c r="DH145" s="185"/>
      <c r="DI145" s="185"/>
      <c r="DJ145" s="185"/>
      <c r="DK145" s="185"/>
      <c r="DL145" s="185"/>
      <c r="DM145" s="185"/>
      <c r="DN145" s="185"/>
      <c r="DO145" s="185"/>
      <c r="DP145" s="185"/>
      <c r="DQ145" s="185"/>
      <c r="DR145" s="185"/>
      <c r="DS145" s="185"/>
      <c r="DT145" s="185"/>
      <c r="DU145" s="185"/>
      <c r="DV145" s="185"/>
      <c r="DW145" s="185"/>
      <c r="DX145" s="185"/>
      <c r="DY145" s="185"/>
      <c r="DZ145" s="185"/>
      <c r="EA145" s="185"/>
      <c r="EB145" s="185"/>
      <c r="EC145" s="185"/>
      <c r="ED145" s="185"/>
      <c r="EE145" s="185"/>
      <c r="EF145" s="185"/>
      <c r="EG145" s="185"/>
      <c r="EH145" s="185"/>
      <c r="EI145" s="185"/>
      <c r="EJ145" s="185"/>
      <c r="EK145" s="185"/>
      <c r="EL145" s="185"/>
      <c r="EM145" s="185"/>
      <c r="EN145" s="185"/>
      <c r="EO145" s="185"/>
      <c r="EP145" s="185"/>
      <c r="EQ145" s="185"/>
      <c r="ER145" s="185"/>
      <c r="ES145" s="185"/>
      <c r="ET145" s="185"/>
      <c r="EU145" s="185"/>
      <c r="EV145" s="185"/>
      <c r="EW145" s="185"/>
      <c r="EX145" s="185"/>
      <c r="EY145" s="185"/>
      <c r="EZ145" s="185"/>
      <c r="FA145" s="185"/>
      <c r="FB145" s="185"/>
      <c r="FC145" s="185"/>
      <c r="FD145" s="185"/>
      <c r="FE145" s="185"/>
      <c r="FF145" s="185"/>
      <c r="FG145" s="185"/>
      <c r="FH145" s="185"/>
      <c r="FI145" s="185"/>
      <c r="FJ145" s="185"/>
      <c r="FK145" s="185"/>
    </row>
    <row r="146" spans="1:167" s="186" customFormat="1" ht="108.75" customHeight="1">
      <c r="A146" s="338" t="s">
        <v>2747</v>
      </c>
      <c r="B146" s="329"/>
      <c r="C146" s="326"/>
      <c r="D146" s="325"/>
      <c r="E146" s="326"/>
      <c r="F146" s="338"/>
      <c r="G146" s="326"/>
      <c r="H146" s="326"/>
      <c r="I146" s="326"/>
      <c r="J146" s="326"/>
      <c r="K146" s="326"/>
      <c r="L146" s="333"/>
      <c r="M146" s="339"/>
      <c r="N146" s="337"/>
      <c r="O146" s="337"/>
      <c r="P146" s="339"/>
      <c r="Q146" s="331"/>
      <c r="R146" s="332"/>
      <c r="S146" s="333"/>
      <c r="T146" s="334"/>
      <c r="U146" s="326"/>
      <c r="V146" s="334"/>
      <c r="W146" s="335"/>
      <c r="X146" s="185"/>
      <c r="Y146" s="176" t="str">
        <f>IF(Table17[[#This Row],[Required Resolution Date]]="","FALSE",IF($AA$1&gt;Table17[[#This Row],[Required Resolution Date]],"TRUE","FALSE"))</f>
        <v>FALSE</v>
      </c>
      <c r="Z146" s="175">
        <f t="shared" si="15"/>
        <v>0</v>
      </c>
      <c r="AA146" s="185"/>
      <c r="AB146" s="327" t="b">
        <f>OR(Table17[[#This Row],[Priority]]="04. High",Table17[[#This Row],[Priority]]="05. Critical")</f>
        <v>0</v>
      </c>
      <c r="AC146" s="284">
        <f ca="1">$AA$1-Table17[[#This Row],[Date captured]]</f>
        <v>40990</v>
      </c>
      <c r="AD146" s="327" t="b">
        <f t="shared" ca="1" si="16"/>
        <v>0</v>
      </c>
      <c r="AE146" s="327" t="b">
        <f t="shared" ca="1" si="17"/>
        <v>0</v>
      </c>
      <c r="AF146" s="327" t="b">
        <f t="shared" ca="1" si="18"/>
        <v>1</v>
      </c>
      <c r="AG146" s="284">
        <f ca="1">Table17[[#This Row],[Required Resolution Date]]-$AA$1</f>
        <v>-40990</v>
      </c>
      <c r="AH146" s="327" t="b">
        <f t="shared" ca="1" si="19"/>
        <v>0</v>
      </c>
      <c r="AI146" s="327" t="b">
        <f>OR(Table17[[#This Row],[Priority]]="04. High",Table17[[#This Row],[Priority]]="05. Critical",Table17[[#This Row],[Priority]]="03. Moderate")</f>
        <v>0</v>
      </c>
      <c r="AJ146" s="185"/>
      <c r="AK146" s="185"/>
      <c r="AL146" s="185"/>
      <c r="AM146" s="185"/>
      <c r="AN146" s="185"/>
      <c r="AO146" s="185"/>
      <c r="AP146" s="185"/>
      <c r="AQ146" s="185"/>
      <c r="AR146" s="185"/>
      <c r="AS146" s="185"/>
      <c r="AT146" s="185"/>
      <c r="AU146" s="185"/>
      <c r="AV146" s="185"/>
      <c r="AW146" s="185"/>
      <c r="AX146" s="185"/>
      <c r="AY146" s="185"/>
      <c r="AZ146" s="185"/>
      <c r="BA146" s="185"/>
      <c r="BB146" s="185"/>
      <c r="BC146" s="185"/>
      <c r="BD146" s="185"/>
      <c r="BE146" s="185"/>
      <c r="BF146" s="185"/>
      <c r="BG146" s="185"/>
      <c r="BH146" s="185"/>
      <c r="BI146" s="185"/>
      <c r="BJ146" s="185"/>
      <c r="BK146" s="185"/>
      <c r="BL146" s="185"/>
      <c r="BM146" s="185"/>
      <c r="BN146" s="185"/>
      <c r="BO146" s="185"/>
      <c r="BP146" s="185"/>
      <c r="BQ146" s="185"/>
      <c r="BR146" s="185"/>
      <c r="BS146" s="185"/>
      <c r="BT146" s="185"/>
      <c r="BU146" s="185"/>
      <c r="BV146" s="185"/>
      <c r="BW146" s="185"/>
      <c r="BX146" s="185"/>
      <c r="BY146" s="185"/>
      <c r="BZ146" s="185"/>
      <c r="CA146" s="185"/>
      <c r="CB146" s="185"/>
      <c r="CC146" s="185"/>
      <c r="CD146" s="185"/>
      <c r="CE146" s="185"/>
      <c r="CF146" s="185"/>
      <c r="CG146" s="185"/>
      <c r="CH146" s="185"/>
      <c r="CI146" s="185"/>
      <c r="CJ146" s="185"/>
      <c r="CK146" s="185"/>
      <c r="CL146" s="185"/>
      <c r="CM146" s="185"/>
      <c r="CN146" s="185"/>
      <c r="CO146" s="185"/>
      <c r="CP146" s="185"/>
      <c r="CQ146" s="185"/>
      <c r="CR146" s="185"/>
      <c r="CS146" s="185"/>
      <c r="CT146" s="185"/>
      <c r="CU146" s="185"/>
      <c r="CV146" s="185"/>
      <c r="CW146" s="185"/>
      <c r="CX146" s="185"/>
      <c r="CY146" s="185"/>
      <c r="CZ146" s="185"/>
      <c r="DA146" s="185"/>
      <c r="DB146" s="185"/>
      <c r="DC146" s="185"/>
      <c r="DD146" s="185"/>
      <c r="DE146" s="185"/>
      <c r="DF146" s="185"/>
      <c r="DG146" s="185"/>
      <c r="DH146" s="185"/>
      <c r="DI146" s="185"/>
      <c r="DJ146" s="185"/>
      <c r="DK146" s="185"/>
      <c r="DL146" s="185"/>
      <c r="DM146" s="185"/>
      <c r="DN146" s="185"/>
      <c r="DO146" s="185"/>
      <c r="DP146" s="185"/>
      <c r="DQ146" s="185"/>
      <c r="DR146" s="185"/>
      <c r="DS146" s="185"/>
      <c r="DT146" s="185"/>
      <c r="DU146" s="185"/>
      <c r="DV146" s="185"/>
      <c r="DW146" s="185"/>
      <c r="DX146" s="185"/>
      <c r="DY146" s="185"/>
      <c r="DZ146" s="185"/>
      <c r="EA146" s="185"/>
      <c r="EB146" s="185"/>
      <c r="EC146" s="185"/>
      <c r="ED146" s="185"/>
      <c r="EE146" s="185"/>
      <c r="EF146" s="185"/>
      <c r="EG146" s="185"/>
      <c r="EH146" s="185"/>
      <c r="EI146" s="185"/>
      <c r="EJ146" s="185"/>
      <c r="EK146" s="185"/>
      <c r="EL146" s="185"/>
      <c r="EM146" s="185"/>
      <c r="EN146" s="185"/>
      <c r="EO146" s="185"/>
      <c r="EP146" s="185"/>
      <c r="EQ146" s="185"/>
      <c r="ER146" s="185"/>
      <c r="ES146" s="185"/>
      <c r="ET146" s="185"/>
      <c r="EU146" s="185"/>
      <c r="EV146" s="185"/>
      <c r="EW146" s="185"/>
      <c r="EX146" s="185"/>
      <c r="EY146" s="185"/>
      <c r="EZ146" s="185"/>
      <c r="FA146" s="185"/>
      <c r="FB146" s="185"/>
      <c r="FC146" s="185"/>
      <c r="FD146" s="185"/>
      <c r="FE146" s="185"/>
      <c r="FF146" s="185"/>
      <c r="FG146" s="185"/>
      <c r="FH146" s="185"/>
      <c r="FI146" s="185"/>
      <c r="FJ146" s="185"/>
      <c r="FK146" s="185"/>
    </row>
    <row r="147" spans="1:167" s="186" customFormat="1" ht="225" hidden="1" customHeight="1">
      <c r="A147" s="174" t="s">
        <v>663</v>
      </c>
      <c r="B147" s="329">
        <v>40912</v>
      </c>
      <c r="C147" s="326" t="s">
        <v>166</v>
      </c>
      <c r="D147" s="325" t="s">
        <v>676</v>
      </c>
      <c r="E147" s="326" t="s">
        <v>533</v>
      </c>
      <c r="F147" s="324" t="s">
        <v>1512</v>
      </c>
      <c r="G147" s="326" t="s">
        <v>151</v>
      </c>
      <c r="H147" s="326" t="s">
        <v>151</v>
      </c>
      <c r="I147" s="326" t="s">
        <v>151</v>
      </c>
      <c r="J147" s="326" t="s">
        <v>151</v>
      </c>
      <c r="K147" s="326" t="s">
        <v>151</v>
      </c>
      <c r="L147" s="333" t="s">
        <v>186</v>
      </c>
      <c r="M147" s="195" t="s">
        <v>186</v>
      </c>
      <c r="N147" s="333" t="s">
        <v>311</v>
      </c>
      <c r="O147" s="333"/>
      <c r="P147" s="195" t="s">
        <v>1705</v>
      </c>
      <c r="Q147" s="331">
        <v>40954</v>
      </c>
      <c r="R147" s="331"/>
      <c r="S147" s="190" t="s">
        <v>2094</v>
      </c>
      <c r="T147" s="326"/>
      <c r="U147" s="190" t="s">
        <v>2095</v>
      </c>
      <c r="V147" s="326">
        <v>40954</v>
      </c>
      <c r="W147" s="326"/>
      <c r="X147" s="185"/>
      <c r="Y147" s="176" t="str">
        <f>IF(Table17[[#This Row],[Required Resolution Date]]="","FALSE",IF($AA$1&gt;Table17[[#This Row],[Required Resolution Date]],"TRUE","FALSE"))</f>
        <v>FALSE</v>
      </c>
      <c r="Z147" s="175">
        <f t="shared" si="15"/>
        <v>0</v>
      </c>
      <c r="AA147" s="185"/>
      <c r="AB147" s="327" t="b">
        <f>OR(Table17[[#This Row],[Priority]]="04. High",Table17[[#This Row],[Priority]]="05. Critical")</f>
        <v>1</v>
      </c>
      <c r="AC147" s="284">
        <f ca="1">$AA$1-Table17[[#This Row],[Date captured]]</f>
        <v>78</v>
      </c>
      <c r="AD147" s="327" t="b">
        <f t="shared" ca="1" si="16"/>
        <v>1</v>
      </c>
      <c r="AE147" s="327" t="b">
        <f t="shared" ca="1" si="17"/>
        <v>0</v>
      </c>
      <c r="AF147" s="327" t="b">
        <f t="shared" ca="1" si="18"/>
        <v>0</v>
      </c>
      <c r="AG147" s="284">
        <f ca="1">Table17[[#This Row],[Required Resolution Date]]-$AA$1</f>
        <v>-40990</v>
      </c>
      <c r="AH147" s="327" t="b">
        <f t="shared" ca="1" si="19"/>
        <v>0</v>
      </c>
      <c r="AI147" s="327" t="b">
        <f>OR(Table17[[#This Row],[Priority]]="04. High",Table17[[#This Row],[Priority]]="05. Critical",Table17[[#This Row],[Priority]]="03. Moderate")</f>
        <v>1</v>
      </c>
      <c r="AJ147" s="185"/>
      <c r="AK147" s="185"/>
      <c r="AL147" s="185"/>
      <c r="AM147" s="185"/>
      <c r="AN147" s="185"/>
      <c r="AO147" s="185"/>
      <c r="AP147" s="185"/>
      <c r="AQ147" s="185"/>
      <c r="AR147" s="185"/>
      <c r="AS147" s="185"/>
      <c r="AT147" s="185"/>
      <c r="AU147" s="185"/>
      <c r="AV147" s="185"/>
      <c r="AW147" s="185"/>
      <c r="AX147" s="185"/>
      <c r="AY147" s="185"/>
      <c r="AZ147" s="185"/>
      <c r="BA147" s="185"/>
      <c r="BB147" s="185"/>
      <c r="BC147" s="185"/>
      <c r="BD147" s="185"/>
      <c r="BE147" s="185"/>
      <c r="BF147" s="185"/>
      <c r="BG147" s="185"/>
      <c r="BH147" s="185"/>
      <c r="BI147" s="185"/>
      <c r="BJ147" s="185"/>
      <c r="BK147" s="185"/>
      <c r="BL147" s="185"/>
      <c r="BM147" s="185"/>
      <c r="BN147" s="185"/>
      <c r="BO147" s="185"/>
      <c r="BP147" s="185"/>
      <c r="BQ147" s="185"/>
      <c r="BR147" s="185"/>
      <c r="BS147" s="185"/>
      <c r="BT147" s="185"/>
      <c r="BU147" s="185"/>
      <c r="BV147" s="185"/>
      <c r="BW147" s="185"/>
      <c r="BX147" s="185"/>
      <c r="BY147" s="185"/>
      <c r="BZ147" s="185"/>
      <c r="CA147" s="185"/>
      <c r="CB147" s="185"/>
      <c r="CC147" s="185"/>
      <c r="CD147" s="185"/>
      <c r="CE147" s="185"/>
      <c r="CF147" s="185"/>
      <c r="CG147" s="185"/>
      <c r="CH147" s="185"/>
      <c r="CI147" s="185"/>
      <c r="CJ147" s="185"/>
      <c r="CK147" s="185"/>
      <c r="CL147" s="185"/>
      <c r="CM147" s="185"/>
      <c r="CN147" s="185"/>
      <c r="CO147" s="185"/>
      <c r="CP147" s="185"/>
      <c r="CQ147" s="185"/>
      <c r="CR147" s="185"/>
      <c r="CS147" s="185"/>
      <c r="CT147" s="185"/>
      <c r="CU147" s="185"/>
      <c r="CV147" s="185"/>
      <c r="CW147" s="185"/>
      <c r="CX147" s="185"/>
      <c r="CY147" s="185"/>
      <c r="CZ147" s="185"/>
      <c r="DA147" s="185"/>
      <c r="DB147" s="185"/>
      <c r="DC147" s="185"/>
      <c r="DD147" s="185"/>
      <c r="DE147" s="185"/>
      <c r="DF147" s="185"/>
      <c r="DG147" s="185"/>
      <c r="DH147" s="185"/>
      <c r="DI147" s="185"/>
      <c r="DJ147" s="185"/>
      <c r="DK147" s="185"/>
      <c r="DL147" s="185"/>
      <c r="DM147" s="185"/>
      <c r="DN147" s="185"/>
      <c r="DO147" s="185"/>
      <c r="DP147" s="185"/>
      <c r="DQ147" s="185"/>
      <c r="DR147" s="185"/>
      <c r="DS147" s="185"/>
      <c r="DT147" s="185"/>
      <c r="DU147" s="185"/>
      <c r="DV147" s="185"/>
      <c r="DW147" s="185"/>
      <c r="DX147" s="185"/>
      <c r="DY147" s="185"/>
      <c r="DZ147" s="185"/>
      <c r="EA147" s="185"/>
      <c r="EB147" s="185"/>
      <c r="EC147" s="185"/>
      <c r="ED147" s="185"/>
      <c r="EE147" s="185"/>
      <c r="EF147" s="185"/>
      <c r="EG147" s="185"/>
      <c r="EH147" s="185"/>
      <c r="EI147" s="185"/>
      <c r="EJ147" s="185"/>
      <c r="EK147" s="185"/>
      <c r="EL147" s="185"/>
      <c r="EM147" s="185"/>
      <c r="EN147" s="185"/>
      <c r="EO147" s="185"/>
      <c r="EP147" s="185"/>
      <c r="EQ147" s="185"/>
      <c r="ER147" s="185"/>
      <c r="ES147" s="185"/>
      <c r="ET147" s="185"/>
      <c r="EU147" s="185"/>
      <c r="EV147" s="185"/>
      <c r="EW147" s="185"/>
      <c r="EX147" s="185"/>
      <c r="EY147" s="185"/>
      <c r="EZ147" s="185"/>
      <c r="FA147" s="185"/>
      <c r="FB147" s="185"/>
      <c r="FC147" s="185"/>
      <c r="FD147" s="185"/>
      <c r="FE147" s="185"/>
      <c r="FF147" s="185"/>
      <c r="FG147" s="185"/>
      <c r="FH147" s="185"/>
      <c r="FI147" s="185"/>
      <c r="FJ147" s="185"/>
      <c r="FK147" s="185"/>
    </row>
    <row r="148" spans="1:167" s="186" customFormat="1" ht="94.5" hidden="1">
      <c r="A148" s="174" t="s">
        <v>664</v>
      </c>
      <c r="B148" s="329">
        <v>40912</v>
      </c>
      <c r="C148" s="326" t="s">
        <v>261</v>
      </c>
      <c r="D148" s="325" t="s">
        <v>676</v>
      </c>
      <c r="E148" s="326" t="s">
        <v>872</v>
      </c>
      <c r="F148" s="146" t="s">
        <v>1686</v>
      </c>
      <c r="G148" s="326" t="s">
        <v>690</v>
      </c>
      <c r="H148" s="326" t="s">
        <v>690</v>
      </c>
      <c r="I148" s="326" t="s">
        <v>690</v>
      </c>
      <c r="J148" s="326" t="s">
        <v>690</v>
      </c>
      <c r="K148" s="326" t="s">
        <v>1557</v>
      </c>
      <c r="L148" s="333" t="s">
        <v>261</v>
      </c>
      <c r="M148" s="195" t="s">
        <v>1492</v>
      </c>
      <c r="N148" s="333" t="s">
        <v>150</v>
      </c>
      <c r="O148" s="333"/>
      <c r="P148" s="195" t="s">
        <v>1941</v>
      </c>
      <c r="Q148" s="331">
        <v>40990</v>
      </c>
      <c r="R148" s="331">
        <v>41060</v>
      </c>
      <c r="S148" s="190" t="s">
        <v>2284</v>
      </c>
      <c r="T148" s="326" t="s">
        <v>1942</v>
      </c>
      <c r="U148" s="190" t="s">
        <v>2700</v>
      </c>
      <c r="V148" s="326">
        <v>40977</v>
      </c>
      <c r="W148" s="326"/>
      <c r="X148" s="185"/>
      <c r="Y148" s="176" t="str">
        <f ca="1">IF(Table17[[#This Row],[Required Resolution Date]]="","FALSE",IF($AA$1&gt;Table17[[#This Row],[Required Resolution Date]],"TRUE","FALSE"))</f>
        <v>FALSE</v>
      </c>
      <c r="Z148" s="175">
        <f t="shared" ca="1" si="15"/>
        <v>0</v>
      </c>
      <c r="AA148" s="185"/>
      <c r="AB148" s="327" t="b">
        <f>OR(Table17[[#This Row],[Priority]]="04. High",Table17[[#This Row],[Priority]]="05. Critical")</f>
        <v>0</v>
      </c>
      <c r="AC148" s="284">
        <f ca="1">$AA$1-Table17[[#This Row],[Date captured]]</f>
        <v>78</v>
      </c>
      <c r="AD148" s="327" t="b">
        <f t="shared" ca="1" si="16"/>
        <v>1</v>
      </c>
      <c r="AE148" s="327" t="b">
        <f t="shared" ca="1" si="17"/>
        <v>0</v>
      </c>
      <c r="AF148" s="327" t="b">
        <f t="shared" ca="1" si="18"/>
        <v>0</v>
      </c>
      <c r="AG148" s="284">
        <f ca="1">Table17[[#This Row],[Required Resolution Date]]-$AA$1</f>
        <v>70</v>
      </c>
      <c r="AH148" s="327" t="b">
        <f t="shared" ca="1" si="19"/>
        <v>0</v>
      </c>
      <c r="AI148" s="327" t="b">
        <f>OR(Table17[[#This Row],[Priority]]="04. High",Table17[[#This Row],[Priority]]="05. Critical",Table17[[#This Row],[Priority]]="03. Moderate")</f>
        <v>1</v>
      </c>
      <c r="AJ148" s="185"/>
      <c r="AK148" s="185"/>
      <c r="AL148" s="185"/>
      <c r="AM148" s="185"/>
      <c r="AN148" s="185"/>
      <c r="AO148" s="185"/>
      <c r="AP148" s="185"/>
      <c r="AQ148" s="185"/>
      <c r="AR148" s="185"/>
      <c r="AS148" s="185"/>
      <c r="AT148" s="185"/>
      <c r="AU148" s="185"/>
      <c r="AV148" s="185"/>
      <c r="AW148" s="185"/>
      <c r="AX148" s="185"/>
      <c r="AY148" s="185"/>
      <c r="AZ148" s="185"/>
      <c r="BA148" s="185"/>
      <c r="BB148" s="185"/>
      <c r="BC148" s="185"/>
      <c r="BD148" s="185"/>
      <c r="BE148" s="185"/>
      <c r="BF148" s="185"/>
      <c r="BG148" s="185"/>
      <c r="BH148" s="185"/>
      <c r="BI148" s="185"/>
      <c r="BJ148" s="185"/>
      <c r="BK148" s="185"/>
      <c r="BL148" s="185"/>
      <c r="BM148" s="185"/>
      <c r="BN148" s="185"/>
      <c r="BO148" s="185"/>
      <c r="BP148" s="185"/>
      <c r="BQ148" s="185"/>
      <c r="BR148" s="185"/>
      <c r="BS148" s="185"/>
      <c r="BT148" s="185"/>
      <c r="BU148" s="185"/>
      <c r="BV148" s="185"/>
      <c r="BW148" s="185"/>
      <c r="BX148" s="185"/>
      <c r="BY148" s="185"/>
      <c r="BZ148" s="185"/>
      <c r="CA148" s="185"/>
      <c r="CB148" s="185"/>
      <c r="CC148" s="185"/>
      <c r="CD148" s="185"/>
      <c r="CE148" s="185"/>
      <c r="CF148" s="185"/>
      <c r="CG148" s="185"/>
      <c r="CH148" s="185"/>
      <c r="CI148" s="185"/>
      <c r="CJ148" s="185"/>
      <c r="CK148" s="185"/>
      <c r="CL148" s="185"/>
      <c r="CM148" s="185"/>
      <c r="CN148" s="185"/>
      <c r="CO148" s="185"/>
      <c r="CP148" s="185"/>
      <c r="CQ148" s="185"/>
      <c r="CR148" s="185"/>
      <c r="CS148" s="185"/>
      <c r="CT148" s="185"/>
      <c r="CU148" s="185"/>
      <c r="CV148" s="185"/>
      <c r="CW148" s="185"/>
      <c r="CX148" s="185"/>
      <c r="CY148" s="185"/>
      <c r="CZ148" s="185"/>
      <c r="DA148" s="185"/>
      <c r="DB148" s="185"/>
      <c r="DC148" s="185"/>
      <c r="DD148" s="185"/>
      <c r="DE148" s="185"/>
      <c r="DF148" s="185"/>
      <c r="DG148" s="185"/>
      <c r="DH148" s="185"/>
      <c r="DI148" s="185"/>
      <c r="DJ148" s="185"/>
      <c r="DK148" s="185"/>
      <c r="DL148" s="185"/>
      <c r="DM148" s="185"/>
      <c r="DN148" s="185"/>
      <c r="DO148" s="185"/>
      <c r="DP148" s="185"/>
      <c r="DQ148" s="185"/>
      <c r="DR148" s="185"/>
      <c r="DS148" s="185"/>
      <c r="DT148" s="185"/>
      <c r="DU148" s="185"/>
      <c r="DV148" s="185"/>
      <c r="DW148" s="185"/>
      <c r="DX148" s="185"/>
      <c r="DY148" s="185"/>
      <c r="DZ148" s="185"/>
      <c r="EA148" s="185"/>
      <c r="EB148" s="185"/>
      <c r="EC148" s="185"/>
      <c r="ED148" s="185"/>
      <c r="EE148" s="185"/>
      <c r="EF148" s="185"/>
      <c r="EG148" s="185"/>
      <c r="EH148" s="185"/>
      <c r="EI148" s="185"/>
      <c r="EJ148" s="185"/>
      <c r="EK148" s="185"/>
      <c r="EL148" s="185"/>
      <c r="EM148" s="185"/>
      <c r="EN148" s="185"/>
      <c r="EO148" s="185"/>
      <c r="EP148" s="185"/>
      <c r="EQ148" s="185"/>
      <c r="ER148" s="185"/>
      <c r="ES148" s="185"/>
      <c r="ET148" s="185"/>
      <c r="EU148" s="185"/>
      <c r="EV148" s="185"/>
      <c r="EW148" s="185"/>
      <c r="EX148" s="185"/>
      <c r="EY148" s="185"/>
      <c r="EZ148" s="185"/>
      <c r="FA148" s="185"/>
      <c r="FB148" s="185"/>
      <c r="FC148" s="185"/>
      <c r="FD148" s="185"/>
      <c r="FE148" s="185"/>
      <c r="FF148" s="185"/>
      <c r="FG148" s="185"/>
      <c r="FH148" s="185"/>
      <c r="FI148" s="185"/>
      <c r="FJ148" s="185"/>
      <c r="FK148" s="185"/>
    </row>
    <row r="149" spans="1:167" s="186" customFormat="1" ht="67.5" hidden="1">
      <c r="A149" s="130" t="s">
        <v>665</v>
      </c>
      <c r="B149" s="133">
        <v>40912</v>
      </c>
      <c r="C149" s="326" t="s">
        <v>261</v>
      </c>
      <c r="D149" s="92" t="s">
        <v>676</v>
      </c>
      <c r="E149" s="326" t="s">
        <v>876</v>
      </c>
      <c r="F149" s="154" t="s">
        <v>1537</v>
      </c>
      <c r="G149" s="326"/>
      <c r="H149" s="326"/>
      <c r="I149" s="326"/>
      <c r="J149" s="326"/>
      <c r="K149" s="91"/>
      <c r="L149" s="127"/>
      <c r="M149" s="343" t="s">
        <v>261</v>
      </c>
      <c r="N149" s="91" t="s">
        <v>150</v>
      </c>
      <c r="O149" s="91"/>
      <c r="P149" s="343"/>
      <c r="Q149" s="132">
        <v>40919</v>
      </c>
      <c r="R149" s="132"/>
      <c r="S149" s="127" t="s">
        <v>1538</v>
      </c>
      <c r="T149" s="91"/>
      <c r="U149" s="409" t="s">
        <v>839</v>
      </c>
      <c r="V149" s="91">
        <v>40919</v>
      </c>
      <c r="W149" s="91"/>
      <c r="X149" s="185"/>
      <c r="Y149" s="176" t="str">
        <f>IF(Table17[[#This Row],[Required Resolution Date]]="","FALSE",IF($AA$1&gt;Table17[[#This Row],[Required Resolution Date]],"TRUE","FALSE"))</f>
        <v>FALSE</v>
      </c>
      <c r="Z149" s="175">
        <f t="shared" si="15"/>
        <v>0</v>
      </c>
      <c r="AA149" s="185"/>
      <c r="AB149" s="327" t="b">
        <f>OR(Table17[[#This Row],[Priority]]="04. High",Table17[[#This Row],[Priority]]="05. Critical")</f>
        <v>0</v>
      </c>
      <c r="AC149" s="284">
        <f ca="1">$AA$1-Table17[[#This Row],[Date captured]]</f>
        <v>78</v>
      </c>
      <c r="AD149" s="327" t="b">
        <f t="shared" ca="1" si="16"/>
        <v>1</v>
      </c>
      <c r="AE149" s="327" t="b">
        <f t="shared" ca="1" si="17"/>
        <v>0</v>
      </c>
      <c r="AF149" s="327" t="b">
        <f t="shared" ca="1" si="18"/>
        <v>0</v>
      </c>
      <c r="AG149" s="284">
        <f ca="1">Table17[[#This Row],[Required Resolution Date]]-$AA$1</f>
        <v>-40990</v>
      </c>
      <c r="AH149" s="327" t="b">
        <f t="shared" ca="1" si="19"/>
        <v>0</v>
      </c>
      <c r="AI149" s="327" t="b">
        <f>OR(Table17[[#This Row],[Priority]]="04. High",Table17[[#This Row],[Priority]]="05. Critical",Table17[[#This Row],[Priority]]="03. Moderate")</f>
        <v>0</v>
      </c>
      <c r="AJ149" s="185"/>
      <c r="AK149" s="185"/>
      <c r="AL149" s="185"/>
      <c r="AM149" s="185"/>
      <c r="AN149" s="185"/>
      <c r="AO149" s="185"/>
      <c r="AP149" s="185"/>
      <c r="AQ149" s="185"/>
      <c r="AR149" s="185"/>
      <c r="AS149" s="185"/>
      <c r="AT149" s="185"/>
      <c r="AU149" s="185"/>
      <c r="AV149" s="185"/>
      <c r="AW149" s="185"/>
      <c r="AX149" s="185"/>
      <c r="AY149" s="185"/>
      <c r="AZ149" s="185"/>
      <c r="BA149" s="185"/>
      <c r="BB149" s="185"/>
      <c r="BC149" s="185"/>
      <c r="BD149" s="185"/>
      <c r="BE149" s="185"/>
      <c r="BF149" s="185"/>
      <c r="BG149" s="185"/>
      <c r="BH149" s="185"/>
      <c r="BI149" s="185"/>
      <c r="BJ149" s="185"/>
      <c r="BK149" s="185"/>
      <c r="BL149" s="185"/>
      <c r="BM149" s="185"/>
      <c r="BN149" s="185"/>
      <c r="BO149" s="185"/>
      <c r="BP149" s="185"/>
      <c r="BQ149" s="185"/>
      <c r="BR149" s="185"/>
      <c r="BS149" s="185"/>
      <c r="BT149" s="185"/>
      <c r="BU149" s="185"/>
      <c r="BV149" s="185"/>
      <c r="BW149" s="185"/>
      <c r="BX149" s="185"/>
      <c r="BY149" s="185"/>
      <c r="BZ149" s="185"/>
      <c r="CA149" s="185"/>
      <c r="CB149" s="185"/>
      <c r="CC149" s="185"/>
      <c r="CD149" s="185"/>
      <c r="CE149" s="185"/>
      <c r="CF149" s="185"/>
      <c r="CG149" s="185"/>
      <c r="CH149" s="185"/>
      <c r="CI149" s="185"/>
      <c r="CJ149" s="185"/>
      <c r="CK149" s="185"/>
      <c r="CL149" s="185"/>
      <c r="CM149" s="185"/>
      <c r="CN149" s="185"/>
      <c r="CO149" s="185"/>
      <c r="CP149" s="185"/>
      <c r="CQ149" s="185"/>
      <c r="CR149" s="185"/>
      <c r="CS149" s="185"/>
      <c r="CT149" s="185"/>
      <c r="CU149" s="185"/>
      <c r="CV149" s="185"/>
      <c r="CW149" s="185"/>
      <c r="CX149" s="185"/>
      <c r="CY149" s="185"/>
      <c r="CZ149" s="185"/>
      <c r="DA149" s="185"/>
      <c r="DB149" s="185"/>
      <c r="DC149" s="185"/>
      <c r="DD149" s="185"/>
      <c r="DE149" s="185"/>
      <c r="DF149" s="185"/>
      <c r="DG149" s="185"/>
      <c r="DH149" s="185"/>
      <c r="DI149" s="185"/>
      <c r="DJ149" s="185"/>
      <c r="DK149" s="185"/>
      <c r="DL149" s="185"/>
      <c r="DM149" s="185"/>
      <c r="DN149" s="185"/>
      <c r="DO149" s="185"/>
      <c r="DP149" s="185"/>
      <c r="DQ149" s="185"/>
      <c r="DR149" s="185"/>
      <c r="DS149" s="185"/>
      <c r="DT149" s="185"/>
      <c r="DU149" s="185"/>
      <c r="DV149" s="185"/>
      <c r="DW149" s="185"/>
      <c r="DX149" s="185"/>
      <c r="DY149" s="185"/>
      <c r="DZ149" s="185"/>
      <c r="EA149" s="185"/>
      <c r="EB149" s="185"/>
      <c r="EC149" s="185"/>
      <c r="ED149" s="185"/>
      <c r="EE149" s="185"/>
      <c r="EF149" s="185"/>
      <c r="EG149" s="185"/>
      <c r="EH149" s="185"/>
      <c r="EI149" s="185"/>
      <c r="EJ149" s="185"/>
      <c r="EK149" s="185"/>
      <c r="EL149" s="185"/>
      <c r="EM149" s="185"/>
      <c r="EN149" s="185"/>
      <c r="EO149" s="185"/>
      <c r="EP149" s="185"/>
      <c r="EQ149" s="185"/>
      <c r="ER149" s="185"/>
      <c r="ES149" s="185"/>
      <c r="ET149" s="185"/>
      <c r="EU149" s="185"/>
      <c r="EV149" s="185"/>
      <c r="EW149" s="185"/>
      <c r="EX149" s="185"/>
      <c r="EY149" s="185"/>
      <c r="EZ149" s="185"/>
      <c r="FA149" s="185"/>
      <c r="FB149" s="185"/>
      <c r="FC149" s="185"/>
      <c r="FD149" s="185"/>
      <c r="FE149" s="185"/>
      <c r="FF149" s="185"/>
      <c r="FG149" s="185"/>
      <c r="FH149" s="185"/>
      <c r="FI149" s="185"/>
      <c r="FJ149" s="185"/>
      <c r="FK149" s="185"/>
    </row>
    <row r="150" spans="1:167" s="186" customFormat="1" ht="351" hidden="1">
      <c r="A150" s="174" t="s">
        <v>666</v>
      </c>
      <c r="B150" s="329">
        <v>40914</v>
      </c>
      <c r="C150" s="326" t="s">
        <v>1562</v>
      </c>
      <c r="D150" s="325" t="s">
        <v>676</v>
      </c>
      <c r="E150" s="326"/>
      <c r="F150" s="195" t="s">
        <v>2093</v>
      </c>
      <c r="G150" s="326" t="s">
        <v>679</v>
      </c>
      <c r="H150" s="326" t="s">
        <v>152</v>
      </c>
      <c r="I150" s="326" t="s">
        <v>152</v>
      </c>
      <c r="J150" s="326" t="s">
        <v>1563</v>
      </c>
      <c r="K150" s="326" t="s">
        <v>151</v>
      </c>
      <c r="L150" s="333" t="s">
        <v>166</v>
      </c>
      <c r="M150" s="195" t="s">
        <v>836</v>
      </c>
      <c r="N150" s="333" t="s">
        <v>311</v>
      </c>
      <c r="O150" s="333"/>
      <c r="P150" s="195" t="s">
        <v>1706</v>
      </c>
      <c r="Q150" s="331"/>
      <c r="R150" s="331">
        <v>40989</v>
      </c>
      <c r="S150" s="190" t="s">
        <v>2576</v>
      </c>
      <c r="T150" s="326" t="s">
        <v>1571</v>
      </c>
      <c r="U150" s="190" t="s">
        <v>2778</v>
      </c>
      <c r="V150" s="326">
        <v>40975</v>
      </c>
      <c r="W150" s="326"/>
      <c r="X150" s="185"/>
      <c r="Y150" s="176" t="str">
        <f ca="1">IF(Table17[[#This Row],[Required Resolution Date]]="","FALSE",IF($AA$1&gt;Table17[[#This Row],[Required Resolution Date]],"TRUE","FALSE"))</f>
        <v>TRUE</v>
      </c>
      <c r="Z150" s="175">
        <f t="shared" ca="1" si="15"/>
        <v>1</v>
      </c>
      <c r="AA150" s="185"/>
      <c r="AB150" s="327" t="b">
        <f>OR(Table17[[#This Row],[Priority]]="04. High",Table17[[#This Row],[Priority]]="05. Critical")</f>
        <v>1</v>
      </c>
      <c r="AC150" s="284">
        <f ca="1">$AA$1-Table17[[#This Row],[Date captured]]</f>
        <v>76</v>
      </c>
      <c r="AD150" s="327" t="b">
        <f t="shared" ca="1" si="16"/>
        <v>1</v>
      </c>
      <c r="AE150" s="327" t="b">
        <f t="shared" ca="1" si="17"/>
        <v>0</v>
      </c>
      <c r="AF150" s="327" t="b">
        <f t="shared" ca="1" si="18"/>
        <v>0</v>
      </c>
      <c r="AG150" s="284">
        <f ca="1">Table17[[#This Row],[Required Resolution Date]]-$AA$1</f>
        <v>-1</v>
      </c>
      <c r="AH150" s="327" t="b">
        <f t="shared" ca="1" si="19"/>
        <v>0</v>
      </c>
      <c r="AI150" s="327" t="b">
        <f>OR(Table17[[#This Row],[Priority]]="04. High",Table17[[#This Row],[Priority]]="05. Critical",Table17[[#This Row],[Priority]]="03. Moderate")</f>
        <v>1</v>
      </c>
      <c r="AJ150" s="185"/>
      <c r="AK150" s="185"/>
      <c r="AL150" s="185"/>
      <c r="AM150" s="185"/>
      <c r="AN150" s="185"/>
      <c r="AO150" s="185"/>
      <c r="AP150" s="185"/>
      <c r="AQ150" s="185"/>
      <c r="AR150" s="185"/>
      <c r="AS150" s="185"/>
      <c r="AT150" s="185"/>
      <c r="AU150" s="185"/>
      <c r="AV150" s="185"/>
      <c r="AW150" s="185"/>
      <c r="AX150" s="185"/>
      <c r="AY150" s="185"/>
      <c r="AZ150" s="185"/>
      <c r="BA150" s="185"/>
      <c r="BB150" s="185"/>
      <c r="BC150" s="185"/>
      <c r="BD150" s="185"/>
      <c r="BE150" s="185"/>
      <c r="BF150" s="185"/>
      <c r="BG150" s="185"/>
      <c r="BH150" s="185"/>
      <c r="BI150" s="185"/>
      <c r="BJ150" s="185"/>
      <c r="BK150" s="185"/>
      <c r="BL150" s="185"/>
      <c r="BM150" s="185"/>
      <c r="BN150" s="185"/>
      <c r="BO150" s="185"/>
      <c r="BP150" s="185"/>
      <c r="BQ150" s="185"/>
      <c r="BR150" s="185"/>
      <c r="BS150" s="185"/>
      <c r="BT150" s="185"/>
      <c r="BU150" s="185"/>
      <c r="BV150" s="185"/>
      <c r="BW150" s="185"/>
      <c r="BX150" s="185"/>
      <c r="BY150" s="185"/>
      <c r="BZ150" s="185"/>
      <c r="CA150" s="185"/>
      <c r="CB150" s="185"/>
      <c r="CC150" s="185"/>
      <c r="CD150" s="185"/>
      <c r="CE150" s="185"/>
      <c r="CF150" s="185"/>
      <c r="CG150" s="185"/>
      <c r="CH150" s="185"/>
      <c r="CI150" s="185"/>
      <c r="CJ150" s="185"/>
      <c r="CK150" s="185"/>
      <c r="CL150" s="185"/>
      <c r="CM150" s="185"/>
      <c r="CN150" s="185"/>
      <c r="CO150" s="185"/>
      <c r="CP150" s="185"/>
      <c r="CQ150" s="185"/>
      <c r="CR150" s="185"/>
      <c r="CS150" s="185"/>
      <c r="CT150" s="185"/>
      <c r="CU150" s="185"/>
      <c r="CV150" s="185"/>
      <c r="CW150" s="185"/>
      <c r="CX150" s="185"/>
      <c r="CY150" s="185"/>
      <c r="CZ150" s="185"/>
      <c r="DA150" s="185"/>
      <c r="DB150" s="185"/>
      <c r="DC150" s="185"/>
      <c r="DD150" s="185"/>
      <c r="DE150" s="185"/>
      <c r="DF150" s="185"/>
      <c r="DG150" s="185"/>
      <c r="DH150" s="185"/>
      <c r="DI150" s="185"/>
      <c r="DJ150" s="185"/>
      <c r="DK150" s="185"/>
      <c r="DL150" s="185"/>
      <c r="DM150" s="185"/>
      <c r="DN150" s="185"/>
      <c r="DO150" s="185"/>
      <c r="DP150" s="185"/>
      <c r="DQ150" s="185"/>
      <c r="DR150" s="185"/>
      <c r="DS150" s="185"/>
      <c r="DT150" s="185"/>
      <c r="DU150" s="185"/>
      <c r="DV150" s="185"/>
      <c r="DW150" s="185"/>
      <c r="DX150" s="185"/>
      <c r="DY150" s="185"/>
      <c r="DZ150" s="185"/>
      <c r="EA150" s="185"/>
      <c r="EB150" s="185"/>
      <c r="EC150" s="185"/>
      <c r="ED150" s="185"/>
      <c r="EE150" s="185"/>
      <c r="EF150" s="185"/>
      <c r="EG150" s="185"/>
      <c r="EH150" s="185"/>
      <c r="EI150" s="185"/>
      <c r="EJ150" s="185"/>
      <c r="EK150" s="185"/>
      <c r="EL150" s="185"/>
      <c r="EM150" s="185"/>
      <c r="EN150" s="185"/>
      <c r="EO150" s="185"/>
      <c r="EP150" s="185"/>
      <c r="EQ150" s="185"/>
      <c r="ER150" s="185"/>
      <c r="ES150" s="185"/>
      <c r="ET150" s="185"/>
      <c r="EU150" s="185"/>
      <c r="EV150" s="185"/>
      <c r="EW150" s="185"/>
      <c r="EX150" s="185"/>
      <c r="EY150" s="185"/>
      <c r="EZ150" s="185"/>
      <c r="FA150" s="185"/>
      <c r="FB150" s="185"/>
      <c r="FC150" s="185"/>
      <c r="FD150" s="185"/>
      <c r="FE150" s="185"/>
      <c r="FF150" s="185"/>
      <c r="FG150" s="185"/>
      <c r="FH150" s="185"/>
      <c r="FI150" s="185"/>
      <c r="FJ150" s="185"/>
      <c r="FK150" s="185"/>
    </row>
    <row r="151" spans="1:167" s="186" customFormat="1" ht="216" hidden="1">
      <c r="A151" s="174" t="s">
        <v>667</v>
      </c>
      <c r="B151" s="329">
        <v>40914</v>
      </c>
      <c r="C151" s="326" t="s">
        <v>1562</v>
      </c>
      <c r="D151" s="325" t="s">
        <v>676</v>
      </c>
      <c r="E151" s="141"/>
      <c r="F151" s="195" t="s">
        <v>2006</v>
      </c>
      <c r="G151" s="326" t="s">
        <v>679</v>
      </c>
      <c r="H151" s="326" t="s">
        <v>679</v>
      </c>
      <c r="I151" s="326" t="s">
        <v>1563</v>
      </c>
      <c r="J151" s="326" t="s">
        <v>679</v>
      </c>
      <c r="K151" s="326" t="s">
        <v>152</v>
      </c>
      <c r="L151" s="333" t="s">
        <v>296</v>
      </c>
      <c r="M151" s="195" t="s">
        <v>296</v>
      </c>
      <c r="N151" s="333" t="s">
        <v>303</v>
      </c>
      <c r="O151" s="333"/>
      <c r="P151" s="195" t="s">
        <v>1692</v>
      </c>
      <c r="Q151" s="179">
        <v>40975</v>
      </c>
      <c r="R151" s="331">
        <v>40939</v>
      </c>
      <c r="S151" s="324" t="s">
        <v>2567</v>
      </c>
      <c r="T151" s="326" t="s">
        <v>1565</v>
      </c>
      <c r="U151" s="190" t="s">
        <v>3064</v>
      </c>
      <c r="V151" s="326">
        <v>40974</v>
      </c>
      <c r="W151" s="326"/>
      <c r="X151" s="185"/>
      <c r="Y151" s="176" t="str">
        <f ca="1">IF(Table17[[#This Row],[Required Resolution Date]]="","FALSE",IF($AA$1&gt;Table17[[#This Row],[Required Resolution Date]],"TRUE","FALSE"))</f>
        <v>TRUE</v>
      </c>
      <c r="Z151" s="175">
        <f t="shared" ca="1" si="15"/>
        <v>1</v>
      </c>
      <c r="AA151" s="185"/>
      <c r="AB151" s="327" t="b">
        <f>OR(Table17[[#This Row],[Priority]]="04. High",Table17[[#This Row],[Priority]]="05. Critical")</f>
        <v>1</v>
      </c>
      <c r="AC151" s="284">
        <f ca="1">$AA$1-Table17[[#This Row],[Date captured]]</f>
        <v>76</v>
      </c>
      <c r="AD151" s="327" t="b">
        <f t="shared" ca="1" si="16"/>
        <v>1</v>
      </c>
      <c r="AE151" s="327" t="b">
        <f t="shared" ca="1" si="17"/>
        <v>0</v>
      </c>
      <c r="AF151" s="327" t="b">
        <f t="shared" ca="1" si="18"/>
        <v>0</v>
      </c>
      <c r="AG151" s="284">
        <f ca="1">Table17[[#This Row],[Required Resolution Date]]-$AA$1</f>
        <v>-51</v>
      </c>
      <c r="AH151" s="327" t="b">
        <f t="shared" ca="1" si="19"/>
        <v>0</v>
      </c>
      <c r="AI151" s="327" t="b">
        <f>OR(Table17[[#This Row],[Priority]]="04. High",Table17[[#This Row],[Priority]]="05. Critical",Table17[[#This Row],[Priority]]="03. Moderate")</f>
        <v>1</v>
      </c>
      <c r="AJ151" s="185"/>
      <c r="AK151" s="185"/>
      <c r="AL151" s="185"/>
      <c r="AM151" s="185"/>
      <c r="AN151" s="185"/>
      <c r="AO151" s="185"/>
      <c r="AP151" s="185"/>
      <c r="AQ151" s="185"/>
      <c r="AR151" s="185"/>
      <c r="AS151" s="185"/>
      <c r="AT151" s="185"/>
      <c r="AU151" s="185"/>
      <c r="AV151" s="185"/>
      <c r="AW151" s="185"/>
      <c r="AX151" s="185"/>
      <c r="AY151" s="185"/>
      <c r="AZ151" s="185"/>
      <c r="BA151" s="185"/>
      <c r="BB151" s="185"/>
      <c r="BC151" s="185"/>
      <c r="BD151" s="185"/>
      <c r="BE151" s="185"/>
      <c r="BF151" s="185"/>
      <c r="BG151" s="185"/>
      <c r="BH151" s="185"/>
      <c r="BI151" s="185"/>
      <c r="BJ151" s="185"/>
      <c r="BK151" s="185"/>
      <c r="BL151" s="185"/>
      <c r="BM151" s="185"/>
      <c r="BN151" s="185"/>
      <c r="BO151" s="185"/>
      <c r="BP151" s="185"/>
      <c r="BQ151" s="185"/>
      <c r="BR151" s="185"/>
      <c r="BS151" s="185"/>
      <c r="BT151" s="185"/>
      <c r="BU151" s="185"/>
      <c r="BV151" s="185"/>
      <c r="BW151" s="185"/>
      <c r="BX151" s="185"/>
      <c r="BY151" s="185"/>
      <c r="BZ151" s="185"/>
      <c r="CA151" s="185"/>
      <c r="CB151" s="185"/>
      <c r="CC151" s="185"/>
      <c r="CD151" s="185"/>
      <c r="CE151" s="185"/>
      <c r="CF151" s="185"/>
      <c r="CG151" s="185"/>
      <c r="CH151" s="185"/>
      <c r="CI151" s="185"/>
      <c r="CJ151" s="185"/>
      <c r="CK151" s="185"/>
      <c r="CL151" s="185"/>
      <c r="CM151" s="185"/>
      <c r="CN151" s="185"/>
      <c r="CO151" s="185"/>
      <c r="CP151" s="185"/>
      <c r="CQ151" s="185"/>
      <c r="CR151" s="185"/>
      <c r="CS151" s="185"/>
      <c r="CT151" s="185"/>
      <c r="CU151" s="185"/>
      <c r="CV151" s="185"/>
      <c r="CW151" s="185"/>
      <c r="CX151" s="185"/>
      <c r="CY151" s="185"/>
      <c r="CZ151" s="185"/>
      <c r="DA151" s="185"/>
      <c r="DB151" s="185"/>
      <c r="DC151" s="185"/>
      <c r="DD151" s="185"/>
      <c r="DE151" s="185"/>
      <c r="DF151" s="185"/>
      <c r="DG151" s="185"/>
      <c r="DH151" s="185"/>
      <c r="DI151" s="185"/>
      <c r="DJ151" s="185"/>
      <c r="DK151" s="185"/>
      <c r="DL151" s="185"/>
      <c r="DM151" s="185"/>
      <c r="DN151" s="185"/>
      <c r="DO151" s="185"/>
      <c r="DP151" s="185"/>
      <c r="DQ151" s="185"/>
      <c r="DR151" s="185"/>
      <c r="DS151" s="185"/>
      <c r="DT151" s="185"/>
      <c r="DU151" s="185"/>
      <c r="DV151" s="185"/>
      <c r="DW151" s="185"/>
      <c r="DX151" s="185"/>
      <c r="DY151" s="185"/>
      <c r="DZ151" s="185"/>
      <c r="EA151" s="185"/>
      <c r="EB151" s="185"/>
      <c r="EC151" s="185"/>
      <c r="ED151" s="185"/>
      <c r="EE151" s="185"/>
      <c r="EF151" s="185"/>
      <c r="EG151" s="185"/>
      <c r="EH151" s="185"/>
      <c r="EI151" s="185"/>
      <c r="EJ151" s="185"/>
      <c r="EK151" s="185"/>
      <c r="EL151" s="185"/>
      <c r="EM151" s="185"/>
      <c r="EN151" s="185"/>
      <c r="EO151" s="185"/>
      <c r="EP151" s="185"/>
      <c r="EQ151" s="185"/>
      <c r="ER151" s="185"/>
      <c r="ES151" s="185"/>
      <c r="ET151" s="185"/>
      <c r="EU151" s="185"/>
      <c r="EV151" s="185"/>
      <c r="EW151" s="185"/>
      <c r="EX151" s="185"/>
      <c r="EY151" s="185"/>
      <c r="EZ151" s="185"/>
      <c r="FA151" s="185"/>
      <c r="FB151" s="185"/>
      <c r="FC151" s="185"/>
      <c r="FD151" s="185"/>
      <c r="FE151" s="185"/>
      <c r="FF151" s="185"/>
      <c r="FG151" s="185"/>
      <c r="FH151" s="185"/>
      <c r="FI151" s="185"/>
      <c r="FJ151" s="185"/>
      <c r="FK151" s="185"/>
    </row>
    <row r="152" spans="1:167" s="186" customFormat="1" ht="48" hidden="1">
      <c r="A152" s="3" t="s">
        <v>590</v>
      </c>
      <c r="B152" s="78">
        <v>40655</v>
      </c>
      <c r="C152" s="91"/>
      <c r="D152" s="92" t="s">
        <v>676</v>
      </c>
      <c r="E152" s="91"/>
      <c r="F152" s="71" t="s">
        <v>834</v>
      </c>
      <c r="G152" s="91"/>
      <c r="H152" s="91"/>
      <c r="I152" s="91"/>
      <c r="J152" s="91"/>
      <c r="K152" s="91" t="s">
        <v>151</v>
      </c>
      <c r="L152" s="127"/>
      <c r="M152" s="71" t="s">
        <v>837</v>
      </c>
      <c r="N152" s="71" t="s">
        <v>150</v>
      </c>
      <c r="O152" s="71"/>
      <c r="P152" s="71"/>
      <c r="Q152" s="78">
        <v>40660</v>
      </c>
      <c r="R152" s="105">
        <v>40660</v>
      </c>
      <c r="S152" s="103" t="s">
        <v>838</v>
      </c>
      <c r="T152" s="103"/>
      <c r="U152" s="442" t="s">
        <v>3065</v>
      </c>
      <c r="V152" s="87">
        <v>40660</v>
      </c>
      <c r="W152" s="31"/>
      <c r="X152" s="185"/>
      <c r="Y152" s="176" t="str">
        <f ca="1">IF(Table17[[#This Row],[Required Resolution Date]]="","FALSE",IF($AA$1&gt;Table17[[#This Row],[Required Resolution Date]],"TRUE","FALSE"))</f>
        <v>TRUE</v>
      </c>
      <c r="Z152" s="175">
        <f t="shared" ca="1" si="15"/>
        <v>1</v>
      </c>
      <c r="AA152" s="185"/>
      <c r="AB152" s="327" t="b">
        <f>OR(Table17[[#This Row],[Priority]]="04. High",Table17[[#This Row],[Priority]]="05. Critical")</f>
        <v>1</v>
      </c>
      <c r="AC152" s="284">
        <f ca="1">$AA$1-Table17[[#This Row],[Date captured]]</f>
        <v>335</v>
      </c>
      <c r="AD152" s="327" t="b">
        <f t="shared" ca="1" si="16"/>
        <v>0</v>
      </c>
      <c r="AE152" s="327" t="b">
        <f t="shared" ca="1" si="17"/>
        <v>0</v>
      </c>
      <c r="AF152" s="327" t="b">
        <f t="shared" ca="1" si="18"/>
        <v>1</v>
      </c>
      <c r="AG152" s="284">
        <f ca="1">Table17[[#This Row],[Required Resolution Date]]-$AA$1</f>
        <v>-330</v>
      </c>
      <c r="AH152" s="327" t="b">
        <f t="shared" ca="1" si="19"/>
        <v>0</v>
      </c>
      <c r="AI152" s="327" t="b">
        <f>OR(Table17[[#This Row],[Priority]]="04. High",Table17[[#This Row],[Priority]]="05. Critical",Table17[[#This Row],[Priority]]="03. Moderate")</f>
        <v>1</v>
      </c>
      <c r="AJ152" s="185"/>
      <c r="AK152" s="185"/>
      <c r="AL152" s="185"/>
      <c r="AM152" s="185"/>
      <c r="AN152" s="185"/>
      <c r="AO152" s="185"/>
      <c r="AP152" s="185"/>
      <c r="AQ152" s="185"/>
      <c r="AR152" s="185"/>
      <c r="AS152" s="185"/>
      <c r="AT152" s="185"/>
      <c r="AU152" s="185"/>
      <c r="AV152" s="185"/>
      <c r="AW152" s="185"/>
      <c r="AX152" s="185"/>
      <c r="AY152" s="185"/>
      <c r="AZ152" s="185"/>
      <c r="BA152" s="185"/>
      <c r="BB152" s="185"/>
      <c r="BC152" s="185"/>
      <c r="BD152" s="185"/>
      <c r="BE152" s="185"/>
      <c r="BF152" s="185"/>
      <c r="BG152" s="185"/>
      <c r="BH152" s="185"/>
      <c r="BI152" s="185"/>
      <c r="BJ152" s="185"/>
      <c r="BK152" s="185"/>
      <c r="BL152" s="185"/>
      <c r="BM152" s="185"/>
      <c r="BN152" s="185"/>
      <c r="BO152" s="185"/>
      <c r="BP152" s="185"/>
      <c r="BQ152" s="185"/>
      <c r="BR152" s="185"/>
      <c r="BS152" s="185"/>
      <c r="BT152" s="185"/>
      <c r="BU152" s="185"/>
      <c r="BV152" s="185"/>
      <c r="BW152" s="185"/>
      <c r="BX152" s="185"/>
      <c r="BY152" s="185"/>
      <c r="BZ152" s="185"/>
      <c r="CA152" s="185"/>
      <c r="CB152" s="185"/>
      <c r="CC152" s="185"/>
      <c r="CD152" s="185"/>
      <c r="CE152" s="185"/>
      <c r="CF152" s="185"/>
      <c r="CG152" s="185"/>
      <c r="CH152" s="185"/>
      <c r="CI152" s="185"/>
      <c r="CJ152" s="185"/>
      <c r="CK152" s="185"/>
      <c r="CL152" s="185"/>
      <c r="CM152" s="185"/>
      <c r="CN152" s="185"/>
      <c r="CO152" s="185"/>
      <c r="CP152" s="185"/>
      <c r="CQ152" s="185"/>
      <c r="CR152" s="185"/>
      <c r="CS152" s="185"/>
      <c r="CT152" s="185"/>
      <c r="CU152" s="185"/>
      <c r="CV152" s="185"/>
      <c r="CW152" s="185"/>
      <c r="CX152" s="185"/>
      <c r="CY152" s="185"/>
      <c r="CZ152" s="185"/>
      <c r="DA152" s="185"/>
      <c r="DB152" s="185"/>
      <c r="DC152" s="185"/>
      <c r="DD152" s="185"/>
      <c r="DE152" s="185"/>
      <c r="DF152" s="185"/>
      <c r="DG152" s="185"/>
      <c r="DH152" s="185"/>
      <c r="DI152" s="185"/>
      <c r="DJ152" s="185"/>
      <c r="DK152" s="185"/>
      <c r="DL152" s="185"/>
      <c r="DM152" s="185"/>
      <c r="DN152" s="185"/>
      <c r="DO152" s="185"/>
      <c r="DP152" s="185"/>
      <c r="DQ152" s="185"/>
      <c r="DR152" s="185"/>
      <c r="DS152" s="185"/>
      <c r="DT152" s="185"/>
      <c r="DU152" s="185"/>
      <c r="DV152" s="185"/>
      <c r="DW152" s="185"/>
      <c r="DX152" s="185"/>
      <c r="DY152" s="185"/>
      <c r="DZ152" s="185"/>
      <c r="EA152" s="185"/>
      <c r="EB152" s="185"/>
      <c r="EC152" s="185"/>
      <c r="ED152" s="185"/>
      <c r="EE152" s="185"/>
      <c r="EF152" s="185"/>
      <c r="EG152" s="185"/>
      <c r="EH152" s="185"/>
      <c r="EI152" s="185"/>
      <c r="EJ152" s="185"/>
      <c r="EK152" s="185"/>
      <c r="EL152" s="185"/>
      <c r="EM152" s="185"/>
      <c r="EN152" s="185"/>
      <c r="EO152" s="185"/>
      <c r="EP152" s="185"/>
      <c r="EQ152" s="185"/>
      <c r="ER152" s="185"/>
      <c r="ES152" s="185"/>
      <c r="ET152" s="185"/>
      <c r="EU152" s="185"/>
      <c r="EV152" s="185"/>
      <c r="EW152" s="185"/>
      <c r="EX152" s="185"/>
      <c r="EY152" s="185"/>
      <c r="EZ152" s="185"/>
      <c r="FA152" s="185"/>
      <c r="FB152" s="185"/>
      <c r="FC152" s="185"/>
      <c r="FD152" s="185"/>
      <c r="FE152" s="185"/>
      <c r="FF152" s="185"/>
      <c r="FG152" s="185"/>
      <c r="FH152" s="185"/>
      <c r="FI152" s="185"/>
      <c r="FJ152" s="185"/>
      <c r="FK152" s="185"/>
    </row>
    <row r="153" spans="1:167" s="186" customFormat="1">
      <c r="A153" s="338" t="s">
        <v>2748</v>
      </c>
      <c r="B153" s="329"/>
      <c r="C153" s="326"/>
      <c r="D153" s="325"/>
      <c r="E153" s="326"/>
      <c r="F153" s="338"/>
      <c r="G153" s="326"/>
      <c r="H153" s="326"/>
      <c r="I153" s="326"/>
      <c r="J153" s="326"/>
      <c r="K153" s="326"/>
      <c r="L153" s="333"/>
      <c r="M153" s="339"/>
      <c r="N153" s="337"/>
      <c r="O153" s="337"/>
      <c r="P153" s="339"/>
      <c r="Q153" s="331"/>
      <c r="R153" s="332"/>
      <c r="S153" s="333"/>
      <c r="T153" s="334"/>
      <c r="U153" s="326"/>
      <c r="V153" s="334"/>
      <c r="W153" s="335"/>
      <c r="X153" s="185"/>
      <c r="Y153" s="176" t="str">
        <f>IF(Table17[[#This Row],[Required Resolution Date]]="","FALSE",IF($AA$1&gt;Table17[[#This Row],[Required Resolution Date]],"TRUE","FALSE"))</f>
        <v>FALSE</v>
      </c>
      <c r="Z153" s="175">
        <f t="shared" si="15"/>
        <v>0</v>
      </c>
      <c r="AA153" s="185"/>
      <c r="AB153" s="327" t="b">
        <f>OR(Table17[[#This Row],[Priority]]="04. High",Table17[[#This Row],[Priority]]="05. Critical")</f>
        <v>0</v>
      </c>
      <c r="AC153" s="284">
        <f ca="1">$AA$1-Table17[[#This Row],[Date captured]]</f>
        <v>40990</v>
      </c>
      <c r="AD153" s="327" t="b">
        <f t="shared" ca="1" si="16"/>
        <v>0</v>
      </c>
      <c r="AE153" s="327" t="b">
        <f t="shared" ca="1" si="17"/>
        <v>0</v>
      </c>
      <c r="AF153" s="327" t="b">
        <f t="shared" ca="1" si="18"/>
        <v>1</v>
      </c>
      <c r="AG153" s="284">
        <f ca="1">Table17[[#This Row],[Required Resolution Date]]-$AA$1</f>
        <v>-40990</v>
      </c>
      <c r="AH153" s="327" t="b">
        <f t="shared" ca="1" si="19"/>
        <v>0</v>
      </c>
      <c r="AI153" s="327" t="b">
        <f>OR(Table17[[#This Row],[Priority]]="04. High",Table17[[#This Row],[Priority]]="05. Critical",Table17[[#This Row],[Priority]]="03. Moderate")</f>
        <v>0</v>
      </c>
      <c r="AJ153" s="185"/>
      <c r="AK153" s="185"/>
      <c r="AL153" s="185"/>
      <c r="AM153" s="185"/>
      <c r="AN153" s="185"/>
      <c r="AO153" s="185"/>
      <c r="AP153" s="185"/>
      <c r="AQ153" s="185"/>
      <c r="AR153" s="185"/>
      <c r="AS153" s="185"/>
      <c r="AT153" s="185"/>
      <c r="AU153" s="185"/>
      <c r="AV153" s="185"/>
      <c r="AW153" s="185"/>
      <c r="AX153" s="185"/>
      <c r="AY153" s="185"/>
      <c r="AZ153" s="185"/>
      <c r="BA153" s="185"/>
      <c r="BB153" s="185"/>
      <c r="BC153" s="185"/>
      <c r="BD153" s="185"/>
      <c r="BE153" s="185"/>
      <c r="BF153" s="185"/>
      <c r="BG153" s="185"/>
      <c r="BH153" s="185"/>
      <c r="BI153" s="185"/>
      <c r="BJ153" s="185"/>
      <c r="BK153" s="185"/>
      <c r="BL153" s="185"/>
      <c r="BM153" s="185"/>
      <c r="BN153" s="185"/>
      <c r="BO153" s="185"/>
      <c r="BP153" s="185"/>
      <c r="BQ153" s="185"/>
      <c r="BR153" s="185"/>
      <c r="BS153" s="185"/>
      <c r="BT153" s="185"/>
      <c r="BU153" s="185"/>
      <c r="BV153" s="185"/>
      <c r="BW153" s="185"/>
      <c r="BX153" s="185"/>
      <c r="BY153" s="185"/>
      <c r="BZ153" s="185"/>
      <c r="CA153" s="185"/>
      <c r="CB153" s="185"/>
      <c r="CC153" s="185"/>
      <c r="CD153" s="185"/>
      <c r="CE153" s="185"/>
      <c r="CF153" s="185"/>
      <c r="CG153" s="185"/>
      <c r="CH153" s="185"/>
      <c r="CI153" s="185"/>
      <c r="CJ153" s="185"/>
      <c r="CK153" s="185"/>
      <c r="CL153" s="185"/>
      <c r="CM153" s="185"/>
      <c r="CN153" s="185"/>
      <c r="CO153" s="185"/>
      <c r="CP153" s="185"/>
      <c r="CQ153" s="185"/>
      <c r="CR153" s="185"/>
      <c r="CS153" s="185"/>
      <c r="CT153" s="185"/>
      <c r="CU153" s="185"/>
      <c r="CV153" s="185"/>
      <c r="CW153" s="185"/>
      <c r="CX153" s="185"/>
      <c r="CY153" s="185"/>
      <c r="CZ153" s="185"/>
      <c r="DA153" s="185"/>
      <c r="DB153" s="185"/>
      <c r="DC153" s="185"/>
      <c r="DD153" s="185"/>
      <c r="DE153" s="185"/>
      <c r="DF153" s="185"/>
      <c r="DG153" s="185"/>
      <c r="DH153" s="185"/>
      <c r="DI153" s="185"/>
      <c r="DJ153" s="185"/>
      <c r="DK153" s="185"/>
      <c r="DL153" s="185"/>
      <c r="DM153" s="185"/>
      <c r="DN153" s="185"/>
      <c r="DO153" s="185"/>
      <c r="DP153" s="185"/>
      <c r="DQ153" s="185"/>
      <c r="DR153" s="185"/>
      <c r="DS153" s="185"/>
      <c r="DT153" s="185"/>
      <c r="DU153" s="185"/>
      <c r="DV153" s="185"/>
      <c r="DW153" s="185"/>
      <c r="DX153" s="185"/>
      <c r="DY153" s="185"/>
      <c r="DZ153" s="185"/>
      <c r="EA153" s="185"/>
      <c r="EB153" s="185"/>
      <c r="EC153" s="185"/>
      <c r="ED153" s="185"/>
      <c r="EE153" s="185"/>
      <c r="EF153" s="185"/>
      <c r="EG153" s="185"/>
      <c r="EH153" s="185"/>
      <c r="EI153" s="185"/>
      <c r="EJ153" s="185"/>
      <c r="EK153" s="185"/>
      <c r="EL153" s="185"/>
      <c r="EM153" s="185"/>
      <c r="EN153" s="185"/>
      <c r="EO153" s="185"/>
      <c r="EP153" s="185"/>
      <c r="EQ153" s="185"/>
      <c r="ER153" s="185"/>
      <c r="ES153" s="185"/>
      <c r="ET153" s="185"/>
      <c r="EU153" s="185"/>
      <c r="EV153" s="185"/>
      <c r="EW153" s="185"/>
      <c r="EX153" s="185"/>
      <c r="EY153" s="185"/>
      <c r="EZ153" s="185"/>
      <c r="FA153" s="185"/>
      <c r="FB153" s="185"/>
      <c r="FC153" s="185"/>
      <c r="FD153" s="185"/>
      <c r="FE153" s="185"/>
      <c r="FF153" s="185"/>
      <c r="FG153" s="185"/>
      <c r="FH153" s="185"/>
      <c r="FI153" s="185"/>
      <c r="FJ153" s="185"/>
      <c r="FK153" s="185"/>
    </row>
    <row r="154" spans="1:167" s="186" customFormat="1">
      <c r="A154" s="338" t="s">
        <v>2749</v>
      </c>
      <c r="B154" s="329"/>
      <c r="C154" s="326"/>
      <c r="D154" s="325"/>
      <c r="E154" s="326"/>
      <c r="F154" s="338"/>
      <c r="G154" s="326"/>
      <c r="H154" s="326"/>
      <c r="I154" s="326"/>
      <c r="J154" s="326"/>
      <c r="K154" s="326"/>
      <c r="L154" s="333"/>
      <c r="M154" s="339"/>
      <c r="N154" s="337"/>
      <c r="O154" s="337"/>
      <c r="P154" s="339"/>
      <c r="Q154" s="331"/>
      <c r="R154" s="332"/>
      <c r="S154" s="333"/>
      <c r="T154" s="334"/>
      <c r="U154" s="326"/>
      <c r="V154" s="334"/>
      <c r="W154" s="335"/>
      <c r="X154" s="185"/>
      <c r="Y154" s="176" t="str">
        <f>IF(Table17[[#This Row],[Required Resolution Date]]="","FALSE",IF($AA$1&gt;Table17[[#This Row],[Required Resolution Date]],"TRUE","FALSE"))</f>
        <v>FALSE</v>
      </c>
      <c r="Z154" s="175">
        <f t="shared" si="15"/>
        <v>0</v>
      </c>
      <c r="AA154" s="185"/>
      <c r="AB154" s="327" t="b">
        <f>OR(Table17[[#This Row],[Priority]]="04. High",Table17[[#This Row],[Priority]]="05. Critical")</f>
        <v>0</v>
      </c>
      <c r="AC154" s="284">
        <f ca="1">$AA$1-Table17[[#This Row],[Date captured]]</f>
        <v>40990</v>
      </c>
      <c r="AD154" s="327" t="b">
        <f t="shared" ca="1" si="16"/>
        <v>0</v>
      </c>
      <c r="AE154" s="327" t="b">
        <f t="shared" ca="1" si="17"/>
        <v>0</v>
      </c>
      <c r="AF154" s="327" t="b">
        <f t="shared" ca="1" si="18"/>
        <v>1</v>
      </c>
      <c r="AG154" s="284">
        <f ca="1">Table17[[#This Row],[Required Resolution Date]]-$AA$1</f>
        <v>-40990</v>
      </c>
      <c r="AH154" s="327" t="b">
        <f t="shared" ca="1" si="19"/>
        <v>0</v>
      </c>
      <c r="AI154" s="327" t="b">
        <f>OR(Table17[[#This Row],[Priority]]="04. High",Table17[[#This Row],[Priority]]="05. Critical",Table17[[#This Row],[Priority]]="03. Moderate")</f>
        <v>0</v>
      </c>
      <c r="AJ154" s="185"/>
      <c r="AK154" s="185"/>
      <c r="AL154" s="185"/>
      <c r="AM154" s="185"/>
      <c r="AN154" s="185"/>
      <c r="AO154" s="185"/>
      <c r="AP154" s="185"/>
      <c r="AQ154" s="185"/>
      <c r="AR154" s="185"/>
      <c r="AS154" s="185"/>
      <c r="AT154" s="185"/>
      <c r="AU154" s="185"/>
      <c r="AV154" s="185"/>
      <c r="AW154" s="185"/>
      <c r="AX154" s="185"/>
      <c r="AY154" s="185"/>
      <c r="AZ154" s="185"/>
      <c r="BA154" s="185"/>
      <c r="BB154" s="185"/>
      <c r="BC154" s="185"/>
      <c r="BD154" s="185"/>
      <c r="BE154" s="185"/>
      <c r="BF154" s="185"/>
      <c r="BG154" s="185"/>
      <c r="BH154" s="185"/>
      <c r="BI154" s="185"/>
      <c r="BJ154" s="185"/>
      <c r="BK154" s="185"/>
      <c r="BL154" s="185"/>
      <c r="BM154" s="185"/>
      <c r="BN154" s="185"/>
      <c r="BO154" s="185"/>
      <c r="BP154" s="185"/>
      <c r="BQ154" s="185"/>
      <c r="BR154" s="185"/>
      <c r="BS154" s="185"/>
      <c r="BT154" s="185"/>
      <c r="BU154" s="185"/>
      <c r="BV154" s="185"/>
      <c r="BW154" s="185"/>
      <c r="BX154" s="185"/>
      <c r="BY154" s="185"/>
      <c r="BZ154" s="185"/>
      <c r="CA154" s="185"/>
      <c r="CB154" s="185"/>
      <c r="CC154" s="185"/>
      <c r="CD154" s="185"/>
      <c r="CE154" s="185"/>
      <c r="CF154" s="185"/>
      <c r="CG154" s="185"/>
      <c r="CH154" s="185"/>
      <c r="CI154" s="185"/>
      <c r="CJ154" s="185"/>
      <c r="CK154" s="185"/>
      <c r="CL154" s="185"/>
      <c r="CM154" s="185"/>
      <c r="CN154" s="185"/>
      <c r="CO154" s="185"/>
      <c r="CP154" s="185"/>
      <c r="CQ154" s="185"/>
      <c r="CR154" s="185"/>
      <c r="CS154" s="185"/>
      <c r="CT154" s="185"/>
      <c r="CU154" s="185"/>
      <c r="CV154" s="185"/>
      <c r="CW154" s="185"/>
      <c r="CX154" s="185"/>
      <c r="CY154" s="185"/>
      <c r="CZ154" s="185"/>
      <c r="DA154" s="185"/>
      <c r="DB154" s="185"/>
      <c r="DC154" s="185"/>
      <c r="DD154" s="185"/>
      <c r="DE154" s="185"/>
      <c r="DF154" s="185"/>
      <c r="DG154" s="185"/>
      <c r="DH154" s="185"/>
      <c r="DI154" s="185"/>
      <c r="DJ154" s="185"/>
      <c r="DK154" s="185"/>
      <c r="DL154" s="185"/>
      <c r="DM154" s="185"/>
      <c r="DN154" s="185"/>
      <c r="DO154" s="185"/>
      <c r="DP154" s="185"/>
      <c r="DQ154" s="185"/>
      <c r="DR154" s="185"/>
      <c r="DS154" s="185"/>
      <c r="DT154" s="185"/>
      <c r="DU154" s="185"/>
      <c r="DV154" s="185"/>
      <c r="DW154" s="185"/>
      <c r="DX154" s="185"/>
      <c r="DY154" s="185"/>
      <c r="DZ154" s="185"/>
      <c r="EA154" s="185"/>
      <c r="EB154" s="185"/>
      <c r="EC154" s="185"/>
      <c r="ED154" s="185"/>
      <c r="EE154" s="185"/>
      <c r="EF154" s="185"/>
      <c r="EG154" s="185"/>
      <c r="EH154" s="185"/>
      <c r="EI154" s="185"/>
      <c r="EJ154" s="185"/>
      <c r="EK154" s="185"/>
      <c r="EL154" s="185"/>
      <c r="EM154" s="185"/>
      <c r="EN154" s="185"/>
      <c r="EO154" s="185"/>
      <c r="EP154" s="185"/>
      <c r="EQ154" s="185"/>
      <c r="ER154" s="185"/>
      <c r="ES154" s="185"/>
      <c r="ET154" s="185"/>
      <c r="EU154" s="185"/>
      <c r="EV154" s="185"/>
      <c r="EW154" s="185"/>
      <c r="EX154" s="185"/>
      <c r="EY154" s="185"/>
      <c r="EZ154" s="185"/>
      <c r="FA154" s="185"/>
      <c r="FB154" s="185"/>
      <c r="FC154" s="185"/>
      <c r="FD154" s="185"/>
      <c r="FE154" s="185"/>
      <c r="FF154" s="185"/>
      <c r="FG154" s="185"/>
      <c r="FH154" s="185"/>
      <c r="FI154" s="185"/>
      <c r="FJ154" s="185"/>
      <c r="FK154" s="185"/>
    </row>
    <row r="155" spans="1:167" s="186" customFormat="1" ht="148.5" hidden="1">
      <c r="A155" s="177" t="s">
        <v>670</v>
      </c>
      <c r="B155" s="329">
        <v>40914</v>
      </c>
      <c r="C155" s="141" t="s">
        <v>261</v>
      </c>
      <c r="D155" s="325" t="s">
        <v>676</v>
      </c>
      <c r="E155" s="141"/>
      <c r="F155" s="189" t="s">
        <v>1687</v>
      </c>
      <c r="G155" s="141" t="s">
        <v>151</v>
      </c>
      <c r="H155" s="141" t="s">
        <v>151</v>
      </c>
      <c r="I155" s="141" t="s">
        <v>151</v>
      </c>
      <c r="J155" s="141" t="s">
        <v>151</v>
      </c>
      <c r="K155" s="326" t="s">
        <v>151</v>
      </c>
      <c r="L155" s="333" t="s">
        <v>261</v>
      </c>
      <c r="M155" s="189" t="s">
        <v>2151</v>
      </c>
      <c r="N155" s="196" t="s">
        <v>150</v>
      </c>
      <c r="O155" s="196"/>
      <c r="P155" s="389">
        <v>40998</v>
      </c>
      <c r="Q155" s="331">
        <v>40975</v>
      </c>
      <c r="R155" s="187">
        <v>40998</v>
      </c>
      <c r="S155" s="190" t="s">
        <v>2577</v>
      </c>
      <c r="T155" s="326" t="s">
        <v>1571</v>
      </c>
      <c r="U155" s="190" t="s">
        <v>2705</v>
      </c>
      <c r="V155" s="326">
        <v>40977</v>
      </c>
      <c r="W155" s="184"/>
      <c r="X155" s="185"/>
      <c r="Y155" s="176" t="str">
        <f ca="1">IF(Table17[[#This Row],[Required Resolution Date]]="","FALSE",IF($AA$1&gt;Table17[[#This Row],[Required Resolution Date]],"TRUE","FALSE"))</f>
        <v>FALSE</v>
      </c>
      <c r="Z155" s="175">
        <f t="shared" ca="1" si="15"/>
        <v>0</v>
      </c>
      <c r="AA155" s="185"/>
      <c r="AB155" s="327" t="b">
        <f>OR(Table17[[#This Row],[Priority]]="04. High",Table17[[#This Row],[Priority]]="05. Critical")</f>
        <v>1</v>
      </c>
      <c r="AC155" s="284">
        <f ca="1">$AA$1-Table17[[#This Row],[Date captured]]</f>
        <v>76</v>
      </c>
      <c r="AD155" s="327" t="b">
        <f t="shared" ca="1" si="16"/>
        <v>1</v>
      </c>
      <c r="AE155" s="327" t="b">
        <f t="shared" ca="1" si="17"/>
        <v>0</v>
      </c>
      <c r="AF155" s="327" t="b">
        <f t="shared" ca="1" si="18"/>
        <v>0</v>
      </c>
      <c r="AG155" s="284">
        <f ca="1">Table17[[#This Row],[Required Resolution Date]]-$AA$1</f>
        <v>8</v>
      </c>
      <c r="AH155" s="327" t="b">
        <f t="shared" ca="1" si="19"/>
        <v>0</v>
      </c>
      <c r="AI155" s="327" t="b">
        <f>OR(Table17[[#This Row],[Priority]]="04. High",Table17[[#This Row],[Priority]]="05. Critical",Table17[[#This Row],[Priority]]="03. Moderate")</f>
        <v>1</v>
      </c>
      <c r="AJ155" s="185"/>
      <c r="AK155" s="185"/>
      <c r="AL155" s="185"/>
      <c r="AM155" s="185"/>
      <c r="AN155" s="185"/>
      <c r="AO155" s="185"/>
      <c r="AP155" s="185"/>
      <c r="AQ155" s="185"/>
      <c r="AR155" s="185"/>
      <c r="AS155" s="185"/>
      <c r="AT155" s="185"/>
      <c r="AU155" s="185"/>
      <c r="AV155" s="185"/>
      <c r="AW155" s="185"/>
      <c r="AX155" s="185"/>
      <c r="AY155" s="185"/>
      <c r="AZ155" s="185"/>
      <c r="BA155" s="185"/>
      <c r="BB155" s="185"/>
      <c r="BC155" s="185"/>
      <c r="BD155" s="185"/>
      <c r="BE155" s="185"/>
      <c r="BF155" s="185"/>
      <c r="BG155" s="185"/>
      <c r="BH155" s="185"/>
      <c r="BI155" s="185"/>
      <c r="BJ155" s="185"/>
      <c r="BK155" s="185"/>
      <c r="BL155" s="185"/>
      <c r="BM155" s="185"/>
      <c r="BN155" s="185"/>
      <c r="BO155" s="185"/>
      <c r="BP155" s="185"/>
      <c r="BQ155" s="185"/>
      <c r="BR155" s="185"/>
      <c r="BS155" s="185"/>
      <c r="BT155" s="185"/>
      <c r="BU155" s="185"/>
      <c r="BV155" s="185"/>
      <c r="BW155" s="185"/>
      <c r="BX155" s="185"/>
      <c r="BY155" s="185"/>
      <c r="BZ155" s="185"/>
      <c r="CA155" s="185"/>
      <c r="CB155" s="185"/>
      <c r="CC155" s="185"/>
      <c r="CD155" s="185"/>
      <c r="CE155" s="185"/>
      <c r="CF155" s="185"/>
      <c r="CG155" s="185"/>
      <c r="CH155" s="185"/>
      <c r="CI155" s="185"/>
      <c r="CJ155" s="185"/>
      <c r="CK155" s="185"/>
      <c r="CL155" s="185"/>
      <c r="CM155" s="185"/>
      <c r="CN155" s="185"/>
      <c r="CO155" s="185"/>
      <c r="CP155" s="185"/>
      <c r="CQ155" s="185"/>
      <c r="CR155" s="185"/>
      <c r="CS155" s="185"/>
      <c r="CT155" s="185"/>
      <c r="CU155" s="185"/>
      <c r="CV155" s="185"/>
      <c r="CW155" s="185"/>
      <c r="CX155" s="185"/>
      <c r="CY155" s="185"/>
      <c r="CZ155" s="185"/>
      <c r="DA155" s="185"/>
      <c r="DB155" s="185"/>
      <c r="DC155" s="185"/>
      <c r="DD155" s="185"/>
      <c r="DE155" s="185"/>
      <c r="DF155" s="185"/>
      <c r="DG155" s="185"/>
      <c r="DH155" s="185"/>
      <c r="DI155" s="185"/>
      <c r="DJ155" s="185"/>
      <c r="DK155" s="185"/>
      <c r="DL155" s="185"/>
      <c r="DM155" s="185"/>
      <c r="DN155" s="185"/>
      <c r="DO155" s="185"/>
      <c r="DP155" s="185"/>
      <c r="DQ155" s="185"/>
      <c r="DR155" s="185"/>
      <c r="DS155" s="185"/>
      <c r="DT155" s="185"/>
      <c r="DU155" s="185"/>
      <c r="DV155" s="185"/>
      <c r="DW155" s="185"/>
      <c r="DX155" s="185"/>
      <c r="DY155" s="185"/>
      <c r="DZ155" s="185"/>
      <c r="EA155" s="185"/>
      <c r="EB155" s="185"/>
      <c r="EC155" s="185"/>
      <c r="ED155" s="185"/>
      <c r="EE155" s="185"/>
      <c r="EF155" s="185"/>
      <c r="EG155" s="185"/>
      <c r="EH155" s="185"/>
      <c r="EI155" s="185"/>
      <c r="EJ155" s="185"/>
      <c r="EK155" s="185"/>
      <c r="EL155" s="185"/>
      <c r="EM155" s="185"/>
      <c r="EN155" s="185"/>
      <c r="EO155" s="185"/>
      <c r="EP155" s="185"/>
      <c r="EQ155" s="185"/>
      <c r="ER155" s="185"/>
      <c r="ES155" s="185"/>
      <c r="ET155" s="185"/>
      <c r="EU155" s="185"/>
      <c r="EV155" s="185"/>
      <c r="EW155" s="185"/>
      <c r="EX155" s="185"/>
      <c r="EY155" s="185"/>
      <c r="EZ155" s="185"/>
      <c r="FA155" s="185"/>
      <c r="FB155" s="185"/>
      <c r="FC155" s="185"/>
      <c r="FD155" s="185"/>
      <c r="FE155" s="185"/>
      <c r="FF155" s="185"/>
      <c r="FG155" s="185"/>
      <c r="FH155" s="185"/>
      <c r="FI155" s="185"/>
      <c r="FJ155" s="185"/>
      <c r="FK155" s="185"/>
    </row>
    <row r="156" spans="1:167" s="186" customFormat="1" ht="135" hidden="1">
      <c r="A156" s="177" t="s">
        <v>671</v>
      </c>
      <c r="B156" s="178">
        <v>40919</v>
      </c>
      <c r="C156" s="141" t="s">
        <v>261</v>
      </c>
      <c r="D156" s="140" t="s">
        <v>676</v>
      </c>
      <c r="E156" s="141"/>
      <c r="F156" s="327" t="s">
        <v>1643</v>
      </c>
      <c r="G156" s="141" t="s">
        <v>151</v>
      </c>
      <c r="H156" s="141" t="s">
        <v>151</v>
      </c>
      <c r="I156" s="141" t="s">
        <v>151</v>
      </c>
      <c r="J156" s="141" t="s">
        <v>151</v>
      </c>
      <c r="K156" s="141" t="s">
        <v>151</v>
      </c>
      <c r="L156" s="333" t="s">
        <v>261</v>
      </c>
      <c r="M156" s="189" t="s">
        <v>1644</v>
      </c>
      <c r="N156" s="196" t="s">
        <v>150</v>
      </c>
      <c r="O156" s="196"/>
      <c r="P156" s="189" t="s">
        <v>2226</v>
      </c>
      <c r="Q156" s="179">
        <v>40975</v>
      </c>
      <c r="R156" s="187">
        <v>40975</v>
      </c>
      <c r="S156" s="190" t="s">
        <v>2227</v>
      </c>
      <c r="T156" s="326" t="s">
        <v>1564</v>
      </c>
      <c r="U156" s="190" t="s">
        <v>2706</v>
      </c>
      <c r="V156" s="326">
        <v>40977</v>
      </c>
      <c r="W156" s="184"/>
      <c r="X156" s="185"/>
      <c r="Y156" s="176" t="str">
        <f ca="1">IF(Table17[[#This Row],[Required Resolution Date]]="","FALSE",IF($AA$1&gt;Table17[[#This Row],[Required Resolution Date]],"TRUE","FALSE"))</f>
        <v>TRUE</v>
      </c>
      <c r="Z156" s="175">
        <f t="shared" ca="1" si="15"/>
        <v>1</v>
      </c>
      <c r="AA156" s="185"/>
      <c r="AB156" s="327" t="b">
        <f>OR(Table17[[#This Row],[Priority]]="04. High",Table17[[#This Row],[Priority]]="05. Critical")</f>
        <v>1</v>
      </c>
      <c r="AC156" s="284">
        <f ca="1">$AA$1-Table17[[#This Row],[Date captured]]</f>
        <v>71</v>
      </c>
      <c r="AD156" s="327" t="b">
        <f t="shared" ca="1" si="16"/>
        <v>1</v>
      </c>
      <c r="AE156" s="327" t="b">
        <f t="shared" ca="1" si="17"/>
        <v>0</v>
      </c>
      <c r="AF156" s="327" t="b">
        <f t="shared" ca="1" si="18"/>
        <v>0</v>
      </c>
      <c r="AG156" s="284">
        <f ca="1">Table17[[#This Row],[Required Resolution Date]]-$AA$1</f>
        <v>-15</v>
      </c>
      <c r="AH156" s="327" t="b">
        <f t="shared" ca="1" si="19"/>
        <v>0</v>
      </c>
      <c r="AI156" s="327" t="b">
        <f>OR(Table17[[#This Row],[Priority]]="04. High",Table17[[#This Row],[Priority]]="05. Critical",Table17[[#This Row],[Priority]]="03. Moderate")</f>
        <v>1</v>
      </c>
      <c r="AJ156" s="185"/>
      <c r="AK156" s="185"/>
      <c r="AL156" s="185"/>
      <c r="AM156" s="185"/>
      <c r="AN156" s="185"/>
      <c r="AO156" s="185"/>
      <c r="AP156" s="185"/>
      <c r="AQ156" s="185"/>
      <c r="AR156" s="185"/>
      <c r="AS156" s="185"/>
      <c r="AT156" s="185"/>
      <c r="AU156" s="185"/>
      <c r="AV156" s="185"/>
      <c r="AW156" s="185"/>
      <c r="AX156" s="185"/>
      <c r="AY156" s="185"/>
      <c r="AZ156" s="185"/>
      <c r="BA156" s="185"/>
      <c r="BB156" s="185"/>
      <c r="BC156" s="185"/>
      <c r="BD156" s="185"/>
      <c r="BE156" s="185"/>
      <c r="BF156" s="185"/>
      <c r="BG156" s="185"/>
      <c r="BH156" s="185"/>
      <c r="BI156" s="185"/>
      <c r="BJ156" s="185"/>
      <c r="BK156" s="185"/>
      <c r="BL156" s="185"/>
      <c r="BM156" s="185"/>
      <c r="BN156" s="185"/>
      <c r="BO156" s="185"/>
      <c r="BP156" s="185"/>
      <c r="BQ156" s="185"/>
      <c r="BR156" s="185"/>
      <c r="BS156" s="185"/>
      <c r="BT156" s="185"/>
      <c r="BU156" s="185"/>
      <c r="BV156" s="185"/>
      <c r="BW156" s="185"/>
      <c r="BX156" s="185"/>
      <c r="BY156" s="185"/>
      <c r="BZ156" s="185"/>
      <c r="CA156" s="185"/>
      <c r="CB156" s="185"/>
      <c r="CC156" s="185"/>
      <c r="CD156" s="185"/>
      <c r="CE156" s="185"/>
      <c r="CF156" s="185"/>
      <c r="CG156" s="185"/>
      <c r="CH156" s="185"/>
      <c r="CI156" s="185"/>
      <c r="CJ156" s="185"/>
      <c r="CK156" s="185"/>
      <c r="CL156" s="185"/>
      <c r="CM156" s="185"/>
      <c r="CN156" s="185"/>
      <c r="CO156" s="185"/>
      <c r="CP156" s="185"/>
      <c r="CQ156" s="185"/>
      <c r="CR156" s="185"/>
      <c r="CS156" s="185"/>
      <c r="CT156" s="185"/>
      <c r="CU156" s="185"/>
      <c r="CV156" s="185"/>
      <c r="CW156" s="185"/>
      <c r="CX156" s="185"/>
      <c r="CY156" s="185"/>
      <c r="CZ156" s="185"/>
      <c r="DA156" s="185"/>
      <c r="DB156" s="185"/>
      <c r="DC156" s="185"/>
      <c r="DD156" s="185"/>
      <c r="DE156" s="185"/>
      <c r="DF156" s="185"/>
      <c r="DG156" s="185"/>
      <c r="DH156" s="185"/>
      <c r="DI156" s="185"/>
      <c r="DJ156" s="185"/>
      <c r="DK156" s="185"/>
      <c r="DL156" s="185"/>
      <c r="DM156" s="185"/>
      <c r="DN156" s="185"/>
      <c r="DO156" s="185"/>
      <c r="DP156" s="185"/>
      <c r="DQ156" s="185"/>
      <c r="DR156" s="185"/>
      <c r="DS156" s="185"/>
      <c r="DT156" s="185"/>
      <c r="DU156" s="185"/>
      <c r="DV156" s="185"/>
      <c r="DW156" s="185"/>
      <c r="DX156" s="185"/>
      <c r="DY156" s="185"/>
      <c r="DZ156" s="185"/>
      <c r="EA156" s="185"/>
      <c r="EB156" s="185"/>
      <c r="EC156" s="185"/>
      <c r="ED156" s="185"/>
      <c r="EE156" s="185"/>
      <c r="EF156" s="185"/>
      <c r="EG156" s="185"/>
      <c r="EH156" s="185"/>
      <c r="EI156" s="185"/>
      <c r="EJ156" s="185"/>
      <c r="EK156" s="185"/>
      <c r="EL156" s="185"/>
      <c r="EM156" s="185"/>
      <c r="EN156" s="185"/>
      <c r="EO156" s="185"/>
      <c r="EP156" s="185"/>
      <c r="EQ156" s="185"/>
      <c r="ER156" s="185"/>
      <c r="ES156" s="185"/>
      <c r="ET156" s="185"/>
      <c r="EU156" s="185"/>
      <c r="EV156" s="185"/>
      <c r="EW156" s="185"/>
      <c r="EX156" s="185"/>
      <c r="EY156" s="185"/>
      <c r="EZ156" s="185"/>
      <c r="FA156" s="185"/>
      <c r="FB156" s="185"/>
      <c r="FC156" s="185"/>
      <c r="FD156" s="185"/>
      <c r="FE156" s="185"/>
      <c r="FF156" s="185"/>
      <c r="FG156" s="185"/>
      <c r="FH156" s="185"/>
      <c r="FI156" s="185"/>
      <c r="FJ156" s="185"/>
      <c r="FK156" s="185"/>
    </row>
    <row r="157" spans="1:167" s="186" customFormat="1">
      <c r="A157" s="338" t="s">
        <v>2750</v>
      </c>
      <c r="B157" s="178"/>
      <c r="C157" s="141"/>
      <c r="D157" s="140"/>
      <c r="E157" s="141"/>
      <c r="F157" s="338"/>
      <c r="G157" s="141"/>
      <c r="H157" s="141"/>
      <c r="I157" s="141"/>
      <c r="J157" s="141"/>
      <c r="K157" s="141"/>
      <c r="L157" s="333"/>
      <c r="M157" s="339"/>
      <c r="N157" s="337"/>
      <c r="O157" s="337"/>
      <c r="P157" s="339"/>
      <c r="Q157" s="179"/>
      <c r="R157" s="332"/>
      <c r="S157" s="333"/>
      <c r="T157" s="334"/>
      <c r="U157" s="141"/>
      <c r="V157" s="334"/>
      <c r="W157" s="335"/>
      <c r="X157" s="185"/>
      <c r="Y157" s="176" t="str">
        <f>IF(Table17[[#This Row],[Required Resolution Date]]="","FALSE",IF($AA$1&gt;Table17[[#This Row],[Required Resolution Date]],"TRUE","FALSE"))</f>
        <v>FALSE</v>
      </c>
      <c r="Z157" s="175">
        <f t="shared" si="15"/>
        <v>0</v>
      </c>
      <c r="AA157" s="185"/>
      <c r="AB157" s="327" t="b">
        <f>OR(Table17[[#This Row],[Priority]]="04. High",Table17[[#This Row],[Priority]]="05. Critical")</f>
        <v>0</v>
      </c>
      <c r="AC157" s="284">
        <f ca="1">$AA$1-Table17[[#This Row],[Date captured]]</f>
        <v>40990</v>
      </c>
      <c r="AD157" s="327" t="b">
        <f t="shared" ca="1" si="16"/>
        <v>0</v>
      </c>
      <c r="AE157" s="327" t="b">
        <f t="shared" ca="1" si="17"/>
        <v>0</v>
      </c>
      <c r="AF157" s="327" t="b">
        <f t="shared" ca="1" si="18"/>
        <v>1</v>
      </c>
      <c r="AG157" s="284">
        <f ca="1">Table17[[#This Row],[Required Resolution Date]]-$AA$1</f>
        <v>-40990</v>
      </c>
      <c r="AH157" s="327" t="b">
        <f t="shared" ca="1" si="19"/>
        <v>0</v>
      </c>
      <c r="AI157" s="327" t="b">
        <f>OR(Table17[[#This Row],[Priority]]="04. High",Table17[[#This Row],[Priority]]="05. Critical",Table17[[#This Row],[Priority]]="03. Moderate")</f>
        <v>0</v>
      </c>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185"/>
      <c r="BG157" s="185"/>
      <c r="BH157" s="185"/>
      <c r="BI157" s="185"/>
      <c r="BJ157" s="185"/>
      <c r="BK157" s="185"/>
      <c r="BL157" s="185"/>
      <c r="BM157" s="185"/>
      <c r="BN157" s="185"/>
      <c r="BO157" s="185"/>
      <c r="BP157" s="185"/>
      <c r="BQ157" s="185"/>
      <c r="BR157" s="185"/>
      <c r="BS157" s="185"/>
      <c r="BT157" s="185"/>
      <c r="BU157" s="185"/>
      <c r="BV157" s="185"/>
      <c r="BW157" s="185"/>
      <c r="BX157" s="185"/>
      <c r="BY157" s="185"/>
      <c r="BZ157" s="185"/>
      <c r="CA157" s="185"/>
      <c r="CB157" s="185"/>
      <c r="CC157" s="185"/>
      <c r="CD157" s="185"/>
      <c r="CE157" s="185"/>
      <c r="CF157" s="185"/>
      <c r="CG157" s="185"/>
      <c r="CH157" s="185"/>
      <c r="CI157" s="185"/>
      <c r="CJ157" s="185"/>
      <c r="CK157" s="185"/>
      <c r="CL157" s="185"/>
      <c r="CM157" s="185"/>
      <c r="CN157" s="185"/>
      <c r="CO157" s="185"/>
      <c r="CP157" s="185"/>
      <c r="CQ157" s="185"/>
      <c r="CR157" s="185"/>
      <c r="CS157" s="185"/>
      <c r="CT157" s="185"/>
      <c r="CU157" s="185"/>
      <c r="CV157" s="185"/>
      <c r="CW157" s="185"/>
      <c r="CX157" s="185"/>
      <c r="CY157" s="185"/>
      <c r="CZ157" s="185"/>
      <c r="DA157" s="185"/>
      <c r="DB157" s="185"/>
      <c r="DC157" s="185"/>
      <c r="DD157" s="185"/>
      <c r="DE157" s="185"/>
      <c r="DF157" s="185"/>
      <c r="DG157" s="185"/>
      <c r="DH157" s="185"/>
      <c r="DI157" s="185"/>
      <c r="DJ157" s="185"/>
      <c r="DK157" s="185"/>
      <c r="DL157" s="185"/>
      <c r="DM157" s="185"/>
      <c r="DN157" s="185"/>
      <c r="DO157" s="185"/>
      <c r="DP157" s="185"/>
      <c r="DQ157" s="185"/>
      <c r="DR157" s="185"/>
      <c r="DS157" s="185"/>
      <c r="DT157" s="185"/>
      <c r="DU157" s="185"/>
      <c r="DV157" s="185"/>
      <c r="DW157" s="185"/>
      <c r="DX157" s="185"/>
      <c r="DY157" s="185"/>
      <c r="DZ157" s="185"/>
      <c r="EA157" s="185"/>
      <c r="EB157" s="185"/>
      <c r="EC157" s="185"/>
      <c r="ED157" s="185"/>
      <c r="EE157" s="185"/>
      <c r="EF157" s="185"/>
      <c r="EG157" s="185"/>
      <c r="EH157" s="185"/>
      <c r="EI157" s="185"/>
      <c r="EJ157" s="185"/>
      <c r="EK157" s="185"/>
      <c r="EL157" s="185"/>
      <c r="EM157" s="185"/>
      <c r="EN157" s="185"/>
      <c r="EO157" s="185"/>
      <c r="EP157" s="185"/>
      <c r="EQ157" s="185"/>
      <c r="ER157" s="185"/>
      <c r="ES157" s="185"/>
      <c r="ET157" s="185"/>
      <c r="EU157" s="185"/>
      <c r="EV157" s="185"/>
      <c r="EW157" s="185"/>
      <c r="EX157" s="185"/>
      <c r="EY157" s="185"/>
      <c r="EZ157" s="185"/>
      <c r="FA157" s="185"/>
      <c r="FB157" s="185"/>
      <c r="FC157" s="185"/>
      <c r="FD157" s="185"/>
      <c r="FE157" s="185"/>
      <c r="FF157" s="185"/>
      <c r="FG157" s="185"/>
      <c r="FH157" s="185"/>
      <c r="FI157" s="185"/>
      <c r="FJ157" s="185"/>
      <c r="FK157" s="185"/>
    </row>
    <row r="158" spans="1:167" s="186" customFormat="1" ht="121.5" hidden="1">
      <c r="A158" s="177" t="s">
        <v>673</v>
      </c>
      <c r="B158" s="178">
        <v>40919</v>
      </c>
      <c r="C158" s="141" t="s">
        <v>166</v>
      </c>
      <c r="D158" s="140" t="s">
        <v>676</v>
      </c>
      <c r="E158" s="141" t="s">
        <v>34</v>
      </c>
      <c r="F158" s="189" t="s">
        <v>1655</v>
      </c>
      <c r="G158" s="141" t="s">
        <v>151</v>
      </c>
      <c r="H158" s="141" t="s">
        <v>151</v>
      </c>
      <c r="I158" s="141" t="s">
        <v>151</v>
      </c>
      <c r="J158" s="141" t="s">
        <v>690</v>
      </c>
      <c r="K158" s="141" t="s">
        <v>152</v>
      </c>
      <c r="L158" s="333" t="s">
        <v>724</v>
      </c>
      <c r="M158" s="189" t="s">
        <v>724</v>
      </c>
      <c r="N158" s="196" t="s">
        <v>149</v>
      </c>
      <c r="O158" s="196"/>
      <c r="P158" s="327"/>
      <c r="Q158" s="179">
        <v>40975</v>
      </c>
      <c r="R158" s="249">
        <v>40975</v>
      </c>
      <c r="S158" s="190" t="s">
        <v>2086</v>
      </c>
      <c r="T158" s="326"/>
      <c r="U158" s="190" t="s">
        <v>3066</v>
      </c>
      <c r="V158" s="326">
        <v>40954</v>
      </c>
      <c r="W158" s="184"/>
      <c r="X158" s="185"/>
      <c r="Y158" s="176" t="str">
        <f ca="1">IF(Table17[[#This Row],[Required Resolution Date]]="","FALSE",IF($AA$1&gt;Table17[[#This Row],[Required Resolution Date]],"TRUE","FALSE"))</f>
        <v>TRUE</v>
      </c>
      <c r="Z158" s="175">
        <f t="shared" ca="1" si="15"/>
        <v>1</v>
      </c>
      <c r="AA158" s="185"/>
      <c r="AB158" s="327" t="b">
        <f>OR(Table17[[#This Row],[Priority]]="04. High",Table17[[#This Row],[Priority]]="05. Critical")</f>
        <v>1</v>
      </c>
      <c r="AC158" s="284">
        <f ca="1">$AA$1-Table17[[#This Row],[Date captured]]</f>
        <v>71</v>
      </c>
      <c r="AD158" s="327" t="b">
        <f t="shared" ca="1" si="16"/>
        <v>1</v>
      </c>
      <c r="AE158" s="327" t="b">
        <f t="shared" ca="1" si="17"/>
        <v>0</v>
      </c>
      <c r="AF158" s="327" t="b">
        <f t="shared" ca="1" si="18"/>
        <v>0</v>
      </c>
      <c r="AG158" s="284">
        <f ca="1">Table17[[#This Row],[Required Resolution Date]]-$AA$1</f>
        <v>-15</v>
      </c>
      <c r="AH158" s="327" t="b">
        <f t="shared" ca="1" si="19"/>
        <v>0</v>
      </c>
      <c r="AI158" s="327" t="b">
        <f>OR(Table17[[#This Row],[Priority]]="04. High",Table17[[#This Row],[Priority]]="05. Critical",Table17[[#This Row],[Priority]]="03. Moderate")</f>
        <v>1</v>
      </c>
      <c r="AJ158" s="185"/>
      <c r="AK158" s="185"/>
      <c r="AL158" s="185"/>
      <c r="AM158" s="185"/>
      <c r="AN158" s="185"/>
      <c r="AO158" s="185"/>
      <c r="AP158" s="185"/>
      <c r="AQ158" s="185"/>
      <c r="AR158" s="185"/>
      <c r="AS158" s="185"/>
      <c r="AT158" s="185"/>
      <c r="AU158" s="185"/>
      <c r="AV158" s="185"/>
      <c r="AW158" s="185"/>
      <c r="AX158" s="185"/>
      <c r="AY158" s="185"/>
      <c r="AZ158" s="185"/>
      <c r="BA158" s="185"/>
      <c r="BB158" s="185"/>
      <c r="BC158" s="185"/>
      <c r="BD158" s="185"/>
      <c r="BE158" s="185"/>
      <c r="BF158" s="185"/>
      <c r="BG158" s="185"/>
      <c r="BH158" s="185"/>
      <c r="BI158" s="185"/>
      <c r="BJ158" s="185"/>
      <c r="BK158" s="185"/>
      <c r="BL158" s="185"/>
      <c r="BM158" s="185"/>
      <c r="BN158" s="185"/>
      <c r="BO158" s="185"/>
      <c r="BP158" s="185"/>
      <c r="BQ158" s="185"/>
      <c r="BR158" s="185"/>
      <c r="BS158" s="185"/>
      <c r="BT158" s="185"/>
      <c r="BU158" s="185"/>
      <c r="BV158" s="185"/>
      <c r="BW158" s="185"/>
      <c r="BX158" s="185"/>
      <c r="BY158" s="185"/>
      <c r="BZ158" s="185"/>
      <c r="CA158" s="185"/>
      <c r="CB158" s="185"/>
      <c r="CC158" s="185"/>
      <c r="CD158" s="185"/>
      <c r="CE158" s="185"/>
      <c r="CF158" s="185"/>
      <c r="CG158" s="185"/>
      <c r="CH158" s="185"/>
      <c r="CI158" s="185"/>
      <c r="CJ158" s="185"/>
      <c r="CK158" s="185"/>
      <c r="CL158" s="185"/>
      <c r="CM158" s="185"/>
      <c r="CN158" s="185"/>
      <c r="CO158" s="185"/>
      <c r="CP158" s="185"/>
      <c r="CQ158" s="185"/>
      <c r="CR158" s="185"/>
      <c r="CS158" s="185"/>
      <c r="CT158" s="185"/>
      <c r="CU158" s="185"/>
      <c r="CV158" s="185"/>
      <c r="CW158" s="185"/>
      <c r="CX158" s="185"/>
      <c r="CY158" s="185"/>
      <c r="CZ158" s="185"/>
      <c r="DA158" s="185"/>
      <c r="DB158" s="185"/>
      <c r="DC158" s="185"/>
      <c r="DD158" s="185"/>
      <c r="DE158" s="185"/>
      <c r="DF158" s="185"/>
      <c r="DG158" s="185"/>
      <c r="DH158" s="185"/>
      <c r="DI158" s="185"/>
      <c r="DJ158" s="185"/>
      <c r="DK158" s="185"/>
      <c r="DL158" s="185"/>
      <c r="DM158" s="185"/>
      <c r="DN158" s="185"/>
      <c r="DO158" s="185"/>
      <c r="DP158" s="185"/>
      <c r="DQ158" s="185"/>
      <c r="DR158" s="185"/>
      <c r="DS158" s="185"/>
      <c r="DT158" s="185"/>
      <c r="DU158" s="185"/>
      <c r="DV158" s="185"/>
      <c r="DW158" s="185"/>
      <c r="DX158" s="185"/>
      <c r="DY158" s="185"/>
      <c r="DZ158" s="185"/>
      <c r="EA158" s="185"/>
      <c r="EB158" s="185"/>
      <c r="EC158" s="185"/>
      <c r="ED158" s="185"/>
      <c r="EE158" s="185"/>
      <c r="EF158" s="185"/>
      <c r="EG158" s="185"/>
      <c r="EH158" s="185"/>
      <c r="EI158" s="185"/>
      <c r="EJ158" s="185"/>
      <c r="EK158" s="185"/>
      <c r="EL158" s="185"/>
      <c r="EM158" s="185"/>
      <c r="EN158" s="185"/>
      <c r="EO158" s="185"/>
      <c r="EP158" s="185"/>
      <c r="EQ158" s="185"/>
      <c r="ER158" s="185"/>
      <c r="ES158" s="185"/>
      <c r="ET158" s="185"/>
      <c r="EU158" s="185"/>
      <c r="EV158" s="185"/>
      <c r="EW158" s="185"/>
      <c r="EX158" s="185"/>
      <c r="EY158" s="185"/>
      <c r="EZ158" s="185"/>
      <c r="FA158" s="185"/>
      <c r="FB158" s="185"/>
      <c r="FC158" s="185"/>
      <c r="FD158" s="185"/>
      <c r="FE158" s="185"/>
      <c r="FF158" s="185"/>
      <c r="FG158" s="185"/>
      <c r="FH158" s="185"/>
      <c r="FI158" s="185"/>
      <c r="FJ158" s="185"/>
      <c r="FK158" s="185"/>
    </row>
    <row r="159" spans="1:167" s="186" customFormat="1">
      <c r="A159" s="338" t="s">
        <v>2751</v>
      </c>
      <c r="B159" s="178"/>
      <c r="C159" s="141"/>
      <c r="D159" s="140"/>
      <c r="E159" s="141"/>
      <c r="F159" s="338"/>
      <c r="G159" s="141"/>
      <c r="H159" s="141"/>
      <c r="I159" s="141"/>
      <c r="J159" s="141"/>
      <c r="K159" s="141"/>
      <c r="L159" s="333"/>
      <c r="M159" s="339"/>
      <c r="N159" s="337"/>
      <c r="O159" s="337"/>
      <c r="P159" s="339"/>
      <c r="Q159" s="179"/>
      <c r="R159" s="332"/>
      <c r="S159" s="333"/>
      <c r="T159" s="334"/>
      <c r="U159" s="141"/>
      <c r="V159" s="334"/>
      <c r="W159" s="335"/>
      <c r="X159" s="185"/>
      <c r="Y159" s="176" t="str">
        <f>IF(Table17[[#This Row],[Required Resolution Date]]="","FALSE",IF($AA$1&gt;Table17[[#This Row],[Required Resolution Date]],"TRUE","FALSE"))</f>
        <v>FALSE</v>
      </c>
      <c r="Z159" s="175">
        <f t="shared" si="15"/>
        <v>0</v>
      </c>
      <c r="AA159" s="185"/>
      <c r="AB159" s="327" t="b">
        <f>OR(Table17[[#This Row],[Priority]]="04. High",Table17[[#This Row],[Priority]]="05. Critical")</f>
        <v>0</v>
      </c>
      <c r="AC159" s="284">
        <f ca="1">$AA$1-Table17[[#This Row],[Date captured]]</f>
        <v>40990</v>
      </c>
      <c r="AD159" s="327" t="b">
        <f t="shared" ca="1" si="16"/>
        <v>0</v>
      </c>
      <c r="AE159" s="327" t="b">
        <f t="shared" ca="1" si="17"/>
        <v>0</v>
      </c>
      <c r="AF159" s="327" t="b">
        <f t="shared" ca="1" si="18"/>
        <v>1</v>
      </c>
      <c r="AG159" s="284">
        <f ca="1">Table17[[#This Row],[Required Resolution Date]]-$AA$1</f>
        <v>-40990</v>
      </c>
      <c r="AH159" s="327" t="b">
        <f t="shared" ca="1" si="19"/>
        <v>0</v>
      </c>
      <c r="AI159" s="327" t="b">
        <f>OR(Table17[[#This Row],[Priority]]="04. High",Table17[[#This Row],[Priority]]="05. Critical",Table17[[#This Row],[Priority]]="03. Moderate")</f>
        <v>0</v>
      </c>
      <c r="AJ159" s="185"/>
      <c r="AK159" s="185"/>
      <c r="AL159" s="185"/>
      <c r="AM159" s="185"/>
      <c r="AN159" s="185"/>
      <c r="AO159" s="185"/>
      <c r="AP159" s="185"/>
      <c r="AQ159" s="185"/>
      <c r="AR159" s="185"/>
      <c r="AS159" s="185"/>
      <c r="AT159" s="185"/>
      <c r="AU159" s="185"/>
      <c r="AV159" s="185"/>
      <c r="AW159" s="185"/>
      <c r="AX159" s="185"/>
      <c r="AY159" s="185"/>
      <c r="AZ159" s="185"/>
      <c r="BA159" s="185"/>
      <c r="BB159" s="185"/>
      <c r="BC159" s="185"/>
      <c r="BD159" s="185"/>
      <c r="BE159" s="185"/>
      <c r="BF159" s="185"/>
      <c r="BG159" s="185"/>
      <c r="BH159" s="185"/>
      <c r="BI159" s="185"/>
      <c r="BJ159" s="185"/>
      <c r="BK159" s="185"/>
      <c r="BL159" s="185"/>
      <c r="BM159" s="185"/>
      <c r="BN159" s="185"/>
      <c r="BO159" s="185"/>
      <c r="BP159" s="185"/>
      <c r="BQ159" s="185"/>
      <c r="BR159" s="185"/>
      <c r="BS159" s="185"/>
      <c r="BT159" s="185"/>
      <c r="BU159" s="185"/>
      <c r="BV159" s="185"/>
      <c r="BW159" s="185"/>
      <c r="BX159" s="185"/>
      <c r="BY159" s="185"/>
      <c r="BZ159" s="185"/>
      <c r="CA159" s="185"/>
      <c r="CB159" s="185"/>
      <c r="CC159" s="185"/>
      <c r="CD159" s="185"/>
      <c r="CE159" s="185"/>
      <c r="CF159" s="185"/>
      <c r="CG159" s="185"/>
      <c r="CH159" s="185"/>
      <c r="CI159" s="185"/>
      <c r="CJ159" s="185"/>
      <c r="CK159" s="185"/>
      <c r="CL159" s="185"/>
      <c r="CM159" s="185"/>
      <c r="CN159" s="185"/>
      <c r="CO159" s="185"/>
      <c r="CP159" s="185"/>
      <c r="CQ159" s="185"/>
      <c r="CR159" s="185"/>
      <c r="CS159" s="185"/>
      <c r="CT159" s="185"/>
      <c r="CU159" s="185"/>
      <c r="CV159" s="185"/>
      <c r="CW159" s="185"/>
      <c r="CX159" s="185"/>
      <c r="CY159" s="185"/>
      <c r="CZ159" s="185"/>
      <c r="DA159" s="185"/>
      <c r="DB159" s="185"/>
      <c r="DC159" s="185"/>
      <c r="DD159" s="185"/>
      <c r="DE159" s="185"/>
      <c r="DF159" s="185"/>
      <c r="DG159" s="185"/>
      <c r="DH159" s="185"/>
      <c r="DI159" s="185"/>
      <c r="DJ159" s="185"/>
      <c r="DK159" s="185"/>
      <c r="DL159" s="185"/>
      <c r="DM159" s="185"/>
      <c r="DN159" s="185"/>
      <c r="DO159" s="185"/>
      <c r="DP159" s="185"/>
      <c r="DQ159" s="185"/>
      <c r="DR159" s="185"/>
      <c r="DS159" s="185"/>
      <c r="DT159" s="185"/>
      <c r="DU159" s="185"/>
      <c r="DV159" s="185"/>
      <c r="DW159" s="185"/>
      <c r="DX159" s="185"/>
      <c r="DY159" s="185"/>
      <c r="DZ159" s="185"/>
      <c r="EA159" s="185"/>
      <c r="EB159" s="185"/>
      <c r="EC159" s="185"/>
      <c r="ED159" s="185"/>
      <c r="EE159" s="185"/>
      <c r="EF159" s="185"/>
      <c r="EG159" s="185"/>
      <c r="EH159" s="185"/>
      <c r="EI159" s="185"/>
      <c r="EJ159" s="185"/>
      <c r="EK159" s="185"/>
      <c r="EL159" s="185"/>
      <c r="EM159" s="185"/>
      <c r="EN159" s="185"/>
      <c r="EO159" s="185"/>
      <c r="EP159" s="185"/>
      <c r="EQ159" s="185"/>
      <c r="ER159" s="185"/>
      <c r="ES159" s="185"/>
      <c r="ET159" s="185"/>
      <c r="EU159" s="185"/>
      <c r="EV159" s="185"/>
      <c r="EW159" s="185"/>
      <c r="EX159" s="185"/>
      <c r="EY159" s="185"/>
      <c r="EZ159" s="185"/>
      <c r="FA159" s="185"/>
      <c r="FB159" s="185"/>
      <c r="FC159" s="185"/>
      <c r="FD159" s="185"/>
      <c r="FE159" s="185"/>
      <c r="FF159" s="185"/>
      <c r="FG159" s="185"/>
      <c r="FH159" s="185"/>
      <c r="FI159" s="185"/>
      <c r="FJ159" s="185"/>
      <c r="FK159" s="185"/>
    </row>
    <row r="160" spans="1:167" s="186" customFormat="1">
      <c r="A160" s="338" t="s">
        <v>2752</v>
      </c>
      <c r="B160" s="178"/>
      <c r="C160" s="141"/>
      <c r="D160" s="140"/>
      <c r="E160" s="141"/>
      <c r="F160" s="338"/>
      <c r="G160" s="141"/>
      <c r="H160" s="141"/>
      <c r="I160" s="141"/>
      <c r="J160" s="141"/>
      <c r="K160" s="141"/>
      <c r="L160" s="333"/>
      <c r="M160" s="339"/>
      <c r="N160" s="337"/>
      <c r="O160" s="337"/>
      <c r="P160" s="339"/>
      <c r="Q160" s="179"/>
      <c r="R160" s="332"/>
      <c r="S160" s="333"/>
      <c r="T160" s="334"/>
      <c r="U160" s="141"/>
      <c r="V160" s="334"/>
      <c r="W160" s="335"/>
      <c r="X160" s="185"/>
      <c r="Y160" s="176" t="str">
        <f>IF(Table17[[#This Row],[Required Resolution Date]]="","FALSE",IF($AA$1&gt;Table17[[#This Row],[Required Resolution Date]],"TRUE","FALSE"))</f>
        <v>FALSE</v>
      </c>
      <c r="Z160" s="175">
        <f t="shared" si="15"/>
        <v>0</v>
      </c>
      <c r="AA160" s="185"/>
      <c r="AB160" s="327" t="b">
        <f>OR(Table17[[#This Row],[Priority]]="04. High",Table17[[#This Row],[Priority]]="05. Critical")</f>
        <v>0</v>
      </c>
      <c r="AC160" s="284">
        <f ca="1">$AA$1-Table17[[#This Row],[Date captured]]</f>
        <v>40990</v>
      </c>
      <c r="AD160" s="327" t="b">
        <f t="shared" ca="1" si="16"/>
        <v>0</v>
      </c>
      <c r="AE160" s="327" t="b">
        <f t="shared" ca="1" si="17"/>
        <v>0</v>
      </c>
      <c r="AF160" s="327" t="b">
        <f t="shared" ca="1" si="18"/>
        <v>1</v>
      </c>
      <c r="AG160" s="284">
        <f ca="1">Table17[[#This Row],[Required Resolution Date]]-$AA$1</f>
        <v>-40990</v>
      </c>
      <c r="AH160" s="327" t="b">
        <f t="shared" ca="1" si="19"/>
        <v>0</v>
      </c>
      <c r="AI160" s="327" t="b">
        <f>OR(Table17[[#This Row],[Priority]]="04. High",Table17[[#This Row],[Priority]]="05. Critical",Table17[[#This Row],[Priority]]="03. Moderate")</f>
        <v>0</v>
      </c>
      <c r="AJ160" s="185"/>
      <c r="AK160" s="185"/>
      <c r="AL160" s="185"/>
      <c r="AM160" s="185"/>
      <c r="AN160" s="185"/>
      <c r="AO160" s="185"/>
      <c r="AP160" s="185"/>
      <c r="AQ160" s="185"/>
      <c r="AR160" s="185"/>
      <c r="AS160" s="185"/>
      <c r="AT160" s="185"/>
      <c r="AU160" s="185"/>
      <c r="AV160" s="185"/>
      <c r="AW160" s="185"/>
      <c r="AX160" s="185"/>
      <c r="AY160" s="185"/>
      <c r="AZ160" s="185"/>
      <c r="BA160" s="185"/>
      <c r="BB160" s="185"/>
      <c r="BC160" s="185"/>
      <c r="BD160" s="185"/>
      <c r="BE160" s="185"/>
      <c r="BF160" s="185"/>
      <c r="BG160" s="185"/>
      <c r="BH160" s="185"/>
      <c r="BI160" s="185"/>
      <c r="BJ160" s="185"/>
      <c r="BK160" s="185"/>
      <c r="BL160" s="185"/>
      <c r="BM160" s="185"/>
      <c r="BN160" s="185"/>
      <c r="BO160" s="185"/>
      <c r="BP160" s="185"/>
      <c r="BQ160" s="185"/>
      <c r="BR160" s="185"/>
      <c r="BS160" s="185"/>
      <c r="BT160" s="185"/>
      <c r="BU160" s="185"/>
      <c r="BV160" s="185"/>
      <c r="BW160" s="185"/>
      <c r="BX160" s="185"/>
      <c r="BY160" s="185"/>
      <c r="BZ160" s="185"/>
      <c r="CA160" s="185"/>
      <c r="CB160" s="185"/>
      <c r="CC160" s="185"/>
      <c r="CD160" s="185"/>
      <c r="CE160" s="185"/>
      <c r="CF160" s="185"/>
      <c r="CG160" s="185"/>
      <c r="CH160" s="185"/>
      <c r="CI160" s="185"/>
      <c r="CJ160" s="185"/>
      <c r="CK160" s="185"/>
      <c r="CL160" s="185"/>
      <c r="CM160" s="185"/>
      <c r="CN160" s="185"/>
      <c r="CO160" s="185"/>
      <c r="CP160" s="185"/>
      <c r="CQ160" s="185"/>
      <c r="CR160" s="185"/>
      <c r="CS160" s="185"/>
      <c r="CT160" s="185"/>
      <c r="CU160" s="185"/>
      <c r="CV160" s="185"/>
      <c r="CW160" s="185"/>
      <c r="CX160" s="185"/>
      <c r="CY160" s="185"/>
      <c r="CZ160" s="185"/>
      <c r="DA160" s="185"/>
      <c r="DB160" s="185"/>
      <c r="DC160" s="185"/>
      <c r="DD160" s="185"/>
      <c r="DE160" s="185"/>
      <c r="DF160" s="185"/>
      <c r="DG160" s="185"/>
      <c r="DH160" s="185"/>
      <c r="DI160" s="185"/>
      <c r="DJ160" s="185"/>
      <c r="DK160" s="185"/>
      <c r="DL160" s="185"/>
      <c r="DM160" s="185"/>
      <c r="DN160" s="185"/>
      <c r="DO160" s="185"/>
      <c r="DP160" s="185"/>
      <c r="DQ160" s="185"/>
      <c r="DR160" s="185"/>
      <c r="DS160" s="185"/>
      <c r="DT160" s="185"/>
      <c r="DU160" s="185"/>
      <c r="DV160" s="185"/>
      <c r="DW160" s="185"/>
      <c r="DX160" s="185"/>
      <c r="DY160" s="185"/>
      <c r="DZ160" s="185"/>
      <c r="EA160" s="185"/>
      <c r="EB160" s="185"/>
      <c r="EC160" s="185"/>
      <c r="ED160" s="185"/>
      <c r="EE160" s="185"/>
      <c r="EF160" s="185"/>
      <c r="EG160" s="185"/>
      <c r="EH160" s="185"/>
      <c r="EI160" s="185"/>
      <c r="EJ160" s="185"/>
      <c r="EK160" s="185"/>
      <c r="EL160" s="185"/>
      <c r="EM160" s="185"/>
      <c r="EN160" s="185"/>
      <c r="EO160" s="185"/>
      <c r="EP160" s="185"/>
      <c r="EQ160" s="185"/>
      <c r="ER160" s="185"/>
      <c r="ES160" s="185"/>
      <c r="ET160" s="185"/>
      <c r="EU160" s="185"/>
      <c r="EV160" s="185"/>
      <c r="EW160" s="185"/>
      <c r="EX160" s="185"/>
      <c r="EY160" s="185"/>
      <c r="EZ160" s="185"/>
      <c r="FA160" s="185"/>
      <c r="FB160" s="185"/>
      <c r="FC160" s="185"/>
      <c r="FD160" s="185"/>
      <c r="FE160" s="185"/>
      <c r="FF160" s="185"/>
      <c r="FG160" s="185"/>
      <c r="FH160" s="185"/>
      <c r="FI160" s="185"/>
      <c r="FJ160" s="185"/>
      <c r="FK160" s="185"/>
    </row>
    <row r="161" spans="1:167" s="186" customFormat="1">
      <c r="A161" s="338" t="s">
        <v>2753</v>
      </c>
      <c r="B161" s="178"/>
      <c r="C161" s="141"/>
      <c r="D161" s="140"/>
      <c r="E161" s="141"/>
      <c r="F161" s="338"/>
      <c r="G161" s="141"/>
      <c r="H161" s="141"/>
      <c r="I161" s="141"/>
      <c r="J161" s="141"/>
      <c r="K161" s="141"/>
      <c r="L161" s="333"/>
      <c r="M161" s="339"/>
      <c r="N161" s="337"/>
      <c r="O161" s="337"/>
      <c r="P161" s="339"/>
      <c r="Q161" s="179"/>
      <c r="R161" s="332"/>
      <c r="S161" s="333"/>
      <c r="T161" s="334"/>
      <c r="U161" s="141"/>
      <c r="V161" s="334"/>
      <c r="W161" s="335"/>
      <c r="X161" s="185"/>
      <c r="Y161" s="176" t="str">
        <f>IF(Table17[[#This Row],[Required Resolution Date]]="","FALSE",IF($AA$1&gt;Table17[[#This Row],[Required Resolution Date]],"TRUE","FALSE"))</f>
        <v>FALSE</v>
      </c>
      <c r="Z161" s="175">
        <f t="shared" si="15"/>
        <v>0</v>
      </c>
      <c r="AA161" s="185"/>
      <c r="AB161" s="327" t="b">
        <f>OR(Table17[[#This Row],[Priority]]="04. High",Table17[[#This Row],[Priority]]="05. Critical")</f>
        <v>0</v>
      </c>
      <c r="AC161" s="284">
        <f ca="1">$AA$1-Table17[[#This Row],[Date captured]]</f>
        <v>40990</v>
      </c>
      <c r="AD161" s="327" t="b">
        <f t="shared" ca="1" si="16"/>
        <v>0</v>
      </c>
      <c r="AE161" s="327" t="b">
        <f t="shared" ca="1" si="17"/>
        <v>0</v>
      </c>
      <c r="AF161" s="327" t="b">
        <f t="shared" ca="1" si="18"/>
        <v>1</v>
      </c>
      <c r="AG161" s="284">
        <f ca="1">Table17[[#This Row],[Required Resolution Date]]-$AA$1</f>
        <v>-40990</v>
      </c>
      <c r="AH161" s="327" t="b">
        <f t="shared" ca="1" si="19"/>
        <v>0</v>
      </c>
      <c r="AI161" s="327" t="b">
        <f>OR(Table17[[#This Row],[Priority]]="04. High",Table17[[#This Row],[Priority]]="05. Critical",Table17[[#This Row],[Priority]]="03. Moderate")</f>
        <v>0</v>
      </c>
      <c r="AJ161" s="185"/>
      <c r="AK161" s="185"/>
      <c r="AL161" s="185"/>
      <c r="AM161" s="185"/>
      <c r="AN161" s="185"/>
      <c r="AO161" s="185"/>
      <c r="AP161" s="185"/>
      <c r="AQ161" s="185"/>
      <c r="AR161" s="185"/>
      <c r="AS161" s="185"/>
      <c r="AT161" s="185"/>
      <c r="AU161" s="185"/>
      <c r="AV161" s="185"/>
      <c r="AW161" s="185"/>
      <c r="AX161" s="185"/>
      <c r="AY161" s="185"/>
      <c r="AZ161" s="185"/>
      <c r="BA161" s="185"/>
      <c r="BB161" s="185"/>
      <c r="BC161" s="185"/>
      <c r="BD161" s="185"/>
      <c r="BE161" s="185"/>
      <c r="BF161" s="185"/>
      <c r="BG161" s="185"/>
      <c r="BH161" s="185"/>
      <c r="BI161" s="185"/>
      <c r="BJ161" s="185"/>
      <c r="BK161" s="185"/>
      <c r="BL161" s="185"/>
      <c r="BM161" s="185"/>
      <c r="BN161" s="185"/>
      <c r="BO161" s="185"/>
      <c r="BP161" s="185"/>
      <c r="BQ161" s="185"/>
      <c r="BR161" s="185"/>
      <c r="BS161" s="185"/>
      <c r="BT161" s="185"/>
      <c r="BU161" s="185"/>
      <c r="BV161" s="185"/>
      <c r="BW161" s="185"/>
      <c r="BX161" s="185"/>
      <c r="BY161" s="185"/>
      <c r="BZ161" s="185"/>
      <c r="CA161" s="185"/>
      <c r="CB161" s="185"/>
      <c r="CC161" s="185"/>
      <c r="CD161" s="185"/>
      <c r="CE161" s="185"/>
      <c r="CF161" s="185"/>
      <c r="CG161" s="185"/>
      <c r="CH161" s="185"/>
      <c r="CI161" s="185"/>
      <c r="CJ161" s="185"/>
      <c r="CK161" s="185"/>
      <c r="CL161" s="185"/>
      <c r="CM161" s="185"/>
      <c r="CN161" s="185"/>
      <c r="CO161" s="185"/>
      <c r="CP161" s="185"/>
      <c r="CQ161" s="185"/>
      <c r="CR161" s="185"/>
      <c r="CS161" s="185"/>
      <c r="CT161" s="185"/>
      <c r="CU161" s="185"/>
      <c r="CV161" s="185"/>
      <c r="CW161" s="185"/>
      <c r="CX161" s="185"/>
      <c r="CY161" s="185"/>
      <c r="CZ161" s="185"/>
      <c r="DA161" s="185"/>
      <c r="DB161" s="185"/>
      <c r="DC161" s="185"/>
      <c r="DD161" s="185"/>
      <c r="DE161" s="185"/>
      <c r="DF161" s="185"/>
      <c r="DG161" s="185"/>
      <c r="DH161" s="185"/>
      <c r="DI161" s="185"/>
      <c r="DJ161" s="185"/>
      <c r="DK161" s="185"/>
      <c r="DL161" s="185"/>
      <c r="DM161" s="185"/>
      <c r="DN161" s="185"/>
      <c r="DO161" s="185"/>
      <c r="DP161" s="185"/>
      <c r="DQ161" s="185"/>
      <c r="DR161" s="185"/>
      <c r="DS161" s="185"/>
      <c r="DT161" s="185"/>
      <c r="DU161" s="185"/>
      <c r="DV161" s="185"/>
      <c r="DW161" s="185"/>
      <c r="DX161" s="185"/>
      <c r="DY161" s="185"/>
      <c r="DZ161" s="185"/>
      <c r="EA161" s="185"/>
      <c r="EB161" s="185"/>
      <c r="EC161" s="185"/>
      <c r="ED161" s="185"/>
      <c r="EE161" s="185"/>
      <c r="EF161" s="185"/>
      <c r="EG161" s="185"/>
      <c r="EH161" s="185"/>
      <c r="EI161" s="185"/>
      <c r="EJ161" s="185"/>
      <c r="EK161" s="185"/>
      <c r="EL161" s="185"/>
      <c r="EM161" s="185"/>
      <c r="EN161" s="185"/>
      <c r="EO161" s="185"/>
      <c r="EP161" s="185"/>
      <c r="EQ161" s="185"/>
      <c r="ER161" s="185"/>
      <c r="ES161" s="185"/>
      <c r="ET161" s="185"/>
      <c r="EU161" s="185"/>
      <c r="EV161" s="185"/>
      <c r="EW161" s="185"/>
      <c r="EX161" s="185"/>
      <c r="EY161" s="185"/>
      <c r="EZ161" s="185"/>
      <c r="FA161" s="185"/>
      <c r="FB161" s="185"/>
      <c r="FC161" s="185"/>
      <c r="FD161" s="185"/>
      <c r="FE161" s="185"/>
      <c r="FF161" s="185"/>
      <c r="FG161" s="185"/>
      <c r="FH161" s="185"/>
      <c r="FI161" s="185"/>
      <c r="FJ161" s="185"/>
      <c r="FK161" s="185"/>
    </row>
    <row r="162" spans="1:167" s="186" customFormat="1" ht="121.5" hidden="1">
      <c r="A162" s="177" t="s">
        <v>841</v>
      </c>
      <c r="B162" s="178">
        <v>40932</v>
      </c>
      <c r="C162" s="141" t="s">
        <v>166</v>
      </c>
      <c r="D162" s="140" t="s">
        <v>676</v>
      </c>
      <c r="E162" s="141" t="s">
        <v>180</v>
      </c>
      <c r="F162" s="189" t="s">
        <v>1739</v>
      </c>
      <c r="G162" s="141" t="s">
        <v>690</v>
      </c>
      <c r="H162" s="141" t="s">
        <v>690</v>
      </c>
      <c r="I162" s="141" t="s">
        <v>690</v>
      </c>
      <c r="J162" s="141" t="s">
        <v>690</v>
      </c>
      <c r="K162" s="141" t="s">
        <v>151</v>
      </c>
      <c r="L162" s="333" t="s">
        <v>166</v>
      </c>
      <c r="M162" s="189" t="s">
        <v>166</v>
      </c>
      <c r="N162" s="196" t="s">
        <v>311</v>
      </c>
      <c r="O162" s="196"/>
      <c r="P162" s="189" t="s">
        <v>2149</v>
      </c>
      <c r="Q162" s="179">
        <v>40982</v>
      </c>
      <c r="R162" s="187">
        <v>40987</v>
      </c>
      <c r="S162" s="190" t="s">
        <v>2456</v>
      </c>
      <c r="T162" s="326" t="s">
        <v>1565</v>
      </c>
      <c r="U162" s="190" t="s">
        <v>2457</v>
      </c>
      <c r="V162" s="326">
        <v>40974</v>
      </c>
      <c r="W162" s="184"/>
      <c r="X162" s="185"/>
      <c r="Y162" s="176" t="str">
        <f ca="1">IF(Table17[[#This Row],[Required Resolution Date]]="","FALSE",IF($AA$1&gt;Table17[[#This Row],[Required Resolution Date]],"TRUE","FALSE"))</f>
        <v>TRUE</v>
      </c>
      <c r="Z162" s="175">
        <f t="shared" ca="1" si="15"/>
        <v>1</v>
      </c>
      <c r="AA162" s="185"/>
      <c r="AB162" s="327" t="b">
        <f>OR(Table17[[#This Row],[Priority]]="04. High",Table17[[#This Row],[Priority]]="05. Critical")</f>
        <v>1</v>
      </c>
      <c r="AC162" s="284">
        <f ca="1">$AA$1-Table17[[#This Row],[Date captured]]</f>
        <v>58</v>
      </c>
      <c r="AD162" s="327" t="b">
        <f t="shared" ca="1" si="16"/>
        <v>1</v>
      </c>
      <c r="AE162" s="327" t="b">
        <f t="shared" ca="1" si="17"/>
        <v>0</v>
      </c>
      <c r="AF162" s="327" t="b">
        <f t="shared" ca="1" si="18"/>
        <v>0</v>
      </c>
      <c r="AG162" s="284">
        <f ca="1">Table17[[#This Row],[Required Resolution Date]]-$AA$1</f>
        <v>-3</v>
      </c>
      <c r="AH162" s="327" t="b">
        <f t="shared" ca="1" si="19"/>
        <v>0</v>
      </c>
      <c r="AI162" s="327" t="b">
        <f>OR(Table17[[#This Row],[Priority]]="04. High",Table17[[#This Row],[Priority]]="05. Critical",Table17[[#This Row],[Priority]]="03. Moderate")</f>
        <v>1</v>
      </c>
      <c r="AJ162" s="185"/>
      <c r="AK162" s="185"/>
      <c r="AL162" s="185"/>
      <c r="AM162" s="185"/>
      <c r="AN162" s="185"/>
      <c r="AO162" s="185"/>
      <c r="AP162" s="185"/>
      <c r="AQ162" s="185"/>
      <c r="AR162" s="185"/>
      <c r="AS162" s="185"/>
      <c r="AT162" s="185"/>
      <c r="AU162" s="185"/>
      <c r="AV162" s="185"/>
      <c r="AW162" s="185"/>
      <c r="AX162" s="185"/>
      <c r="AY162" s="185"/>
      <c r="AZ162" s="185"/>
      <c r="BA162" s="185"/>
      <c r="BB162" s="185"/>
      <c r="BC162" s="185"/>
      <c r="BD162" s="185"/>
      <c r="BE162" s="185"/>
      <c r="BF162" s="185"/>
      <c r="BG162" s="185"/>
      <c r="BH162" s="185"/>
      <c r="BI162" s="185"/>
      <c r="BJ162" s="185"/>
      <c r="BK162" s="185"/>
      <c r="BL162" s="185"/>
      <c r="BM162" s="185"/>
      <c r="BN162" s="185"/>
      <c r="BO162" s="185"/>
      <c r="BP162" s="185"/>
      <c r="BQ162" s="185"/>
      <c r="BR162" s="185"/>
      <c r="BS162" s="185"/>
      <c r="BT162" s="185"/>
      <c r="BU162" s="185"/>
      <c r="BV162" s="185"/>
      <c r="BW162" s="185"/>
      <c r="BX162" s="185"/>
      <c r="BY162" s="185"/>
      <c r="BZ162" s="185"/>
      <c r="CA162" s="185"/>
      <c r="CB162" s="185"/>
      <c r="CC162" s="185"/>
      <c r="CD162" s="185"/>
      <c r="CE162" s="185"/>
      <c r="CF162" s="185"/>
      <c r="CG162" s="185"/>
      <c r="CH162" s="185"/>
      <c r="CI162" s="185"/>
      <c r="CJ162" s="185"/>
      <c r="CK162" s="185"/>
      <c r="CL162" s="185"/>
      <c r="CM162" s="185"/>
      <c r="CN162" s="185"/>
      <c r="CO162" s="185"/>
      <c r="CP162" s="185"/>
      <c r="CQ162" s="185"/>
      <c r="CR162" s="185"/>
      <c r="CS162" s="185"/>
      <c r="CT162" s="185"/>
      <c r="CU162" s="185"/>
      <c r="CV162" s="185"/>
      <c r="CW162" s="185"/>
      <c r="CX162" s="185"/>
      <c r="CY162" s="185"/>
      <c r="CZ162" s="185"/>
      <c r="DA162" s="185"/>
      <c r="DB162" s="185"/>
      <c r="DC162" s="185"/>
      <c r="DD162" s="185"/>
      <c r="DE162" s="185"/>
      <c r="DF162" s="185"/>
      <c r="DG162" s="185"/>
      <c r="DH162" s="185"/>
      <c r="DI162" s="185"/>
      <c r="DJ162" s="185"/>
      <c r="DK162" s="185"/>
      <c r="DL162" s="185"/>
      <c r="DM162" s="185"/>
      <c r="DN162" s="185"/>
      <c r="DO162" s="185"/>
      <c r="DP162" s="185"/>
      <c r="DQ162" s="185"/>
      <c r="DR162" s="185"/>
      <c r="DS162" s="185"/>
      <c r="DT162" s="185"/>
      <c r="DU162" s="185"/>
      <c r="DV162" s="185"/>
      <c r="DW162" s="185"/>
      <c r="DX162" s="185"/>
      <c r="DY162" s="185"/>
      <c r="DZ162" s="185"/>
      <c r="EA162" s="185"/>
      <c r="EB162" s="185"/>
      <c r="EC162" s="185"/>
      <c r="ED162" s="185"/>
      <c r="EE162" s="185"/>
      <c r="EF162" s="185"/>
      <c r="EG162" s="185"/>
      <c r="EH162" s="185"/>
      <c r="EI162" s="185"/>
      <c r="EJ162" s="185"/>
      <c r="EK162" s="185"/>
      <c r="EL162" s="185"/>
      <c r="EM162" s="185"/>
      <c r="EN162" s="185"/>
      <c r="EO162" s="185"/>
      <c r="EP162" s="185"/>
      <c r="EQ162" s="185"/>
      <c r="ER162" s="185"/>
      <c r="ES162" s="185"/>
      <c r="ET162" s="185"/>
      <c r="EU162" s="185"/>
      <c r="EV162" s="185"/>
      <c r="EW162" s="185"/>
      <c r="EX162" s="185"/>
      <c r="EY162" s="185"/>
      <c r="EZ162" s="185"/>
      <c r="FA162" s="185"/>
      <c r="FB162" s="185"/>
      <c r="FC162" s="185"/>
      <c r="FD162" s="185"/>
      <c r="FE162" s="185"/>
      <c r="FF162" s="185"/>
      <c r="FG162" s="185"/>
      <c r="FH162" s="185"/>
      <c r="FI162" s="185"/>
      <c r="FJ162" s="185"/>
      <c r="FK162" s="185"/>
    </row>
    <row r="163" spans="1:167" s="186" customFormat="1">
      <c r="A163" s="198"/>
      <c r="B163" s="178"/>
      <c r="C163" s="141"/>
      <c r="D163" s="140"/>
      <c r="E163" s="141"/>
      <c r="F163" s="198"/>
      <c r="G163" s="141"/>
      <c r="H163" s="141"/>
      <c r="I163" s="141"/>
      <c r="J163" s="141"/>
      <c r="K163" s="141"/>
      <c r="L163" s="333"/>
      <c r="M163" s="339"/>
      <c r="N163" s="191"/>
      <c r="O163" s="337"/>
      <c r="P163" s="339"/>
      <c r="Q163" s="179"/>
      <c r="R163" s="180"/>
      <c r="S163" s="181"/>
      <c r="T163" s="182"/>
      <c r="U163" s="141"/>
      <c r="V163" s="182"/>
      <c r="W163" s="183"/>
      <c r="X163" s="185"/>
      <c r="Y163" s="176" t="str">
        <f>IF(Table17[[#This Row],[Required Resolution Date]]="","FALSE",IF($AA$1&gt;Table17[[#This Row],[Required Resolution Date]],"TRUE","FALSE"))</f>
        <v>FALSE</v>
      </c>
      <c r="Z163" s="175">
        <f t="shared" si="15"/>
        <v>0</v>
      </c>
      <c r="AA163" s="185"/>
      <c r="AB163" s="327" t="b">
        <f>OR(Table17[[#This Row],[Priority]]="04. High",Table17[[#This Row],[Priority]]="05. Critical")</f>
        <v>0</v>
      </c>
      <c r="AC163" s="284">
        <f ca="1">$AA$1-Table17[[#This Row],[Date captured]]</f>
        <v>40990</v>
      </c>
      <c r="AD163" s="327" t="b">
        <f t="shared" ca="1" si="16"/>
        <v>0</v>
      </c>
      <c r="AE163" s="327" t="b">
        <f t="shared" ca="1" si="17"/>
        <v>0</v>
      </c>
      <c r="AF163" s="327" t="b">
        <f t="shared" ca="1" si="18"/>
        <v>1</v>
      </c>
      <c r="AG163" s="284">
        <f ca="1">Table17[[#This Row],[Required Resolution Date]]-$AA$1</f>
        <v>-40990</v>
      </c>
      <c r="AH163" s="327" t="b">
        <f t="shared" ca="1" si="19"/>
        <v>0</v>
      </c>
      <c r="AI163" s="327" t="b">
        <f>OR(Table17[[#This Row],[Priority]]="04. High",Table17[[#This Row],[Priority]]="05. Critical",Table17[[#This Row],[Priority]]="03. Moderate")</f>
        <v>0</v>
      </c>
      <c r="AJ163" s="185"/>
      <c r="AK163" s="185"/>
      <c r="AL163" s="185"/>
      <c r="AM163" s="185"/>
      <c r="AN163" s="185"/>
      <c r="AO163" s="185"/>
      <c r="AP163" s="185"/>
      <c r="AQ163" s="185"/>
      <c r="AR163" s="185"/>
      <c r="AS163" s="185"/>
      <c r="AT163" s="185"/>
      <c r="AU163" s="185"/>
      <c r="AV163" s="185"/>
      <c r="AW163" s="185"/>
      <c r="AX163" s="185"/>
      <c r="AY163" s="185"/>
      <c r="AZ163" s="185"/>
      <c r="BA163" s="185"/>
      <c r="BB163" s="185"/>
      <c r="BC163" s="185"/>
      <c r="BD163" s="185"/>
      <c r="BE163" s="185"/>
      <c r="BF163" s="185"/>
      <c r="BG163" s="185"/>
      <c r="BH163" s="185"/>
      <c r="BI163" s="185"/>
      <c r="BJ163" s="185"/>
      <c r="BK163" s="185"/>
      <c r="BL163" s="185"/>
      <c r="BM163" s="185"/>
      <c r="BN163" s="185"/>
      <c r="BO163" s="185"/>
      <c r="BP163" s="185"/>
      <c r="BQ163" s="185"/>
      <c r="BR163" s="185"/>
      <c r="BS163" s="185"/>
      <c r="BT163" s="185"/>
      <c r="BU163" s="185"/>
      <c r="BV163" s="185"/>
      <c r="BW163" s="185"/>
      <c r="BX163" s="185"/>
      <c r="BY163" s="185"/>
      <c r="BZ163" s="185"/>
      <c r="CA163" s="185"/>
      <c r="CB163" s="185"/>
      <c r="CC163" s="185"/>
      <c r="CD163" s="185"/>
      <c r="CE163" s="185"/>
      <c r="CF163" s="185"/>
      <c r="CG163" s="185"/>
      <c r="CH163" s="185"/>
      <c r="CI163" s="185"/>
      <c r="CJ163" s="185"/>
      <c r="CK163" s="185"/>
      <c r="CL163" s="185"/>
      <c r="CM163" s="185"/>
      <c r="CN163" s="185"/>
      <c r="CO163" s="185"/>
      <c r="CP163" s="185"/>
      <c r="CQ163" s="185"/>
      <c r="CR163" s="185"/>
      <c r="CS163" s="185"/>
      <c r="CT163" s="185"/>
      <c r="CU163" s="185"/>
      <c r="CV163" s="185"/>
      <c r="CW163" s="185"/>
      <c r="CX163" s="185"/>
      <c r="CY163" s="185"/>
      <c r="CZ163" s="185"/>
      <c r="DA163" s="185"/>
      <c r="DB163" s="185"/>
      <c r="DC163" s="185"/>
      <c r="DD163" s="185"/>
      <c r="DE163" s="185"/>
      <c r="DF163" s="185"/>
      <c r="DG163" s="185"/>
      <c r="DH163" s="185"/>
      <c r="DI163" s="185"/>
      <c r="DJ163" s="185"/>
      <c r="DK163" s="185"/>
      <c r="DL163" s="185"/>
      <c r="DM163" s="185"/>
      <c r="DN163" s="185"/>
      <c r="DO163" s="185"/>
      <c r="DP163" s="185"/>
      <c r="DQ163" s="185"/>
      <c r="DR163" s="185"/>
      <c r="DS163" s="185"/>
      <c r="DT163" s="185"/>
      <c r="DU163" s="185"/>
      <c r="DV163" s="185"/>
      <c r="DW163" s="185"/>
      <c r="DX163" s="185"/>
      <c r="DY163" s="185"/>
      <c r="DZ163" s="185"/>
      <c r="EA163" s="185"/>
      <c r="EB163" s="185"/>
      <c r="EC163" s="185"/>
      <c r="ED163" s="185"/>
      <c r="EE163" s="185"/>
      <c r="EF163" s="185"/>
      <c r="EG163" s="185"/>
      <c r="EH163" s="185"/>
      <c r="EI163" s="185"/>
      <c r="EJ163" s="185"/>
      <c r="EK163" s="185"/>
      <c r="EL163" s="185"/>
      <c r="EM163" s="185"/>
      <c r="EN163" s="185"/>
      <c r="EO163" s="185"/>
      <c r="EP163" s="185"/>
      <c r="EQ163" s="185"/>
      <c r="ER163" s="185"/>
      <c r="ES163" s="185"/>
      <c r="ET163" s="185"/>
      <c r="EU163" s="185"/>
      <c r="EV163" s="185"/>
      <c r="EW163" s="185"/>
      <c r="EX163" s="185"/>
      <c r="EY163" s="185"/>
      <c r="EZ163" s="185"/>
      <c r="FA163" s="185"/>
      <c r="FB163" s="185"/>
      <c r="FC163" s="185"/>
      <c r="FD163" s="185"/>
      <c r="FE163" s="185"/>
      <c r="FF163" s="185"/>
      <c r="FG163" s="185"/>
      <c r="FH163" s="185"/>
      <c r="FI163" s="185"/>
      <c r="FJ163" s="185"/>
      <c r="FK163" s="185"/>
    </row>
    <row r="164" spans="1:167" s="186" customFormat="1">
      <c r="A164" s="198"/>
      <c r="B164" s="178"/>
      <c r="C164" s="141"/>
      <c r="D164" s="140"/>
      <c r="E164" s="141"/>
      <c r="F164" s="198"/>
      <c r="G164" s="141"/>
      <c r="H164" s="141"/>
      <c r="I164" s="141"/>
      <c r="J164" s="141"/>
      <c r="K164" s="141"/>
      <c r="L164" s="333"/>
      <c r="M164" s="339"/>
      <c r="N164" s="191"/>
      <c r="O164" s="337"/>
      <c r="P164" s="339"/>
      <c r="Q164" s="179"/>
      <c r="R164" s="180"/>
      <c r="S164" s="181"/>
      <c r="T164" s="182"/>
      <c r="U164" s="141"/>
      <c r="V164" s="182"/>
      <c r="W164" s="183"/>
      <c r="X164" s="185"/>
      <c r="Y164" s="176" t="str">
        <f>IF(Table17[[#This Row],[Required Resolution Date]]="","FALSE",IF($AA$1&gt;Table17[[#This Row],[Required Resolution Date]],"TRUE","FALSE"))</f>
        <v>FALSE</v>
      </c>
      <c r="Z164" s="175">
        <f t="shared" si="15"/>
        <v>0</v>
      </c>
      <c r="AA164" s="185"/>
      <c r="AB164" s="327" t="b">
        <f>OR(Table17[[#This Row],[Priority]]="04. High",Table17[[#This Row],[Priority]]="05. Critical")</f>
        <v>0</v>
      </c>
      <c r="AC164" s="284">
        <f ca="1">$AA$1-Table17[[#This Row],[Date captured]]</f>
        <v>40990</v>
      </c>
      <c r="AD164" s="327" t="b">
        <f t="shared" ca="1" si="16"/>
        <v>0</v>
      </c>
      <c r="AE164" s="327" t="b">
        <f t="shared" ca="1" si="17"/>
        <v>0</v>
      </c>
      <c r="AF164" s="327" t="b">
        <f t="shared" ca="1" si="18"/>
        <v>1</v>
      </c>
      <c r="AG164" s="284">
        <f ca="1">Table17[[#This Row],[Required Resolution Date]]-$AA$1</f>
        <v>-40990</v>
      </c>
      <c r="AH164" s="327" t="b">
        <f t="shared" ca="1" si="19"/>
        <v>0</v>
      </c>
      <c r="AI164" s="327" t="b">
        <f>OR(Table17[[#This Row],[Priority]]="04. High",Table17[[#This Row],[Priority]]="05. Critical",Table17[[#This Row],[Priority]]="03. Moderate")</f>
        <v>0</v>
      </c>
      <c r="AJ164" s="185"/>
      <c r="AK164" s="185"/>
      <c r="AL164" s="185"/>
      <c r="AM164" s="185"/>
      <c r="AN164" s="185"/>
      <c r="AO164" s="185"/>
      <c r="AP164" s="185"/>
      <c r="AQ164" s="185"/>
      <c r="AR164" s="185"/>
      <c r="AS164" s="185"/>
      <c r="AT164" s="185"/>
      <c r="AU164" s="185"/>
      <c r="AV164" s="185"/>
      <c r="AW164" s="185"/>
      <c r="AX164" s="185"/>
      <c r="AY164" s="185"/>
      <c r="AZ164" s="185"/>
      <c r="BA164" s="185"/>
      <c r="BB164" s="185"/>
      <c r="BC164" s="185"/>
      <c r="BD164" s="185"/>
      <c r="BE164" s="185"/>
      <c r="BF164" s="185"/>
      <c r="BG164" s="185"/>
      <c r="BH164" s="185"/>
      <c r="BI164" s="185"/>
      <c r="BJ164" s="185"/>
      <c r="BK164" s="185"/>
      <c r="BL164" s="185"/>
      <c r="BM164" s="185"/>
      <c r="BN164" s="185"/>
      <c r="BO164" s="185"/>
      <c r="BP164" s="185"/>
      <c r="BQ164" s="185"/>
      <c r="BR164" s="185"/>
      <c r="BS164" s="185"/>
      <c r="BT164" s="185"/>
      <c r="BU164" s="185"/>
      <c r="BV164" s="185"/>
      <c r="BW164" s="185"/>
      <c r="BX164" s="185"/>
      <c r="BY164" s="185"/>
      <c r="BZ164" s="185"/>
      <c r="CA164" s="185"/>
      <c r="CB164" s="185"/>
      <c r="CC164" s="185"/>
      <c r="CD164" s="185"/>
      <c r="CE164" s="185"/>
      <c r="CF164" s="185"/>
      <c r="CG164" s="185"/>
      <c r="CH164" s="185"/>
      <c r="CI164" s="185"/>
      <c r="CJ164" s="185"/>
      <c r="CK164" s="185"/>
      <c r="CL164" s="185"/>
      <c r="CM164" s="185"/>
      <c r="CN164" s="185"/>
      <c r="CO164" s="185"/>
      <c r="CP164" s="185"/>
      <c r="CQ164" s="185"/>
      <c r="CR164" s="185"/>
      <c r="CS164" s="185"/>
      <c r="CT164" s="185"/>
      <c r="CU164" s="185"/>
      <c r="CV164" s="185"/>
      <c r="CW164" s="185"/>
      <c r="CX164" s="185"/>
      <c r="CY164" s="185"/>
      <c r="CZ164" s="185"/>
      <c r="DA164" s="185"/>
      <c r="DB164" s="185"/>
      <c r="DC164" s="185"/>
      <c r="DD164" s="185"/>
      <c r="DE164" s="185"/>
      <c r="DF164" s="185"/>
      <c r="DG164" s="185"/>
      <c r="DH164" s="185"/>
      <c r="DI164" s="185"/>
      <c r="DJ164" s="185"/>
      <c r="DK164" s="185"/>
      <c r="DL164" s="185"/>
      <c r="DM164" s="185"/>
      <c r="DN164" s="185"/>
      <c r="DO164" s="185"/>
      <c r="DP164" s="185"/>
      <c r="DQ164" s="185"/>
      <c r="DR164" s="185"/>
      <c r="DS164" s="185"/>
      <c r="DT164" s="185"/>
      <c r="DU164" s="185"/>
      <c r="DV164" s="185"/>
      <c r="DW164" s="185"/>
      <c r="DX164" s="185"/>
      <c r="DY164" s="185"/>
      <c r="DZ164" s="185"/>
      <c r="EA164" s="185"/>
      <c r="EB164" s="185"/>
      <c r="EC164" s="185"/>
      <c r="ED164" s="185"/>
      <c r="EE164" s="185"/>
      <c r="EF164" s="185"/>
      <c r="EG164" s="185"/>
      <c r="EH164" s="185"/>
      <c r="EI164" s="185"/>
      <c r="EJ164" s="185"/>
      <c r="EK164" s="185"/>
      <c r="EL164" s="185"/>
      <c r="EM164" s="185"/>
      <c r="EN164" s="185"/>
      <c r="EO164" s="185"/>
      <c r="EP164" s="185"/>
      <c r="EQ164" s="185"/>
      <c r="ER164" s="185"/>
      <c r="ES164" s="185"/>
      <c r="ET164" s="185"/>
      <c r="EU164" s="185"/>
      <c r="EV164" s="185"/>
      <c r="EW164" s="185"/>
      <c r="EX164" s="185"/>
      <c r="EY164" s="185"/>
      <c r="EZ164" s="185"/>
      <c r="FA164" s="185"/>
      <c r="FB164" s="185"/>
      <c r="FC164" s="185"/>
      <c r="FD164" s="185"/>
      <c r="FE164" s="185"/>
      <c r="FF164" s="185"/>
      <c r="FG164" s="185"/>
      <c r="FH164" s="185"/>
      <c r="FI164" s="185"/>
      <c r="FJ164" s="185"/>
      <c r="FK164" s="185"/>
    </row>
    <row r="165" spans="1:167" s="186" customFormat="1">
      <c r="A165" s="198"/>
      <c r="B165" s="178"/>
      <c r="C165" s="141"/>
      <c r="D165" s="140"/>
      <c r="E165" s="141"/>
      <c r="F165" s="198"/>
      <c r="G165" s="141"/>
      <c r="H165" s="141"/>
      <c r="I165" s="141"/>
      <c r="J165" s="141"/>
      <c r="K165" s="141"/>
      <c r="L165" s="333"/>
      <c r="M165" s="339"/>
      <c r="N165" s="191"/>
      <c r="O165" s="337"/>
      <c r="P165" s="339"/>
      <c r="Q165" s="179"/>
      <c r="R165" s="180"/>
      <c r="S165" s="181"/>
      <c r="T165" s="182"/>
      <c r="U165" s="141"/>
      <c r="V165" s="182"/>
      <c r="W165" s="183"/>
      <c r="X165" s="185"/>
      <c r="Y165" s="176" t="str">
        <f>IF(Table17[[#This Row],[Required Resolution Date]]="","FALSE",IF($AA$1&gt;Table17[[#This Row],[Required Resolution Date]],"TRUE","FALSE"))</f>
        <v>FALSE</v>
      </c>
      <c r="Z165" s="175">
        <f t="shared" si="15"/>
        <v>0</v>
      </c>
      <c r="AA165" s="185"/>
      <c r="AB165" s="327" t="b">
        <f>OR(Table17[[#This Row],[Priority]]="04. High",Table17[[#This Row],[Priority]]="05. Critical")</f>
        <v>0</v>
      </c>
      <c r="AC165" s="284">
        <f ca="1">$AA$1-Table17[[#This Row],[Date captured]]</f>
        <v>40990</v>
      </c>
      <c r="AD165" s="327" t="b">
        <f t="shared" ca="1" si="16"/>
        <v>0</v>
      </c>
      <c r="AE165" s="327" t="b">
        <f t="shared" ca="1" si="17"/>
        <v>0</v>
      </c>
      <c r="AF165" s="327" t="b">
        <f t="shared" ca="1" si="18"/>
        <v>1</v>
      </c>
      <c r="AG165" s="284">
        <f ca="1">Table17[[#This Row],[Required Resolution Date]]-$AA$1</f>
        <v>-40990</v>
      </c>
      <c r="AH165" s="327" t="b">
        <f t="shared" ca="1" si="19"/>
        <v>0</v>
      </c>
      <c r="AI165" s="327" t="b">
        <f>OR(Table17[[#This Row],[Priority]]="04. High",Table17[[#This Row],[Priority]]="05. Critical",Table17[[#This Row],[Priority]]="03. Moderate")</f>
        <v>0</v>
      </c>
      <c r="AJ165" s="185"/>
      <c r="AK165" s="185"/>
      <c r="AL165" s="185"/>
      <c r="AM165" s="185"/>
      <c r="AN165" s="185"/>
      <c r="AO165" s="185"/>
      <c r="AP165" s="185"/>
      <c r="AQ165" s="185"/>
      <c r="AR165" s="185"/>
      <c r="AS165" s="185"/>
      <c r="AT165" s="185"/>
      <c r="AU165" s="185"/>
      <c r="AV165" s="185"/>
      <c r="AW165" s="185"/>
      <c r="AX165" s="185"/>
      <c r="AY165" s="185"/>
      <c r="AZ165" s="185"/>
      <c r="BA165" s="185"/>
      <c r="BB165" s="185"/>
      <c r="BC165" s="185"/>
      <c r="BD165" s="185"/>
      <c r="BE165" s="185"/>
      <c r="BF165" s="185"/>
      <c r="BG165" s="185"/>
      <c r="BH165" s="185"/>
      <c r="BI165" s="185"/>
      <c r="BJ165" s="185"/>
      <c r="BK165" s="185"/>
      <c r="BL165" s="185"/>
      <c r="BM165" s="185"/>
      <c r="BN165" s="185"/>
      <c r="BO165" s="185"/>
      <c r="BP165" s="185"/>
      <c r="BQ165" s="185"/>
      <c r="BR165" s="185"/>
      <c r="BS165" s="185"/>
      <c r="BT165" s="185"/>
      <c r="BU165" s="185"/>
      <c r="BV165" s="185"/>
      <c r="BW165" s="185"/>
      <c r="BX165" s="185"/>
      <c r="BY165" s="185"/>
      <c r="BZ165" s="185"/>
      <c r="CA165" s="185"/>
      <c r="CB165" s="185"/>
      <c r="CC165" s="185"/>
      <c r="CD165" s="185"/>
      <c r="CE165" s="185"/>
      <c r="CF165" s="185"/>
      <c r="CG165" s="185"/>
      <c r="CH165" s="185"/>
      <c r="CI165" s="185"/>
      <c r="CJ165" s="185"/>
      <c r="CK165" s="185"/>
      <c r="CL165" s="185"/>
      <c r="CM165" s="185"/>
      <c r="CN165" s="185"/>
      <c r="CO165" s="185"/>
      <c r="CP165" s="185"/>
      <c r="CQ165" s="185"/>
      <c r="CR165" s="185"/>
      <c r="CS165" s="185"/>
      <c r="CT165" s="185"/>
      <c r="CU165" s="185"/>
      <c r="CV165" s="185"/>
      <c r="CW165" s="185"/>
      <c r="CX165" s="185"/>
      <c r="CY165" s="185"/>
      <c r="CZ165" s="185"/>
      <c r="DA165" s="185"/>
      <c r="DB165" s="185"/>
      <c r="DC165" s="185"/>
      <c r="DD165" s="185"/>
      <c r="DE165" s="185"/>
      <c r="DF165" s="185"/>
      <c r="DG165" s="185"/>
      <c r="DH165" s="185"/>
      <c r="DI165" s="185"/>
      <c r="DJ165" s="185"/>
      <c r="DK165" s="185"/>
      <c r="DL165" s="185"/>
      <c r="DM165" s="185"/>
      <c r="DN165" s="185"/>
      <c r="DO165" s="185"/>
      <c r="DP165" s="185"/>
      <c r="DQ165" s="185"/>
      <c r="DR165" s="185"/>
      <c r="DS165" s="185"/>
      <c r="DT165" s="185"/>
      <c r="DU165" s="185"/>
      <c r="DV165" s="185"/>
      <c r="DW165" s="185"/>
      <c r="DX165" s="185"/>
      <c r="DY165" s="185"/>
      <c r="DZ165" s="185"/>
      <c r="EA165" s="185"/>
      <c r="EB165" s="185"/>
      <c r="EC165" s="185"/>
      <c r="ED165" s="185"/>
      <c r="EE165" s="185"/>
      <c r="EF165" s="185"/>
      <c r="EG165" s="185"/>
      <c r="EH165" s="185"/>
      <c r="EI165" s="185"/>
      <c r="EJ165" s="185"/>
      <c r="EK165" s="185"/>
      <c r="EL165" s="185"/>
      <c r="EM165" s="185"/>
      <c r="EN165" s="185"/>
      <c r="EO165" s="185"/>
      <c r="EP165" s="185"/>
      <c r="EQ165" s="185"/>
      <c r="ER165" s="185"/>
      <c r="ES165" s="185"/>
      <c r="ET165" s="185"/>
      <c r="EU165" s="185"/>
      <c r="EV165" s="185"/>
      <c r="EW165" s="185"/>
      <c r="EX165" s="185"/>
      <c r="EY165" s="185"/>
      <c r="EZ165" s="185"/>
      <c r="FA165" s="185"/>
      <c r="FB165" s="185"/>
      <c r="FC165" s="185"/>
      <c r="FD165" s="185"/>
      <c r="FE165" s="185"/>
      <c r="FF165" s="185"/>
      <c r="FG165" s="185"/>
      <c r="FH165" s="185"/>
      <c r="FI165" s="185"/>
      <c r="FJ165" s="185"/>
      <c r="FK165" s="185"/>
    </row>
    <row r="166" spans="1:167" s="186" customFormat="1">
      <c r="A166" s="198"/>
      <c r="B166" s="178"/>
      <c r="C166" s="141"/>
      <c r="D166" s="140"/>
      <c r="E166" s="141"/>
      <c r="F166" s="198"/>
      <c r="G166" s="141"/>
      <c r="H166" s="141"/>
      <c r="I166" s="141"/>
      <c r="J166" s="141"/>
      <c r="K166" s="141"/>
      <c r="L166" s="333"/>
      <c r="M166" s="339"/>
      <c r="N166" s="191"/>
      <c r="O166" s="337"/>
      <c r="P166" s="339"/>
      <c r="Q166" s="179"/>
      <c r="R166" s="180"/>
      <c r="S166" s="181"/>
      <c r="T166" s="182"/>
      <c r="U166" s="141"/>
      <c r="V166" s="182"/>
      <c r="W166" s="183"/>
      <c r="X166" s="185"/>
      <c r="Y166" s="176" t="str">
        <f>IF(Table17[[#This Row],[Required Resolution Date]]="","FALSE",IF($AA$1&gt;Table17[[#This Row],[Required Resolution Date]],"TRUE","FALSE"))</f>
        <v>FALSE</v>
      </c>
      <c r="Z166" s="175">
        <f t="shared" si="15"/>
        <v>0</v>
      </c>
      <c r="AA166" s="185"/>
      <c r="AB166" s="327" t="b">
        <f>OR(Table17[[#This Row],[Priority]]="04. High",Table17[[#This Row],[Priority]]="05. Critical")</f>
        <v>0</v>
      </c>
      <c r="AC166" s="284">
        <f ca="1">$AA$1-Table17[[#This Row],[Date captured]]</f>
        <v>40990</v>
      </c>
      <c r="AD166" s="327" t="b">
        <f t="shared" ca="1" si="16"/>
        <v>0</v>
      </c>
      <c r="AE166" s="327" t="b">
        <f t="shared" ca="1" si="17"/>
        <v>0</v>
      </c>
      <c r="AF166" s="327" t="b">
        <f t="shared" ca="1" si="18"/>
        <v>1</v>
      </c>
      <c r="AG166" s="284">
        <f ca="1">Table17[[#This Row],[Required Resolution Date]]-$AA$1</f>
        <v>-40990</v>
      </c>
      <c r="AH166" s="327" t="b">
        <f t="shared" ca="1" si="19"/>
        <v>0</v>
      </c>
      <c r="AI166" s="327" t="b">
        <f>OR(Table17[[#This Row],[Priority]]="04. High",Table17[[#This Row],[Priority]]="05. Critical",Table17[[#This Row],[Priority]]="03. Moderate")</f>
        <v>0</v>
      </c>
      <c r="AJ166" s="185"/>
      <c r="AK166" s="185"/>
      <c r="AL166" s="185"/>
      <c r="AM166" s="185"/>
      <c r="AN166" s="185"/>
      <c r="AO166" s="185"/>
      <c r="AP166" s="185"/>
      <c r="AQ166" s="185"/>
      <c r="AR166" s="185"/>
      <c r="AS166" s="185"/>
      <c r="AT166" s="185"/>
      <c r="AU166" s="185"/>
      <c r="AV166" s="185"/>
      <c r="AW166" s="185"/>
      <c r="AX166" s="185"/>
      <c r="AY166" s="185"/>
      <c r="AZ166" s="185"/>
      <c r="BA166" s="185"/>
      <c r="BB166" s="185"/>
      <c r="BC166" s="185"/>
      <c r="BD166" s="185"/>
      <c r="BE166" s="185"/>
      <c r="BF166" s="185"/>
      <c r="BG166" s="185"/>
      <c r="BH166" s="185"/>
      <c r="BI166" s="185"/>
      <c r="BJ166" s="185"/>
      <c r="BK166" s="185"/>
      <c r="BL166" s="185"/>
      <c r="BM166" s="185"/>
      <c r="BN166" s="185"/>
      <c r="BO166" s="185"/>
      <c r="BP166" s="185"/>
      <c r="BQ166" s="185"/>
      <c r="BR166" s="185"/>
      <c r="BS166" s="185"/>
      <c r="BT166" s="185"/>
      <c r="BU166" s="185"/>
      <c r="BV166" s="185"/>
      <c r="BW166" s="185"/>
      <c r="BX166" s="185"/>
      <c r="BY166" s="185"/>
      <c r="BZ166" s="185"/>
      <c r="CA166" s="185"/>
      <c r="CB166" s="185"/>
      <c r="CC166" s="185"/>
      <c r="CD166" s="185"/>
      <c r="CE166" s="185"/>
      <c r="CF166" s="185"/>
      <c r="CG166" s="185"/>
      <c r="CH166" s="185"/>
      <c r="CI166" s="185"/>
      <c r="CJ166" s="185"/>
      <c r="CK166" s="185"/>
      <c r="CL166" s="185"/>
      <c r="CM166" s="185"/>
      <c r="CN166" s="185"/>
      <c r="CO166" s="185"/>
      <c r="CP166" s="185"/>
      <c r="CQ166" s="185"/>
      <c r="CR166" s="185"/>
      <c r="CS166" s="185"/>
      <c r="CT166" s="185"/>
      <c r="CU166" s="185"/>
      <c r="CV166" s="185"/>
      <c r="CW166" s="185"/>
      <c r="CX166" s="185"/>
      <c r="CY166" s="185"/>
      <c r="CZ166" s="185"/>
      <c r="DA166" s="185"/>
      <c r="DB166" s="185"/>
      <c r="DC166" s="185"/>
      <c r="DD166" s="185"/>
      <c r="DE166" s="185"/>
      <c r="DF166" s="185"/>
      <c r="DG166" s="185"/>
      <c r="DH166" s="185"/>
      <c r="DI166" s="185"/>
      <c r="DJ166" s="185"/>
      <c r="DK166" s="185"/>
      <c r="DL166" s="185"/>
      <c r="DM166" s="185"/>
      <c r="DN166" s="185"/>
      <c r="DO166" s="185"/>
      <c r="DP166" s="185"/>
      <c r="DQ166" s="185"/>
      <c r="DR166" s="185"/>
      <c r="DS166" s="185"/>
      <c r="DT166" s="185"/>
      <c r="DU166" s="185"/>
      <c r="DV166" s="185"/>
      <c r="DW166" s="185"/>
      <c r="DX166" s="185"/>
      <c r="DY166" s="185"/>
      <c r="DZ166" s="185"/>
      <c r="EA166" s="185"/>
      <c r="EB166" s="185"/>
      <c r="EC166" s="185"/>
      <c r="ED166" s="185"/>
      <c r="EE166" s="185"/>
      <c r="EF166" s="185"/>
      <c r="EG166" s="185"/>
      <c r="EH166" s="185"/>
      <c r="EI166" s="185"/>
      <c r="EJ166" s="185"/>
      <c r="EK166" s="185"/>
      <c r="EL166" s="185"/>
      <c r="EM166" s="185"/>
      <c r="EN166" s="185"/>
      <c r="EO166" s="185"/>
      <c r="EP166" s="185"/>
      <c r="EQ166" s="185"/>
      <c r="ER166" s="185"/>
      <c r="ES166" s="185"/>
      <c r="ET166" s="185"/>
      <c r="EU166" s="185"/>
      <c r="EV166" s="185"/>
      <c r="EW166" s="185"/>
      <c r="EX166" s="185"/>
      <c r="EY166" s="185"/>
      <c r="EZ166" s="185"/>
      <c r="FA166" s="185"/>
      <c r="FB166" s="185"/>
      <c r="FC166" s="185"/>
      <c r="FD166" s="185"/>
      <c r="FE166" s="185"/>
      <c r="FF166" s="185"/>
      <c r="FG166" s="185"/>
      <c r="FH166" s="185"/>
      <c r="FI166" s="185"/>
      <c r="FJ166" s="185"/>
      <c r="FK166" s="185"/>
    </row>
    <row r="167" spans="1:167" s="186" customFormat="1">
      <c r="A167" s="198"/>
      <c r="B167" s="178"/>
      <c r="C167" s="141"/>
      <c r="D167" s="140"/>
      <c r="E167" s="141"/>
      <c r="F167" s="198"/>
      <c r="G167" s="141"/>
      <c r="H167" s="141"/>
      <c r="I167" s="141"/>
      <c r="J167" s="141"/>
      <c r="K167" s="141"/>
      <c r="L167" s="333"/>
      <c r="M167" s="339"/>
      <c r="N167" s="191"/>
      <c r="O167" s="337"/>
      <c r="P167" s="339"/>
      <c r="Q167" s="179"/>
      <c r="R167" s="180"/>
      <c r="S167" s="181"/>
      <c r="T167" s="182"/>
      <c r="U167" s="141"/>
      <c r="V167" s="182"/>
      <c r="W167" s="183"/>
      <c r="X167" s="185"/>
      <c r="Y167" s="176" t="str">
        <f>IF(Table17[[#This Row],[Required Resolution Date]]="","FALSE",IF($AA$1&gt;Table17[[#This Row],[Required Resolution Date]],"TRUE","FALSE"))</f>
        <v>FALSE</v>
      </c>
      <c r="Z167" s="175">
        <f t="shared" si="15"/>
        <v>0</v>
      </c>
      <c r="AA167" s="185"/>
      <c r="AB167" s="327" t="b">
        <f>OR(Table17[[#This Row],[Priority]]="04. High",Table17[[#This Row],[Priority]]="05. Critical")</f>
        <v>0</v>
      </c>
      <c r="AC167" s="284">
        <f ca="1">$AA$1-Table17[[#This Row],[Date captured]]</f>
        <v>40990</v>
      </c>
      <c r="AD167" s="327" t="b">
        <f t="shared" ca="1" si="16"/>
        <v>0</v>
      </c>
      <c r="AE167" s="327" t="b">
        <f t="shared" ca="1" si="17"/>
        <v>0</v>
      </c>
      <c r="AF167" s="327" t="b">
        <f t="shared" ca="1" si="18"/>
        <v>1</v>
      </c>
      <c r="AG167" s="284">
        <f ca="1">Table17[[#This Row],[Required Resolution Date]]-$AA$1</f>
        <v>-40990</v>
      </c>
      <c r="AH167" s="327" t="b">
        <f t="shared" ca="1" si="19"/>
        <v>0</v>
      </c>
      <c r="AI167" s="327" t="b">
        <f>OR(Table17[[#This Row],[Priority]]="04. High",Table17[[#This Row],[Priority]]="05. Critical",Table17[[#This Row],[Priority]]="03. Moderate")</f>
        <v>0</v>
      </c>
      <c r="AJ167" s="185"/>
      <c r="AK167" s="185"/>
      <c r="AL167" s="185"/>
      <c r="AM167" s="185"/>
      <c r="AN167" s="185"/>
      <c r="AO167" s="185"/>
      <c r="AP167" s="185"/>
      <c r="AQ167" s="185"/>
      <c r="AR167" s="185"/>
      <c r="AS167" s="185"/>
      <c r="AT167" s="185"/>
      <c r="AU167" s="185"/>
      <c r="AV167" s="185"/>
      <c r="AW167" s="185"/>
      <c r="AX167" s="185"/>
      <c r="AY167" s="185"/>
      <c r="AZ167" s="185"/>
      <c r="BA167" s="185"/>
      <c r="BB167" s="185"/>
      <c r="BC167" s="185"/>
      <c r="BD167" s="185"/>
      <c r="BE167" s="185"/>
      <c r="BF167" s="185"/>
      <c r="BG167" s="185"/>
      <c r="BH167" s="185"/>
      <c r="BI167" s="185"/>
      <c r="BJ167" s="185"/>
      <c r="BK167" s="185"/>
      <c r="BL167" s="185"/>
      <c r="BM167" s="185"/>
      <c r="BN167" s="185"/>
      <c r="BO167" s="185"/>
      <c r="BP167" s="185"/>
      <c r="BQ167" s="185"/>
      <c r="BR167" s="185"/>
      <c r="BS167" s="185"/>
      <c r="BT167" s="185"/>
      <c r="BU167" s="185"/>
      <c r="BV167" s="185"/>
      <c r="BW167" s="185"/>
      <c r="BX167" s="185"/>
      <c r="BY167" s="185"/>
      <c r="BZ167" s="185"/>
      <c r="CA167" s="185"/>
      <c r="CB167" s="185"/>
      <c r="CC167" s="185"/>
      <c r="CD167" s="185"/>
      <c r="CE167" s="185"/>
      <c r="CF167" s="185"/>
      <c r="CG167" s="185"/>
      <c r="CH167" s="185"/>
      <c r="CI167" s="185"/>
      <c r="CJ167" s="185"/>
      <c r="CK167" s="185"/>
      <c r="CL167" s="185"/>
      <c r="CM167" s="185"/>
      <c r="CN167" s="185"/>
      <c r="CO167" s="185"/>
      <c r="CP167" s="185"/>
      <c r="CQ167" s="185"/>
      <c r="CR167" s="185"/>
      <c r="CS167" s="185"/>
      <c r="CT167" s="185"/>
      <c r="CU167" s="185"/>
      <c r="CV167" s="185"/>
      <c r="CW167" s="185"/>
      <c r="CX167" s="185"/>
      <c r="CY167" s="185"/>
      <c r="CZ167" s="185"/>
      <c r="DA167" s="185"/>
      <c r="DB167" s="185"/>
      <c r="DC167" s="185"/>
      <c r="DD167" s="185"/>
      <c r="DE167" s="185"/>
      <c r="DF167" s="185"/>
      <c r="DG167" s="185"/>
      <c r="DH167" s="185"/>
      <c r="DI167" s="185"/>
      <c r="DJ167" s="185"/>
      <c r="DK167" s="185"/>
      <c r="DL167" s="185"/>
      <c r="DM167" s="185"/>
      <c r="DN167" s="185"/>
      <c r="DO167" s="185"/>
      <c r="DP167" s="185"/>
      <c r="DQ167" s="185"/>
      <c r="DR167" s="185"/>
      <c r="DS167" s="185"/>
      <c r="DT167" s="185"/>
      <c r="DU167" s="185"/>
      <c r="DV167" s="185"/>
      <c r="DW167" s="185"/>
      <c r="DX167" s="185"/>
      <c r="DY167" s="185"/>
      <c r="DZ167" s="185"/>
      <c r="EA167" s="185"/>
      <c r="EB167" s="185"/>
      <c r="EC167" s="185"/>
      <c r="ED167" s="185"/>
      <c r="EE167" s="185"/>
      <c r="EF167" s="185"/>
      <c r="EG167" s="185"/>
      <c r="EH167" s="185"/>
      <c r="EI167" s="185"/>
      <c r="EJ167" s="185"/>
      <c r="EK167" s="185"/>
      <c r="EL167" s="185"/>
      <c r="EM167" s="185"/>
      <c r="EN167" s="185"/>
      <c r="EO167" s="185"/>
      <c r="EP167" s="185"/>
      <c r="EQ167" s="185"/>
      <c r="ER167" s="185"/>
      <c r="ES167" s="185"/>
      <c r="ET167" s="185"/>
      <c r="EU167" s="185"/>
      <c r="EV167" s="185"/>
      <c r="EW167" s="185"/>
      <c r="EX167" s="185"/>
      <c r="EY167" s="185"/>
      <c r="EZ167" s="185"/>
      <c r="FA167" s="185"/>
      <c r="FB167" s="185"/>
      <c r="FC167" s="185"/>
      <c r="FD167" s="185"/>
      <c r="FE167" s="185"/>
      <c r="FF167" s="185"/>
      <c r="FG167" s="185"/>
      <c r="FH167" s="185"/>
      <c r="FI167" s="185"/>
      <c r="FJ167" s="185"/>
      <c r="FK167" s="185"/>
    </row>
    <row r="168" spans="1:167" s="186" customFormat="1">
      <c r="A168" s="198"/>
      <c r="B168" s="178"/>
      <c r="C168" s="141"/>
      <c r="D168" s="140"/>
      <c r="E168" s="141"/>
      <c r="F168" s="198"/>
      <c r="G168" s="141"/>
      <c r="H168" s="141"/>
      <c r="I168" s="141"/>
      <c r="J168" s="141"/>
      <c r="K168" s="141"/>
      <c r="L168" s="333"/>
      <c r="M168" s="339"/>
      <c r="N168" s="191"/>
      <c r="O168" s="337"/>
      <c r="P168" s="339"/>
      <c r="Q168" s="179"/>
      <c r="R168" s="180"/>
      <c r="S168" s="181"/>
      <c r="T168" s="182"/>
      <c r="U168" s="141"/>
      <c r="V168" s="182"/>
      <c r="W168" s="183"/>
      <c r="X168" s="185"/>
      <c r="Y168" s="176" t="str">
        <f>IF(Table17[[#This Row],[Required Resolution Date]]="","FALSE",IF($AA$1&gt;Table17[[#This Row],[Required Resolution Date]],"TRUE","FALSE"))</f>
        <v>FALSE</v>
      </c>
      <c r="Z168" s="175">
        <f t="shared" si="15"/>
        <v>0</v>
      </c>
      <c r="AA168" s="185"/>
      <c r="AB168" s="327" t="b">
        <f>OR(Table17[[#This Row],[Priority]]="04. High",Table17[[#This Row],[Priority]]="05. Critical")</f>
        <v>0</v>
      </c>
      <c r="AC168" s="284">
        <f ca="1">$AA$1-Table17[[#This Row],[Date captured]]</f>
        <v>40990</v>
      </c>
      <c r="AD168" s="327" t="b">
        <f t="shared" ca="1" si="16"/>
        <v>0</v>
      </c>
      <c r="AE168" s="327" t="b">
        <f t="shared" ca="1" si="17"/>
        <v>0</v>
      </c>
      <c r="AF168" s="327" t="b">
        <f t="shared" ca="1" si="18"/>
        <v>1</v>
      </c>
      <c r="AG168" s="284">
        <f ca="1">Table17[[#This Row],[Required Resolution Date]]-$AA$1</f>
        <v>-40990</v>
      </c>
      <c r="AH168" s="327" t="b">
        <f t="shared" ca="1" si="19"/>
        <v>0</v>
      </c>
      <c r="AI168" s="327" t="b">
        <f>OR(Table17[[#This Row],[Priority]]="04. High",Table17[[#This Row],[Priority]]="05. Critical",Table17[[#This Row],[Priority]]="03. Moderate")</f>
        <v>0</v>
      </c>
      <c r="AJ168" s="185"/>
      <c r="AK168" s="185"/>
      <c r="AL168" s="185"/>
      <c r="AM168" s="185"/>
      <c r="AN168" s="185"/>
      <c r="AO168" s="185"/>
      <c r="AP168" s="185"/>
      <c r="AQ168" s="185"/>
      <c r="AR168" s="185"/>
      <c r="AS168" s="185"/>
      <c r="AT168" s="185"/>
      <c r="AU168" s="185"/>
      <c r="AV168" s="185"/>
      <c r="AW168" s="185"/>
      <c r="AX168" s="185"/>
      <c r="AY168" s="185"/>
      <c r="AZ168" s="185"/>
      <c r="BA168" s="185"/>
      <c r="BB168" s="185"/>
      <c r="BC168" s="185"/>
      <c r="BD168" s="185"/>
      <c r="BE168" s="185"/>
      <c r="BF168" s="185"/>
      <c r="BG168" s="185"/>
      <c r="BH168" s="185"/>
      <c r="BI168" s="185"/>
      <c r="BJ168" s="185"/>
      <c r="BK168" s="185"/>
      <c r="BL168" s="185"/>
      <c r="BM168" s="185"/>
      <c r="BN168" s="185"/>
      <c r="BO168" s="185"/>
      <c r="BP168" s="185"/>
      <c r="BQ168" s="185"/>
      <c r="BR168" s="185"/>
      <c r="BS168" s="185"/>
      <c r="BT168" s="185"/>
      <c r="BU168" s="185"/>
      <c r="BV168" s="185"/>
      <c r="BW168" s="185"/>
      <c r="BX168" s="185"/>
      <c r="BY168" s="185"/>
      <c r="BZ168" s="185"/>
      <c r="CA168" s="185"/>
      <c r="CB168" s="185"/>
      <c r="CC168" s="185"/>
      <c r="CD168" s="185"/>
      <c r="CE168" s="185"/>
      <c r="CF168" s="185"/>
      <c r="CG168" s="185"/>
      <c r="CH168" s="185"/>
      <c r="CI168" s="185"/>
      <c r="CJ168" s="185"/>
      <c r="CK168" s="185"/>
      <c r="CL168" s="185"/>
      <c r="CM168" s="185"/>
      <c r="CN168" s="185"/>
      <c r="CO168" s="185"/>
      <c r="CP168" s="185"/>
      <c r="CQ168" s="185"/>
      <c r="CR168" s="185"/>
      <c r="CS168" s="185"/>
      <c r="CT168" s="185"/>
      <c r="CU168" s="185"/>
      <c r="CV168" s="185"/>
      <c r="CW168" s="185"/>
      <c r="CX168" s="185"/>
      <c r="CY168" s="185"/>
      <c r="CZ168" s="185"/>
      <c r="DA168" s="185"/>
      <c r="DB168" s="185"/>
      <c r="DC168" s="185"/>
      <c r="DD168" s="185"/>
      <c r="DE168" s="185"/>
      <c r="DF168" s="185"/>
      <c r="DG168" s="185"/>
      <c r="DH168" s="185"/>
      <c r="DI168" s="185"/>
      <c r="DJ168" s="185"/>
      <c r="DK168" s="185"/>
      <c r="DL168" s="185"/>
      <c r="DM168" s="185"/>
      <c r="DN168" s="185"/>
      <c r="DO168" s="185"/>
      <c r="DP168" s="185"/>
      <c r="DQ168" s="185"/>
      <c r="DR168" s="185"/>
      <c r="DS168" s="185"/>
      <c r="DT168" s="185"/>
      <c r="DU168" s="185"/>
      <c r="DV168" s="185"/>
      <c r="DW168" s="185"/>
      <c r="DX168" s="185"/>
      <c r="DY168" s="185"/>
      <c r="DZ168" s="185"/>
      <c r="EA168" s="185"/>
      <c r="EB168" s="185"/>
      <c r="EC168" s="185"/>
      <c r="ED168" s="185"/>
      <c r="EE168" s="185"/>
      <c r="EF168" s="185"/>
      <c r="EG168" s="185"/>
      <c r="EH168" s="185"/>
      <c r="EI168" s="185"/>
      <c r="EJ168" s="185"/>
      <c r="EK168" s="185"/>
      <c r="EL168" s="185"/>
      <c r="EM168" s="185"/>
      <c r="EN168" s="185"/>
      <c r="EO168" s="185"/>
      <c r="EP168" s="185"/>
      <c r="EQ168" s="185"/>
      <c r="ER168" s="185"/>
      <c r="ES168" s="185"/>
      <c r="ET168" s="185"/>
      <c r="EU168" s="185"/>
      <c r="EV168" s="185"/>
      <c r="EW168" s="185"/>
      <c r="EX168" s="185"/>
      <c r="EY168" s="185"/>
      <c r="EZ168" s="185"/>
      <c r="FA168" s="185"/>
      <c r="FB168" s="185"/>
      <c r="FC168" s="185"/>
      <c r="FD168" s="185"/>
      <c r="FE168" s="185"/>
      <c r="FF168" s="185"/>
      <c r="FG168" s="185"/>
      <c r="FH168" s="185"/>
      <c r="FI168" s="185"/>
      <c r="FJ168" s="185"/>
      <c r="FK168" s="185"/>
    </row>
    <row r="169" spans="1:167" s="186" customFormat="1">
      <c r="A169" s="198"/>
      <c r="B169" s="178"/>
      <c r="C169" s="141"/>
      <c r="D169" s="140"/>
      <c r="E169" s="141"/>
      <c r="F169" s="198"/>
      <c r="G169" s="141"/>
      <c r="H169" s="141"/>
      <c r="I169" s="141"/>
      <c r="J169" s="141"/>
      <c r="K169" s="141"/>
      <c r="L169" s="333"/>
      <c r="M169" s="339"/>
      <c r="N169" s="191"/>
      <c r="O169" s="337"/>
      <c r="P169" s="339"/>
      <c r="Q169" s="179"/>
      <c r="R169" s="180"/>
      <c r="S169" s="181"/>
      <c r="T169" s="182"/>
      <c r="U169" s="141"/>
      <c r="V169" s="182"/>
      <c r="W169" s="183"/>
      <c r="X169" s="185"/>
      <c r="Y169" s="176" t="str">
        <f>IF(Table17[[#This Row],[Required Resolution Date]]="","FALSE",IF($AA$1&gt;Table17[[#This Row],[Required Resolution Date]],"TRUE","FALSE"))</f>
        <v>FALSE</v>
      </c>
      <c r="Z169" s="175">
        <f t="shared" si="15"/>
        <v>0</v>
      </c>
      <c r="AA169" s="185"/>
      <c r="AB169" s="327" t="b">
        <f>OR(Table17[[#This Row],[Priority]]="04. High",Table17[[#This Row],[Priority]]="05. Critical")</f>
        <v>0</v>
      </c>
      <c r="AC169" s="284">
        <f ca="1">$AA$1-Table17[[#This Row],[Date captured]]</f>
        <v>40990</v>
      </c>
      <c r="AD169" s="327" t="b">
        <f t="shared" ca="1" si="16"/>
        <v>0</v>
      </c>
      <c r="AE169" s="327" t="b">
        <f t="shared" ca="1" si="17"/>
        <v>0</v>
      </c>
      <c r="AF169" s="327" t="b">
        <f t="shared" ca="1" si="18"/>
        <v>1</v>
      </c>
      <c r="AG169" s="284">
        <f ca="1">Table17[[#This Row],[Required Resolution Date]]-$AA$1</f>
        <v>-40990</v>
      </c>
      <c r="AH169" s="327" t="b">
        <f t="shared" ca="1" si="19"/>
        <v>0</v>
      </c>
      <c r="AI169" s="327" t="b">
        <f>OR(Table17[[#This Row],[Priority]]="04. High",Table17[[#This Row],[Priority]]="05. Critical",Table17[[#This Row],[Priority]]="03. Moderate")</f>
        <v>0</v>
      </c>
      <c r="AJ169" s="185"/>
      <c r="AK169" s="185"/>
      <c r="AL169" s="185"/>
      <c r="AM169" s="185"/>
      <c r="AN169" s="185"/>
      <c r="AO169" s="185"/>
      <c r="AP169" s="185"/>
      <c r="AQ169" s="185"/>
      <c r="AR169" s="185"/>
      <c r="AS169" s="185"/>
      <c r="AT169" s="185"/>
      <c r="AU169" s="185"/>
      <c r="AV169" s="185"/>
      <c r="AW169" s="185"/>
      <c r="AX169" s="185"/>
      <c r="AY169" s="185"/>
      <c r="AZ169" s="185"/>
      <c r="BA169" s="185"/>
      <c r="BB169" s="185"/>
      <c r="BC169" s="185"/>
      <c r="BD169" s="185"/>
      <c r="BE169" s="185"/>
      <c r="BF169" s="185"/>
      <c r="BG169" s="185"/>
      <c r="BH169" s="185"/>
      <c r="BI169" s="185"/>
      <c r="BJ169" s="185"/>
      <c r="BK169" s="185"/>
      <c r="BL169" s="185"/>
      <c r="BM169" s="185"/>
      <c r="BN169" s="185"/>
      <c r="BO169" s="185"/>
      <c r="BP169" s="185"/>
      <c r="BQ169" s="185"/>
      <c r="BR169" s="185"/>
      <c r="BS169" s="185"/>
      <c r="BT169" s="185"/>
      <c r="BU169" s="185"/>
      <c r="BV169" s="185"/>
      <c r="BW169" s="185"/>
      <c r="BX169" s="185"/>
      <c r="BY169" s="185"/>
      <c r="BZ169" s="185"/>
      <c r="CA169" s="185"/>
      <c r="CB169" s="185"/>
      <c r="CC169" s="185"/>
      <c r="CD169" s="185"/>
      <c r="CE169" s="185"/>
      <c r="CF169" s="185"/>
      <c r="CG169" s="185"/>
      <c r="CH169" s="185"/>
      <c r="CI169" s="185"/>
      <c r="CJ169" s="185"/>
      <c r="CK169" s="185"/>
      <c r="CL169" s="185"/>
      <c r="CM169" s="185"/>
      <c r="CN169" s="185"/>
      <c r="CO169" s="185"/>
      <c r="CP169" s="185"/>
      <c r="CQ169" s="185"/>
      <c r="CR169" s="185"/>
      <c r="CS169" s="185"/>
      <c r="CT169" s="185"/>
      <c r="CU169" s="185"/>
      <c r="CV169" s="185"/>
      <c r="CW169" s="185"/>
      <c r="CX169" s="185"/>
      <c r="CY169" s="185"/>
      <c r="CZ169" s="185"/>
      <c r="DA169" s="185"/>
      <c r="DB169" s="185"/>
      <c r="DC169" s="185"/>
      <c r="DD169" s="185"/>
      <c r="DE169" s="185"/>
      <c r="DF169" s="185"/>
      <c r="DG169" s="185"/>
      <c r="DH169" s="185"/>
      <c r="DI169" s="185"/>
      <c r="DJ169" s="185"/>
      <c r="DK169" s="185"/>
      <c r="DL169" s="185"/>
      <c r="DM169" s="185"/>
      <c r="DN169" s="185"/>
      <c r="DO169" s="185"/>
      <c r="DP169" s="185"/>
      <c r="DQ169" s="185"/>
      <c r="DR169" s="185"/>
      <c r="DS169" s="185"/>
      <c r="DT169" s="185"/>
      <c r="DU169" s="185"/>
      <c r="DV169" s="185"/>
      <c r="DW169" s="185"/>
      <c r="DX169" s="185"/>
      <c r="DY169" s="185"/>
      <c r="DZ169" s="185"/>
      <c r="EA169" s="185"/>
      <c r="EB169" s="185"/>
      <c r="EC169" s="185"/>
      <c r="ED169" s="185"/>
      <c r="EE169" s="185"/>
      <c r="EF169" s="185"/>
      <c r="EG169" s="185"/>
      <c r="EH169" s="185"/>
      <c r="EI169" s="185"/>
      <c r="EJ169" s="185"/>
      <c r="EK169" s="185"/>
      <c r="EL169" s="185"/>
      <c r="EM169" s="185"/>
      <c r="EN169" s="185"/>
      <c r="EO169" s="185"/>
      <c r="EP169" s="185"/>
      <c r="EQ169" s="185"/>
      <c r="ER169" s="185"/>
      <c r="ES169" s="185"/>
      <c r="ET169" s="185"/>
      <c r="EU169" s="185"/>
      <c r="EV169" s="185"/>
      <c r="EW169" s="185"/>
      <c r="EX169" s="185"/>
      <c r="EY169" s="185"/>
      <c r="EZ169" s="185"/>
      <c r="FA169" s="185"/>
      <c r="FB169" s="185"/>
      <c r="FC169" s="185"/>
      <c r="FD169" s="185"/>
      <c r="FE169" s="185"/>
      <c r="FF169" s="185"/>
      <c r="FG169" s="185"/>
      <c r="FH169" s="185"/>
      <c r="FI169" s="185"/>
      <c r="FJ169" s="185"/>
      <c r="FK169" s="185"/>
    </row>
    <row r="170" spans="1:167" s="186" customFormat="1">
      <c r="A170" s="198"/>
      <c r="B170" s="178"/>
      <c r="C170" s="141"/>
      <c r="D170" s="140"/>
      <c r="E170" s="141"/>
      <c r="F170" s="198"/>
      <c r="G170" s="141"/>
      <c r="H170" s="141"/>
      <c r="I170" s="141"/>
      <c r="J170" s="141"/>
      <c r="K170" s="141"/>
      <c r="L170" s="333"/>
      <c r="M170" s="339"/>
      <c r="N170" s="191"/>
      <c r="O170" s="337"/>
      <c r="P170" s="339"/>
      <c r="Q170" s="179"/>
      <c r="R170" s="180"/>
      <c r="S170" s="181"/>
      <c r="T170" s="182"/>
      <c r="U170" s="141"/>
      <c r="V170" s="182"/>
      <c r="W170" s="183"/>
      <c r="X170" s="185"/>
      <c r="Y170" s="176" t="str">
        <f>IF(Table17[[#This Row],[Required Resolution Date]]="","FALSE",IF($AA$1&gt;Table17[[#This Row],[Required Resolution Date]],"TRUE","FALSE"))</f>
        <v>FALSE</v>
      </c>
      <c r="Z170" s="175">
        <f t="shared" si="15"/>
        <v>0</v>
      </c>
      <c r="AA170" s="185"/>
      <c r="AB170" s="327" t="b">
        <f>OR(Table17[[#This Row],[Priority]]="04. High",Table17[[#This Row],[Priority]]="05. Critical")</f>
        <v>0</v>
      </c>
      <c r="AC170" s="284">
        <f ca="1">$AA$1-Table17[[#This Row],[Date captured]]</f>
        <v>40990</v>
      </c>
      <c r="AD170" s="327" t="b">
        <f t="shared" ca="1" si="16"/>
        <v>0</v>
      </c>
      <c r="AE170" s="327" t="b">
        <f t="shared" ca="1" si="17"/>
        <v>0</v>
      </c>
      <c r="AF170" s="327" t="b">
        <f t="shared" ca="1" si="18"/>
        <v>1</v>
      </c>
      <c r="AG170" s="284">
        <f ca="1">Table17[[#This Row],[Required Resolution Date]]-$AA$1</f>
        <v>-40990</v>
      </c>
      <c r="AH170" s="327" t="b">
        <f t="shared" ca="1" si="19"/>
        <v>0</v>
      </c>
      <c r="AI170" s="327" t="b">
        <f>OR(Table17[[#This Row],[Priority]]="04. High",Table17[[#This Row],[Priority]]="05. Critical",Table17[[#This Row],[Priority]]="03. Moderate")</f>
        <v>0</v>
      </c>
      <c r="AJ170" s="185"/>
      <c r="AK170" s="185"/>
      <c r="AL170" s="185"/>
      <c r="AM170" s="185"/>
      <c r="AN170" s="185"/>
      <c r="AO170" s="185"/>
      <c r="AP170" s="185"/>
      <c r="AQ170" s="185"/>
      <c r="AR170" s="185"/>
      <c r="AS170" s="185"/>
      <c r="AT170" s="185"/>
      <c r="AU170" s="185"/>
      <c r="AV170" s="185"/>
      <c r="AW170" s="185"/>
      <c r="AX170" s="185"/>
      <c r="AY170" s="185"/>
      <c r="AZ170" s="185"/>
      <c r="BA170" s="185"/>
      <c r="BB170" s="185"/>
      <c r="BC170" s="185"/>
      <c r="BD170" s="185"/>
      <c r="BE170" s="185"/>
      <c r="BF170" s="185"/>
      <c r="BG170" s="185"/>
      <c r="BH170" s="185"/>
      <c r="BI170" s="185"/>
      <c r="BJ170" s="185"/>
      <c r="BK170" s="185"/>
      <c r="BL170" s="185"/>
      <c r="BM170" s="185"/>
      <c r="BN170" s="185"/>
      <c r="BO170" s="185"/>
      <c r="BP170" s="185"/>
      <c r="BQ170" s="185"/>
      <c r="BR170" s="185"/>
      <c r="BS170" s="185"/>
      <c r="BT170" s="185"/>
      <c r="BU170" s="185"/>
      <c r="BV170" s="185"/>
      <c r="BW170" s="185"/>
      <c r="BX170" s="185"/>
      <c r="BY170" s="185"/>
      <c r="BZ170" s="185"/>
      <c r="CA170" s="185"/>
      <c r="CB170" s="185"/>
      <c r="CC170" s="185"/>
      <c r="CD170" s="185"/>
      <c r="CE170" s="185"/>
      <c r="CF170" s="185"/>
      <c r="CG170" s="185"/>
      <c r="CH170" s="185"/>
      <c r="CI170" s="185"/>
      <c r="CJ170" s="185"/>
      <c r="CK170" s="185"/>
      <c r="CL170" s="185"/>
      <c r="CM170" s="185"/>
      <c r="CN170" s="185"/>
      <c r="CO170" s="185"/>
      <c r="CP170" s="185"/>
      <c r="CQ170" s="185"/>
      <c r="CR170" s="185"/>
      <c r="CS170" s="185"/>
      <c r="CT170" s="185"/>
      <c r="CU170" s="185"/>
      <c r="CV170" s="185"/>
      <c r="CW170" s="185"/>
      <c r="CX170" s="185"/>
      <c r="CY170" s="185"/>
      <c r="CZ170" s="185"/>
      <c r="DA170" s="185"/>
      <c r="DB170" s="185"/>
      <c r="DC170" s="185"/>
      <c r="DD170" s="185"/>
      <c r="DE170" s="185"/>
      <c r="DF170" s="185"/>
      <c r="DG170" s="185"/>
      <c r="DH170" s="185"/>
      <c r="DI170" s="185"/>
      <c r="DJ170" s="185"/>
      <c r="DK170" s="185"/>
      <c r="DL170" s="185"/>
      <c r="DM170" s="185"/>
      <c r="DN170" s="185"/>
      <c r="DO170" s="185"/>
      <c r="DP170" s="185"/>
      <c r="DQ170" s="185"/>
      <c r="DR170" s="185"/>
      <c r="DS170" s="185"/>
      <c r="DT170" s="185"/>
      <c r="DU170" s="185"/>
      <c r="DV170" s="185"/>
      <c r="DW170" s="185"/>
      <c r="DX170" s="185"/>
      <c r="DY170" s="185"/>
      <c r="DZ170" s="185"/>
      <c r="EA170" s="185"/>
      <c r="EB170" s="185"/>
      <c r="EC170" s="185"/>
      <c r="ED170" s="185"/>
      <c r="EE170" s="185"/>
      <c r="EF170" s="185"/>
      <c r="EG170" s="185"/>
      <c r="EH170" s="185"/>
      <c r="EI170" s="185"/>
      <c r="EJ170" s="185"/>
      <c r="EK170" s="185"/>
      <c r="EL170" s="185"/>
      <c r="EM170" s="185"/>
      <c r="EN170" s="185"/>
      <c r="EO170" s="185"/>
      <c r="EP170" s="185"/>
      <c r="EQ170" s="185"/>
      <c r="ER170" s="185"/>
      <c r="ES170" s="185"/>
      <c r="ET170" s="185"/>
      <c r="EU170" s="185"/>
      <c r="EV170" s="185"/>
      <c r="EW170" s="185"/>
      <c r="EX170" s="185"/>
      <c r="EY170" s="185"/>
      <c r="EZ170" s="185"/>
      <c r="FA170" s="185"/>
      <c r="FB170" s="185"/>
      <c r="FC170" s="185"/>
      <c r="FD170" s="185"/>
      <c r="FE170" s="185"/>
      <c r="FF170" s="185"/>
      <c r="FG170" s="185"/>
      <c r="FH170" s="185"/>
      <c r="FI170" s="185"/>
      <c r="FJ170" s="185"/>
      <c r="FK170" s="185"/>
    </row>
    <row r="171" spans="1:167" s="186" customFormat="1">
      <c r="A171" s="198"/>
      <c r="B171" s="178"/>
      <c r="C171" s="141"/>
      <c r="D171" s="140"/>
      <c r="E171" s="141"/>
      <c r="F171" s="198"/>
      <c r="G171" s="141"/>
      <c r="H171" s="141"/>
      <c r="I171" s="141"/>
      <c r="J171" s="141"/>
      <c r="K171" s="141"/>
      <c r="L171" s="333"/>
      <c r="M171" s="339"/>
      <c r="N171" s="191"/>
      <c r="O171" s="337"/>
      <c r="P171" s="339"/>
      <c r="Q171" s="179"/>
      <c r="R171" s="180"/>
      <c r="S171" s="181"/>
      <c r="T171" s="182"/>
      <c r="U171" s="141"/>
      <c r="V171" s="182"/>
      <c r="W171" s="183"/>
      <c r="X171" s="185"/>
      <c r="Y171" s="176" t="str">
        <f>IF(Table17[[#This Row],[Required Resolution Date]]="","FALSE",IF($AA$1&gt;Table17[[#This Row],[Required Resolution Date]],"TRUE","FALSE"))</f>
        <v>FALSE</v>
      </c>
      <c r="Z171" s="175">
        <f t="shared" si="15"/>
        <v>0</v>
      </c>
      <c r="AA171" s="185"/>
      <c r="AB171" s="327" t="b">
        <f>OR(Table17[[#This Row],[Priority]]="04. High",Table17[[#This Row],[Priority]]="05. Critical")</f>
        <v>0</v>
      </c>
      <c r="AC171" s="284">
        <f ca="1">$AA$1-Table17[[#This Row],[Date captured]]</f>
        <v>40990</v>
      </c>
      <c r="AD171" s="327" t="b">
        <f t="shared" ca="1" si="16"/>
        <v>0</v>
      </c>
      <c r="AE171" s="327" t="b">
        <f t="shared" ca="1" si="17"/>
        <v>0</v>
      </c>
      <c r="AF171" s="327" t="b">
        <f t="shared" ca="1" si="18"/>
        <v>1</v>
      </c>
      <c r="AG171" s="284">
        <f ca="1">Table17[[#This Row],[Required Resolution Date]]-$AA$1</f>
        <v>-40990</v>
      </c>
      <c r="AH171" s="327" t="b">
        <f t="shared" ca="1" si="19"/>
        <v>0</v>
      </c>
      <c r="AI171" s="327" t="b">
        <f>OR(Table17[[#This Row],[Priority]]="04. High",Table17[[#This Row],[Priority]]="05. Critical",Table17[[#This Row],[Priority]]="03. Moderate")</f>
        <v>0</v>
      </c>
      <c r="AJ171" s="185"/>
      <c r="AK171" s="185"/>
      <c r="AL171" s="185"/>
      <c r="AM171" s="185"/>
      <c r="AN171" s="185"/>
      <c r="AO171" s="185"/>
      <c r="AP171" s="185"/>
      <c r="AQ171" s="185"/>
      <c r="AR171" s="185"/>
      <c r="AS171" s="185"/>
      <c r="AT171" s="185"/>
      <c r="AU171" s="185"/>
      <c r="AV171" s="185"/>
      <c r="AW171" s="185"/>
      <c r="AX171" s="185"/>
      <c r="AY171" s="185"/>
      <c r="AZ171" s="185"/>
      <c r="BA171" s="185"/>
      <c r="BB171" s="185"/>
      <c r="BC171" s="185"/>
      <c r="BD171" s="185"/>
      <c r="BE171" s="185"/>
      <c r="BF171" s="185"/>
      <c r="BG171" s="185"/>
      <c r="BH171" s="185"/>
      <c r="BI171" s="185"/>
      <c r="BJ171" s="185"/>
      <c r="BK171" s="185"/>
      <c r="BL171" s="185"/>
      <c r="BM171" s="185"/>
      <c r="BN171" s="185"/>
      <c r="BO171" s="185"/>
      <c r="BP171" s="185"/>
      <c r="BQ171" s="185"/>
      <c r="BR171" s="185"/>
      <c r="BS171" s="185"/>
      <c r="BT171" s="185"/>
      <c r="BU171" s="185"/>
      <c r="BV171" s="185"/>
      <c r="BW171" s="185"/>
      <c r="BX171" s="185"/>
      <c r="BY171" s="185"/>
      <c r="BZ171" s="185"/>
      <c r="CA171" s="185"/>
      <c r="CB171" s="185"/>
      <c r="CC171" s="185"/>
      <c r="CD171" s="185"/>
      <c r="CE171" s="185"/>
      <c r="CF171" s="185"/>
      <c r="CG171" s="185"/>
      <c r="CH171" s="185"/>
      <c r="CI171" s="185"/>
      <c r="CJ171" s="185"/>
      <c r="CK171" s="185"/>
      <c r="CL171" s="185"/>
      <c r="CM171" s="185"/>
      <c r="CN171" s="185"/>
      <c r="CO171" s="185"/>
      <c r="CP171" s="185"/>
      <c r="CQ171" s="185"/>
      <c r="CR171" s="185"/>
      <c r="CS171" s="185"/>
      <c r="CT171" s="185"/>
      <c r="CU171" s="185"/>
      <c r="CV171" s="185"/>
      <c r="CW171" s="185"/>
      <c r="CX171" s="185"/>
      <c r="CY171" s="185"/>
      <c r="CZ171" s="185"/>
      <c r="DA171" s="185"/>
      <c r="DB171" s="185"/>
      <c r="DC171" s="185"/>
      <c r="DD171" s="185"/>
      <c r="DE171" s="185"/>
      <c r="DF171" s="185"/>
      <c r="DG171" s="185"/>
      <c r="DH171" s="185"/>
      <c r="DI171" s="185"/>
      <c r="DJ171" s="185"/>
      <c r="DK171" s="185"/>
      <c r="DL171" s="185"/>
      <c r="DM171" s="185"/>
      <c r="DN171" s="185"/>
      <c r="DO171" s="185"/>
      <c r="DP171" s="185"/>
      <c r="DQ171" s="185"/>
      <c r="DR171" s="185"/>
      <c r="DS171" s="185"/>
      <c r="DT171" s="185"/>
      <c r="DU171" s="185"/>
      <c r="DV171" s="185"/>
      <c r="DW171" s="185"/>
      <c r="DX171" s="185"/>
      <c r="DY171" s="185"/>
      <c r="DZ171" s="185"/>
      <c r="EA171" s="185"/>
      <c r="EB171" s="185"/>
      <c r="EC171" s="185"/>
      <c r="ED171" s="185"/>
      <c r="EE171" s="185"/>
      <c r="EF171" s="185"/>
      <c r="EG171" s="185"/>
      <c r="EH171" s="185"/>
      <c r="EI171" s="185"/>
      <c r="EJ171" s="185"/>
      <c r="EK171" s="185"/>
      <c r="EL171" s="185"/>
      <c r="EM171" s="185"/>
      <c r="EN171" s="185"/>
      <c r="EO171" s="185"/>
      <c r="EP171" s="185"/>
      <c r="EQ171" s="185"/>
      <c r="ER171" s="185"/>
      <c r="ES171" s="185"/>
      <c r="ET171" s="185"/>
      <c r="EU171" s="185"/>
      <c r="EV171" s="185"/>
      <c r="EW171" s="185"/>
      <c r="EX171" s="185"/>
      <c r="EY171" s="185"/>
      <c r="EZ171" s="185"/>
      <c r="FA171" s="185"/>
      <c r="FB171" s="185"/>
      <c r="FC171" s="185"/>
      <c r="FD171" s="185"/>
      <c r="FE171" s="185"/>
      <c r="FF171" s="185"/>
      <c r="FG171" s="185"/>
      <c r="FH171" s="185"/>
      <c r="FI171" s="185"/>
      <c r="FJ171" s="185"/>
      <c r="FK171" s="185"/>
    </row>
    <row r="172" spans="1:167" s="186" customFormat="1">
      <c r="A172" s="198"/>
      <c r="B172" s="178"/>
      <c r="C172" s="141"/>
      <c r="D172" s="140"/>
      <c r="E172" s="141"/>
      <c r="F172" s="198"/>
      <c r="G172" s="141"/>
      <c r="H172" s="141"/>
      <c r="I172" s="141"/>
      <c r="J172" s="141"/>
      <c r="K172" s="141"/>
      <c r="L172" s="333"/>
      <c r="M172" s="339"/>
      <c r="N172" s="191"/>
      <c r="O172" s="337"/>
      <c r="P172" s="339"/>
      <c r="Q172" s="179"/>
      <c r="R172" s="180"/>
      <c r="S172" s="181"/>
      <c r="T172" s="182"/>
      <c r="U172" s="141"/>
      <c r="V172" s="182"/>
      <c r="W172" s="183"/>
      <c r="X172" s="185"/>
      <c r="Y172" s="176" t="str">
        <f>IF(Table17[[#This Row],[Required Resolution Date]]="","FALSE",IF($AA$1&gt;Table17[[#This Row],[Required Resolution Date]],"TRUE","FALSE"))</f>
        <v>FALSE</v>
      </c>
      <c r="Z172" s="175">
        <f t="shared" si="15"/>
        <v>0</v>
      </c>
      <c r="AA172" s="185"/>
      <c r="AB172" s="327" t="b">
        <f>OR(Table17[[#This Row],[Priority]]="04. High",Table17[[#This Row],[Priority]]="05. Critical")</f>
        <v>0</v>
      </c>
      <c r="AC172" s="284">
        <f ca="1">$AA$1-Table17[[#This Row],[Date captured]]</f>
        <v>40990</v>
      </c>
      <c r="AD172" s="327" t="b">
        <f t="shared" ca="1" si="16"/>
        <v>0</v>
      </c>
      <c r="AE172" s="327" t="b">
        <f t="shared" ca="1" si="17"/>
        <v>0</v>
      </c>
      <c r="AF172" s="327" t="b">
        <f t="shared" ca="1" si="18"/>
        <v>1</v>
      </c>
      <c r="AG172" s="284">
        <f ca="1">Table17[[#This Row],[Required Resolution Date]]-$AA$1</f>
        <v>-40990</v>
      </c>
      <c r="AH172" s="327" t="b">
        <f t="shared" ca="1" si="19"/>
        <v>0</v>
      </c>
      <c r="AI172" s="327" t="b">
        <f>OR(Table17[[#This Row],[Priority]]="04. High",Table17[[#This Row],[Priority]]="05. Critical",Table17[[#This Row],[Priority]]="03. Moderate")</f>
        <v>0</v>
      </c>
      <c r="AJ172" s="185"/>
      <c r="AK172" s="185"/>
      <c r="AL172" s="185"/>
      <c r="AM172" s="185"/>
      <c r="AN172" s="185"/>
      <c r="AO172" s="185"/>
      <c r="AP172" s="185"/>
      <c r="AQ172" s="185"/>
      <c r="AR172" s="185"/>
      <c r="AS172" s="185"/>
      <c r="AT172" s="185"/>
      <c r="AU172" s="185"/>
      <c r="AV172" s="185"/>
      <c r="AW172" s="185"/>
      <c r="AX172" s="185"/>
      <c r="AY172" s="185"/>
      <c r="AZ172" s="185"/>
      <c r="BA172" s="185"/>
      <c r="BB172" s="185"/>
      <c r="BC172" s="185"/>
      <c r="BD172" s="185"/>
      <c r="BE172" s="185"/>
      <c r="BF172" s="185"/>
      <c r="BG172" s="185"/>
      <c r="BH172" s="185"/>
      <c r="BI172" s="185"/>
      <c r="BJ172" s="185"/>
      <c r="BK172" s="185"/>
      <c r="BL172" s="185"/>
      <c r="BM172" s="185"/>
      <c r="BN172" s="185"/>
      <c r="BO172" s="185"/>
      <c r="BP172" s="185"/>
      <c r="BQ172" s="185"/>
      <c r="BR172" s="185"/>
      <c r="BS172" s="185"/>
      <c r="BT172" s="185"/>
      <c r="BU172" s="185"/>
      <c r="BV172" s="185"/>
      <c r="BW172" s="185"/>
      <c r="BX172" s="185"/>
      <c r="BY172" s="185"/>
      <c r="BZ172" s="185"/>
      <c r="CA172" s="185"/>
      <c r="CB172" s="185"/>
      <c r="CC172" s="185"/>
      <c r="CD172" s="185"/>
      <c r="CE172" s="185"/>
      <c r="CF172" s="185"/>
      <c r="CG172" s="185"/>
      <c r="CH172" s="185"/>
      <c r="CI172" s="185"/>
      <c r="CJ172" s="185"/>
      <c r="CK172" s="185"/>
      <c r="CL172" s="185"/>
      <c r="CM172" s="185"/>
      <c r="CN172" s="185"/>
      <c r="CO172" s="185"/>
      <c r="CP172" s="185"/>
      <c r="CQ172" s="185"/>
      <c r="CR172" s="185"/>
      <c r="CS172" s="185"/>
      <c r="CT172" s="185"/>
      <c r="CU172" s="185"/>
      <c r="CV172" s="185"/>
      <c r="CW172" s="185"/>
      <c r="CX172" s="185"/>
      <c r="CY172" s="185"/>
      <c r="CZ172" s="185"/>
      <c r="DA172" s="185"/>
      <c r="DB172" s="185"/>
      <c r="DC172" s="185"/>
      <c r="DD172" s="185"/>
      <c r="DE172" s="185"/>
      <c r="DF172" s="185"/>
      <c r="DG172" s="185"/>
      <c r="DH172" s="185"/>
      <c r="DI172" s="185"/>
      <c r="DJ172" s="185"/>
      <c r="DK172" s="185"/>
      <c r="DL172" s="185"/>
      <c r="DM172" s="185"/>
      <c r="DN172" s="185"/>
      <c r="DO172" s="185"/>
      <c r="DP172" s="185"/>
      <c r="DQ172" s="185"/>
      <c r="DR172" s="185"/>
      <c r="DS172" s="185"/>
      <c r="DT172" s="185"/>
      <c r="DU172" s="185"/>
      <c r="DV172" s="185"/>
      <c r="DW172" s="185"/>
      <c r="DX172" s="185"/>
      <c r="DY172" s="185"/>
      <c r="DZ172" s="185"/>
      <c r="EA172" s="185"/>
      <c r="EB172" s="185"/>
      <c r="EC172" s="185"/>
      <c r="ED172" s="185"/>
      <c r="EE172" s="185"/>
      <c r="EF172" s="185"/>
      <c r="EG172" s="185"/>
      <c r="EH172" s="185"/>
      <c r="EI172" s="185"/>
      <c r="EJ172" s="185"/>
      <c r="EK172" s="185"/>
      <c r="EL172" s="185"/>
      <c r="EM172" s="185"/>
      <c r="EN172" s="185"/>
      <c r="EO172" s="185"/>
      <c r="EP172" s="185"/>
      <c r="EQ172" s="185"/>
      <c r="ER172" s="185"/>
      <c r="ES172" s="185"/>
      <c r="ET172" s="185"/>
      <c r="EU172" s="185"/>
      <c r="EV172" s="185"/>
      <c r="EW172" s="185"/>
      <c r="EX172" s="185"/>
      <c r="EY172" s="185"/>
      <c r="EZ172" s="185"/>
      <c r="FA172" s="185"/>
      <c r="FB172" s="185"/>
      <c r="FC172" s="185"/>
      <c r="FD172" s="185"/>
      <c r="FE172" s="185"/>
      <c r="FF172" s="185"/>
      <c r="FG172" s="185"/>
      <c r="FH172" s="185"/>
      <c r="FI172" s="185"/>
      <c r="FJ172" s="185"/>
      <c r="FK172" s="185"/>
    </row>
    <row r="173" spans="1:167" s="186" customFormat="1">
      <c r="A173" s="198"/>
      <c r="B173" s="178"/>
      <c r="C173" s="141"/>
      <c r="D173" s="140"/>
      <c r="E173" s="141"/>
      <c r="F173" s="198"/>
      <c r="G173" s="141"/>
      <c r="H173" s="141"/>
      <c r="I173" s="141"/>
      <c r="J173" s="141"/>
      <c r="K173" s="141"/>
      <c r="L173" s="333"/>
      <c r="M173" s="339"/>
      <c r="N173" s="191"/>
      <c r="O173" s="337"/>
      <c r="P173" s="339"/>
      <c r="Q173" s="179"/>
      <c r="R173" s="180"/>
      <c r="S173" s="181"/>
      <c r="T173" s="182"/>
      <c r="U173" s="141"/>
      <c r="V173" s="182"/>
      <c r="W173" s="183"/>
      <c r="X173" s="185"/>
      <c r="Y173" s="176" t="str">
        <f>IF(Table17[[#This Row],[Required Resolution Date]]="","FALSE",IF($AA$1&gt;Table17[[#This Row],[Required Resolution Date]],"TRUE","FALSE"))</f>
        <v>FALSE</v>
      </c>
      <c r="Z173" s="175">
        <f t="shared" si="15"/>
        <v>0</v>
      </c>
      <c r="AA173" s="185"/>
      <c r="AB173" s="327" t="b">
        <f>OR(Table17[[#This Row],[Priority]]="04. High",Table17[[#This Row],[Priority]]="05. Critical")</f>
        <v>0</v>
      </c>
      <c r="AC173" s="284">
        <f ca="1">$AA$1-Table17[[#This Row],[Date captured]]</f>
        <v>40990</v>
      </c>
      <c r="AD173" s="327" t="b">
        <f t="shared" ca="1" si="16"/>
        <v>0</v>
      </c>
      <c r="AE173" s="327" t="b">
        <f t="shared" ca="1" si="17"/>
        <v>0</v>
      </c>
      <c r="AF173" s="327" t="b">
        <f t="shared" ca="1" si="18"/>
        <v>1</v>
      </c>
      <c r="AG173" s="284">
        <f ca="1">Table17[[#This Row],[Required Resolution Date]]-$AA$1</f>
        <v>-40990</v>
      </c>
      <c r="AH173" s="327" t="b">
        <f t="shared" ca="1" si="19"/>
        <v>0</v>
      </c>
      <c r="AI173" s="327" t="b">
        <f>OR(Table17[[#This Row],[Priority]]="04. High",Table17[[#This Row],[Priority]]="05. Critical",Table17[[#This Row],[Priority]]="03. Moderate")</f>
        <v>0</v>
      </c>
      <c r="AJ173" s="185"/>
      <c r="AK173" s="185"/>
      <c r="AL173" s="185"/>
      <c r="AM173" s="185"/>
      <c r="AN173" s="185"/>
      <c r="AO173" s="185"/>
      <c r="AP173" s="185"/>
      <c r="AQ173" s="185"/>
      <c r="AR173" s="185"/>
      <c r="AS173" s="185"/>
      <c r="AT173" s="185"/>
      <c r="AU173" s="185"/>
      <c r="AV173" s="185"/>
      <c r="AW173" s="185"/>
      <c r="AX173" s="185"/>
      <c r="AY173" s="185"/>
      <c r="AZ173" s="185"/>
      <c r="BA173" s="185"/>
      <c r="BB173" s="185"/>
      <c r="BC173" s="185"/>
      <c r="BD173" s="185"/>
      <c r="BE173" s="185"/>
      <c r="BF173" s="185"/>
      <c r="BG173" s="185"/>
      <c r="BH173" s="185"/>
      <c r="BI173" s="185"/>
      <c r="BJ173" s="185"/>
      <c r="BK173" s="185"/>
      <c r="BL173" s="185"/>
      <c r="BM173" s="185"/>
      <c r="BN173" s="185"/>
      <c r="BO173" s="185"/>
      <c r="BP173" s="185"/>
      <c r="BQ173" s="185"/>
      <c r="BR173" s="185"/>
      <c r="BS173" s="185"/>
      <c r="BT173" s="185"/>
      <c r="BU173" s="185"/>
      <c r="BV173" s="185"/>
      <c r="BW173" s="185"/>
      <c r="BX173" s="185"/>
      <c r="BY173" s="185"/>
      <c r="BZ173" s="185"/>
      <c r="CA173" s="185"/>
      <c r="CB173" s="185"/>
      <c r="CC173" s="185"/>
      <c r="CD173" s="185"/>
      <c r="CE173" s="185"/>
      <c r="CF173" s="185"/>
      <c r="CG173" s="185"/>
      <c r="CH173" s="185"/>
      <c r="CI173" s="185"/>
      <c r="CJ173" s="185"/>
      <c r="CK173" s="185"/>
      <c r="CL173" s="185"/>
      <c r="CM173" s="185"/>
      <c r="CN173" s="185"/>
      <c r="CO173" s="185"/>
      <c r="CP173" s="185"/>
      <c r="CQ173" s="185"/>
      <c r="CR173" s="185"/>
      <c r="CS173" s="185"/>
      <c r="CT173" s="185"/>
      <c r="CU173" s="185"/>
      <c r="CV173" s="185"/>
      <c r="CW173" s="185"/>
      <c r="CX173" s="185"/>
      <c r="CY173" s="185"/>
      <c r="CZ173" s="185"/>
      <c r="DA173" s="185"/>
      <c r="DB173" s="185"/>
      <c r="DC173" s="185"/>
      <c r="DD173" s="185"/>
      <c r="DE173" s="185"/>
      <c r="DF173" s="185"/>
      <c r="DG173" s="185"/>
      <c r="DH173" s="185"/>
      <c r="DI173" s="185"/>
      <c r="DJ173" s="185"/>
      <c r="DK173" s="185"/>
      <c r="DL173" s="185"/>
      <c r="DM173" s="185"/>
      <c r="DN173" s="185"/>
      <c r="DO173" s="185"/>
      <c r="DP173" s="185"/>
      <c r="DQ173" s="185"/>
      <c r="DR173" s="185"/>
      <c r="DS173" s="185"/>
      <c r="DT173" s="185"/>
      <c r="DU173" s="185"/>
      <c r="DV173" s="185"/>
      <c r="DW173" s="185"/>
      <c r="DX173" s="185"/>
      <c r="DY173" s="185"/>
      <c r="DZ173" s="185"/>
      <c r="EA173" s="185"/>
      <c r="EB173" s="185"/>
      <c r="EC173" s="185"/>
      <c r="ED173" s="185"/>
      <c r="EE173" s="185"/>
      <c r="EF173" s="185"/>
      <c r="EG173" s="185"/>
      <c r="EH173" s="185"/>
      <c r="EI173" s="185"/>
      <c r="EJ173" s="185"/>
      <c r="EK173" s="185"/>
      <c r="EL173" s="185"/>
      <c r="EM173" s="185"/>
      <c r="EN173" s="185"/>
      <c r="EO173" s="185"/>
      <c r="EP173" s="185"/>
      <c r="EQ173" s="185"/>
      <c r="ER173" s="185"/>
      <c r="ES173" s="185"/>
      <c r="ET173" s="185"/>
      <c r="EU173" s="185"/>
      <c r="EV173" s="185"/>
      <c r="EW173" s="185"/>
      <c r="EX173" s="185"/>
      <c r="EY173" s="185"/>
      <c r="EZ173" s="185"/>
      <c r="FA173" s="185"/>
      <c r="FB173" s="185"/>
      <c r="FC173" s="185"/>
      <c r="FD173" s="185"/>
      <c r="FE173" s="185"/>
      <c r="FF173" s="185"/>
      <c r="FG173" s="185"/>
      <c r="FH173" s="185"/>
      <c r="FI173" s="185"/>
      <c r="FJ173" s="185"/>
      <c r="FK173" s="185"/>
    </row>
    <row r="174" spans="1:167" s="186" customFormat="1">
      <c r="A174" s="198"/>
      <c r="B174" s="178"/>
      <c r="C174" s="141"/>
      <c r="D174" s="140"/>
      <c r="E174" s="141"/>
      <c r="F174" s="198"/>
      <c r="G174" s="141"/>
      <c r="H174" s="141"/>
      <c r="I174" s="141"/>
      <c r="J174" s="141"/>
      <c r="K174" s="141"/>
      <c r="L174" s="333"/>
      <c r="M174" s="339"/>
      <c r="N174" s="191"/>
      <c r="O174" s="337"/>
      <c r="P174" s="339"/>
      <c r="Q174" s="179"/>
      <c r="R174" s="180"/>
      <c r="S174" s="181"/>
      <c r="T174" s="182"/>
      <c r="U174" s="141"/>
      <c r="V174" s="182"/>
      <c r="W174" s="183"/>
      <c r="X174" s="185"/>
      <c r="Y174" s="176" t="str">
        <f>IF(Table17[[#This Row],[Required Resolution Date]]="","FALSE",IF($AA$1&gt;Table17[[#This Row],[Required Resolution Date]],"TRUE","FALSE"))</f>
        <v>FALSE</v>
      </c>
      <c r="Z174" s="175">
        <f t="shared" si="15"/>
        <v>0</v>
      </c>
      <c r="AA174" s="185"/>
      <c r="AB174" s="327" t="b">
        <f>OR(Table17[[#This Row],[Priority]]="04. High",Table17[[#This Row],[Priority]]="05. Critical")</f>
        <v>0</v>
      </c>
      <c r="AC174" s="284">
        <f ca="1">$AA$1-Table17[[#This Row],[Date captured]]</f>
        <v>40990</v>
      </c>
      <c r="AD174" s="327" t="b">
        <f t="shared" ca="1" si="16"/>
        <v>0</v>
      </c>
      <c r="AE174" s="327" t="b">
        <f t="shared" ca="1" si="17"/>
        <v>0</v>
      </c>
      <c r="AF174" s="327" t="b">
        <f t="shared" ca="1" si="18"/>
        <v>1</v>
      </c>
      <c r="AG174" s="284">
        <f ca="1">Table17[[#This Row],[Required Resolution Date]]-$AA$1</f>
        <v>-40990</v>
      </c>
      <c r="AH174" s="327" t="b">
        <f t="shared" ca="1" si="19"/>
        <v>0</v>
      </c>
      <c r="AI174" s="327" t="b">
        <f>OR(Table17[[#This Row],[Priority]]="04. High",Table17[[#This Row],[Priority]]="05. Critical",Table17[[#This Row],[Priority]]="03. Moderate")</f>
        <v>0</v>
      </c>
      <c r="AJ174" s="185"/>
      <c r="AK174" s="185"/>
      <c r="AL174" s="185"/>
      <c r="AM174" s="185"/>
      <c r="AN174" s="185"/>
      <c r="AO174" s="185"/>
      <c r="AP174" s="185"/>
      <c r="AQ174" s="185"/>
      <c r="AR174" s="185"/>
      <c r="AS174" s="185"/>
      <c r="AT174" s="185"/>
      <c r="AU174" s="185"/>
      <c r="AV174" s="185"/>
      <c r="AW174" s="185"/>
      <c r="AX174" s="185"/>
      <c r="AY174" s="185"/>
      <c r="AZ174" s="185"/>
      <c r="BA174" s="185"/>
      <c r="BB174" s="185"/>
      <c r="BC174" s="185"/>
      <c r="BD174" s="185"/>
      <c r="BE174" s="185"/>
      <c r="BF174" s="185"/>
      <c r="BG174" s="185"/>
      <c r="BH174" s="185"/>
      <c r="BI174" s="185"/>
      <c r="BJ174" s="185"/>
      <c r="BK174" s="185"/>
      <c r="BL174" s="185"/>
      <c r="BM174" s="185"/>
      <c r="BN174" s="185"/>
      <c r="BO174" s="185"/>
      <c r="BP174" s="185"/>
      <c r="BQ174" s="185"/>
      <c r="BR174" s="185"/>
      <c r="BS174" s="185"/>
      <c r="BT174" s="185"/>
      <c r="BU174" s="185"/>
      <c r="BV174" s="185"/>
      <c r="BW174" s="185"/>
      <c r="BX174" s="185"/>
      <c r="BY174" s="185"/>
      <c r="BZ174" s="185"/>
      <c r="CA174" s="185"/>
      <c r="CB174" s="185"/>
      <c r="CC174" s="185"/>
      <c r="CD174" s="185"/>
      <c r="CE174" s="185"/>
      <c r="CF174" s="185"/>
      <c r="CG174" s="185"/>
      <c r="CH174" s="185"/>
      <c r="CI174" s="185"/>
      <c r="CJ174" s="185"/>
      <c r="CK174" s="185"/>
      <c r="CL174" s="185"/>
      <c r="CM174" s="185"/>
      <c r="CN174" s="185"/>
      <c r="CO174" s="185"/>
      <c r="CP174" s="185"/>
      <c r="CQ174" s="185"/>
      <c r="CR174" s="185"/>
      <c r="CS174" s="185"/>
      <c r="CT174" s="185"/>
      <c r="CU174" s="185"/>
      <c r="CV174" s="185"/>
      <c r="CW174" s="185"/>
      <c r="CX174" s="185"/>
      <c r="CY174" s="185"/>
      <c r="CZ174" s="185"/>
      <c r="DA174" s="185"/>
      <c r="DB174" s="185"/>
      <c r="DC174" s="185"/>
      <c r="DD174" s="185"/>
      <c r="DE174" s="185"/>
      <c r="DF174" s="185"/>
      <c r="DG174" s="185"/>
      <c r="DH174" s="185"/>
      <c r="DI174" s="185"/>
      <c r="DJ174" s="185"/>
      <c r="DK174" s="185"/>
      <c r="DL174" s="185"/>
      <c r="DM174" s="185"/>
      <c r="DN174" s="185"/>
      <c r="DO174" s="185"/>
      <c r="DP174" s="185"/>
      <c r="DQ174" s="185"/>
      <c r="DR174" s="185"/>
      <c r="DS174" s="185"/>
      <c r="DT174" s="185"/>
      <c r="DU174" s="185"/>
      <c r="DV174" s="185"/>
      <c r="DW174" s="185"/>
      <c r="DX174" s="185"/>
      <c r="DY174" s="185"/>
      <c r="DZ174" s="185"/>
      <c r="EA174" s="185"/>
      <c r="EB174" s="185"/>
      <c r="EC174" s="185"/>
      <c r="ED174" s="185"/>
      <c r="EE174" s="185"/>
      <c r="EF174" s="185"/>
      <c r="EG174" s="185"/>
      <c r="EH174" s="185"/>
      <c r="EI174" s="185"/>
      <c r="EJ174" s="185"/>
      <c r="EK174" s="185"/>
      <c r="EL174" s="185"/>
      <c r="EM174" s="185"/>
      <c r="EN174" s="185"/>
      <c r="EO174" s="185"/>
      <c r="EP174" s="185"/>
      <c r="EQ174" s="185"/>
      <c r="ER174" s="185"/>
      <c r="ES174" s="185"/>
      <c r="ET174" s="185"/>
      <c r="EU174" s="185"/>
      <c r="EV174" s="185"/>
      <c r="EW174" s="185"/>
      <c r="EX174" s="185"/>
      <c r="EY174" s="185"/>
      <c r="EZ174" s="185"/>
      <c r="FA174" s="185"/>
      <c r="FB174" s="185"/>
      <c r="FC174" s="185"/>
      <c r="FD174" s="185"/>
      <c r="FE174" s="185"/>
      <c r="FF174" s="185"/>
      <c r="FG174" s="185"/>
      <c r="FH174" s="185"/>
      <c r="FI174" s="185"/>
      <c r="FJ174" s="185"/>
      <c r="FK174" s="185"/>
    </row>
    <row r="175" spans="1:167" s="186" customFormat="1">
      <c r="A175" s="198"/>
      <c r="B175" s="178"/>
      <c r="C175" s="141"/>
      <c r="D175" s="140"/>
      <c r="E175" s="141"/>
      <c r="F175" s="198"/>
      <c r="G175" s="141"/>
      <c r="H175" s="141"/>
      <c r="I175" s="141"/>
      <c r="J175" s="141"/>
      <c r="K175" s="141"/>
      <c r="L175" s="333"/>
      <c r="M175" s="339"/>
      <c r="N175" s="191"/>
      <c r="O175" s="337"/>
      <c r="P175" s="339"/>
      <c r="Q175" s="179"/>
      <c r="R175" s="180"/>
      <c r="S175" s="181"/>
      <c r="T175" s="182"/>
      <c r="U175" s="141"/>
      <c r="V175" s="182"/>
      <c r="W175" s="183"/>
      <c r="X175" s="185"/>
      <c r="Y175" s="176" t="str">
        <f>IF(Table17[[#This Row],[Required Resolution Date]]="","FALSE",IF($AA$1&gt;Table17[[#This Row],[Required Resolution Date]],"TRUE","FALSE"))</f>
        <v>FALSE</v>
      </c>
      <c r="Z175" s="175">
        <f t="shared" si="15"/>
        <v>0</v>
      </c>
      <c r="AA175" s="185"/>
      <c r="AB175" s="327" t="b">
        <f>OR(Table17[[#This Row],[Priority]]="04. High",Table17[[#This Row],[Priority]]="05. Critical")</f>
        <v>0</v>
      </c>
      <c r="AC175" s="284">
        <f ca="1">$AA$1-Table17[[#This Row],[Date captured]]</f>
        <v>40990</v>
      </c>
      <c r="AD175" s="327" t="b">
        <f t="shared" ca="1" si="16"/>
        <v>0</v>
      </c>
      <c r="AE175" s="327" t="b">
        <f t="shared" ca="1" si="17"/>
        <v>0</v>
      </c>
      <c r="AF175" s="327" t="b">
        <f t="shared" ca="1" si="18"/>
        <v>1</v>
      </c>
      <c r="AG175" s="284">
        <f ca="1">Table17[[#This Row],[Required Resolution Date]]-$AA$1</f>
        <v>-40990</v>
      </c>
      <c r="AH175" s="327" t="b">
        <f t="shared" ca="1" si="19"/>
        <v>0</v>
      </c>
      <c r="AI175" s="327" t="b">
        <f>OR(Table17[[#This Row],[Priority]]="04. High",Table17[[#This Row],[Priority]]="05. Critical",Table17[[#This Row],[Priority]]="03. Moderate")</f>
        <v>0</v>
      </c>
      <c r="AJ175" s="185"/>
      <c r="AK175" s="185"/>
      <c r="AL175" s="185"/>
      <c r="AM175" s="185"/>
      <c r="AN175" s="185"/>
      <c r="AO175" s="185"/>
      <c r="AP175" s="185"/>
      <c r="AQ175" s="185"/>
      <c r="AR175" s="185"/>
      <c r="AS175" s="185"/>
      <c r="AT175" s="185"/>
      <c r="AU175" s="185"/>
      <c r="AV175" s="185"/>
      <c r="AW175" s="185"/>
      <c r="AX175" s="185"/>
      <c r="AY175" s="185"/>
      <c r="AZ175" s="185"/>
      <c r="BA175" s="185"/>
      <c r="BB175" s="185"/>
      <c r="BC175" s="185"/>
      <c r="BD175" s="185"/>
      <c r="BE175" s="185"/>
      <c r="BF175" s="185"/>
      <c r="BG175" s="185"/>
      <c r="BH175" s="185"/>
      <c r="BI175" s="185"/>
      <c r="BJ175" s="185"/>
      <c r="BK175" s="185"/>
      <c r="BL175" s="185"/>
      <c r="BM175" s="185"/>
      <c r="BN175" s="185"/>
      <c r="BO175" s="185"/>
      <c r="BP175" s="185"/>
      <c r="BQ175" s="185"/>
      <c r="BR175" s="185"/>
      <c r="BS175" s="185"/>
      <c r="BT175" s="185"/>
      <c r="BU175" s="185"/>
      <c r="BV175" s="185"/>
      <c r="BW175" s="185"/>
      <c r="BX175" s="185"/>
      <c r="BY175" s="185"/>
      <c r="BZ175" s="185"/>
      <c r="CA175" s="185"/>
      <c r="CB175" s="185"/>
      <c r="CC175" s="185"/>
      <c r="CD175" s="185"/>
      <c r="CE175" s="185"/>
      <c r="CF175" s="185"/>
      <c r="CG175" s="185"/>
      <c r="CH175" s="185"/>
      <c r="CI175" s="185"/>
      <c r="CJ175" s="185"/>
      <c r="CK175" s="185"/>
      <c r="CL175" s="185"/>
      <c r="CM175" s="185"/>
      <c r="CN175" s="185"/>
      <c r="CO175" s="185"/>
      <c r="CP175" s="185"/>
      <c r="CQ175" s="185"/>
      <c r="CR175" s="185"/>
      <c r="CS175" s="185"/>
      <c r="CT175" s="185"/>
      <c r="CU175" s="185"/>
      <c r="CV175" s="185"/>
      <c r="CW175" s="185"/>
      <c r="CX175" s="185"/>
      <c r="CY175" s="185"/>
      <c r="CZ175" s="185"/>
      <c r="DA175" s="185"/>
      <c r="DB175" s="185"/>
      <c r="DC175" s="185"/>
      <c r="DD175" s="185"/>
      <c r="DE175" s="185"/>
      <c r="DF175" s="185"/>
      <c r="DG175" s="185"/>
      <c r="DH175" s="185"/>
      <c r="DI175" s="185"/>
      <c r="DJ175" s="185"/>
      <c r="DK175" s="185"/>
      <c r="DL175" s="185"/>
      <c r="DM175" s="185"/>
      <c r="DN175" s="185"/>
      <c r="DO175" s="185"/>
      <c r="DP175" s="185"/>
      <c r="DQ175" s="185"/>
      <c r="DR175" s="185"/>
      <c r="DS175" s="185"/>
      <c r="DT175" s="185"/>
      <c r="DU175" s="185"/>
      <c r="DV175" s="185"/>
      <c r="DW175" s="185"/>
      <c r="DX175" s="185"/>
      <c r="DY175" s="185"/>
      <c r="DZ175" s="185"/>
      <c r="EA175" s="185"/>
      <c r="EB175" s="185"/>
      <c r="EC175" s="185"/>
      <c r="ED175" s="185"/>
      <c r="EE175" s="185"/>
      <c r="EF175" s="185"/>
      <c r="EG175" s="185"/>
      <c r="EH175" s="185"/>
      <c r="EI175" s="185"/>
      <c r="EJ175" s="185"/>
      <c r="EK175" s="185"/>
      <c r="EL175" s="185"/>
      <c r="EM175" s="185"/>
      <c r="EN175" s="185"/>
      <c r="EO175" s="185"/>
      <c r="EP175" s="185"/>
      <c r="EQ175" s="185"/>
      <c r="ER175" s="185"/>
      <c r="ES175" s="185"/>
      <c r="ET175" s="185"/>
      <c r="EU175" s="185"/>
      <c r="EV175" s="185"/>
      <c r="EW175" s="185"/>
      <c r="EX175" s="185"/>
      <c r="EY175" s="185"/>
      <c r="EZ175" s="185"/>
      <c r="FA175" s="185"/>
      <c r="FB175" s="185"/>
      <c r="FC175" s="185"/>
      <c r="FD175" s="185"/>
      <c r="FE175" s="185"/>
      <c r="FF175" s="185"/>
      <c r="FG175" s="185"/>
      <c r="FH175" s="185"/>
      <c r="FI175" s="185"/>
      <c r="FJ175" s="185"/>
      <c r="FK175" s="185"/>
    </row>
    <row r="176" spans="1:167" s="186" customFormat="1">
      <c r="A176" s="198"/>
      <c r="B176" s="178"/>
      <c r="C176" s="141"/>
      <c r="D176" s="140"/>
      <c r="E176" s="141"/>
      <c r="F176" s="198"/>
      <c r="G176" s="141"/>
      <c r="H176" s="141"/>
      <c r="I176" s="141"/>
      <c r="J176" s="141"/>
      <c r="K176" s="141"/>
      <c r="L176" s="333"/>
      <c r="M176" s="339"/>
      <c r="N176" s="191"/>
      <c r="O176" s="337"/>
      <c r="P176" s="339"/>
      <c r="Q176" s="179"/>
      <c r="R176" s="180"/>
      <c r="S176" s="181"/>
      <c r="T176" s="182"/>
      <c r="U176" s="141"/>
      <c r="V176" s="182"/>
      <c r="W176" s="183"/>
      <c r="X176" s="185"/>
      <c r="Y176" s="176" t="str">
        <f>IF(Table17[[#This Row],[Required Resolution Date]]="","FALSE",IF($AA$1&gt;Table17[[#This Row],[Required Resolution Date]],"TRUE","FALSE"))</f>
        <v>FALSE</v>
      </c>
      <c r="Z176" s="175">
        <f t="shared" si="15"/>
        <v>0</v>
      </c>
      <c r="AA176" s="185"/>
      <c r="AB176" s="327" t="b">
        <f>OR(Table17[[#This Row],[Priority]]="04. High",Table17[[#This Row],[Priority]]="05. Critical")</f>
        <v>0</v>
      </c>
      <c r="AC176" s="284">
        <f ca="1">$AA$1-Table17[[#This Row],[Date captured]]</f>
        <v>40990</v>
      </c>
      <c r="AD176" s="327" t="b">
        <f t="shared" ca="1" si="16"/>
        <v>0</v>
      </c>
      <c r="AE176" s="327" t="b">
        <f t="shared" ca="1" si="17"/>
        <v>0</v>
      </c>
      <c r="AF176" s="327" t="b">
        <f t="shared" ca="1" si="18"/>
        <v>1</v>
      </c>
      <c r="AG176" s="284">
        <f ca="1">Table17[[#This Row],[Required Resolution Date]]-$AA$1</f>
        <v>-40990</v>
      </c>
      <c r="AH176" s="327" t="b">
        <f t="shared" ca="1" si="19"/>
        <v>0</v>
      </c>
      <c r="AI176" s="327" t="b">
        <f>OR(Table17[[#This Row],[Priority]]="04. High",Table17[[#This Row],[Priority]]="05. Critical",Table17[[#This Row],[Priority]]="03. Moderate")</f>
        <v>0</v>
      </c>
      <c r="AJ176" s="185"/>
      <c r="AK176" s="185"/>
      <c r="AL176" s="185"/>
      <c r="AM176" s="185"/>
      <c r="AN176" s="185"/>
      <c r="AO176" s="185"/>
      <c r="AP176" s="185"/>
      <c r="AQ176" s="185"/>
      <c r="AR176" s="185"/>
      <c r="AS176" s="185"/>
      <c r="AT176" s="185"/>
      <c r="AU176" s="185"/>
      <c r="AV176" s="185"/>
      <c r="AW176" s="185"/>
      <c r="AX176" s="185"/>
      <c r="AY176" s="185"/>
      <c r="AZ176" s="185"/>
      <c r="BA176" s="185"/>
      <c r="BB176" s="185"/>
      <c r="BC176" s="185"/>
      <c r="BD176" s="185"/>
      <c r="BE176" s="185"/>
      <c r="BF176" s="185"/>
      <c r="BG176" s="185"/>
      <c r="BH176" s="185"/>
      <c r="BI176" s="185"/>
      <c r="BJ176" s="185"/>
      <c r="BK176" s="185"/>
      <c r="BL176" s="185"/>
      <c r="BM176" s="185"/>
      <c r="BN176" s="185"/>
      <c r="BO176" s="185"/>
      <c r="BP176" s="185"/>
      <c r="BQ176" s="185"/>
      <c r="BR176" s="185"/>
      <c r="BS176" s="185"/>
      <c r="BT176" s="185"/>
      <c r="BU176" s="185"/>
      <c r="BV176" s="185"/>
      <c r="BW176" s="185"/>
      <c r="BX176" s="185"/>
      <c r="BY176" s="185"/>
      <c r="BZ176" s="185"/>
      <c r="CA176" s="185"/>
      <c r="CB176" s="185"/>
      <c r="CC176" s="185"/>
      <c r="CD176" s="185"/>
      <c r="CE176" s="185"/>
      <c r="CF176" s="185"/>
      <c r="CG176" s="185"/>
      <c r="CH176" s="185"/>
      <c r="CI176" s="185"/>
      <c r="CJ176" s="185"/>
      <c r="CK176" s="185"/>
      <c r="CL176" s="185"/>
      <c r="CM176" s="185"/>
      <c r="CN176" s="185"/>
      <c r="CO176" s="185"/>
      <c r="CP176" s="185"/>
      <c r="CQ176" s="185"/>
      <c r="CR176" s="185"/>
      <c r="CS176" s="185"/>
      <c r="CT176" s="185"/>
      <c r="CU176" s="185"/>
      <c r="CV176" s="185"/>
      <c r="CW176" s="185"/>
      <c r="CX176" s="185"/>
      <c r="CY176" s="185"/>
      <c r="CZ176" s="185"/>
      <c r="DA176" s="185"/>
      <c r="DB176" s="185"/>
      <c r="DC176" s="185"/>
      <c r="DD176" s="185"/>
      <c r="DE176" s="185"/>
      <c r="DF176" s="185"/>
      <c r="DG176" s="185"/>
      <c r="DH176" s="185"/>
      <c r="DI176" s="185"/>
      <c r="DJ176" s="185"/>
      <c r="DK176" s="185"/>
      <c r="DL176" s="185"/>
      <c r="DM176" s="185"/>
      <c r="DN176" s="185"/>
      <c r="DO176" s="185"/>
      <c r="DP176" s="185"/>
      <c r="DQ176" s="185"/>
      <c r="DR176" s="185"/>
      <c r="DS176" s="185"/>
      <c r="DT176" s="185"/>
      <c r="DU176" s="185"/>
      <c r="DV176" s="185"/>
      <c r="DW176" s="185"/>
      <c r="DX176" s="185"/>
      <c r="DY176" s="185"/>
      <c r="DZ176" s="185"/>
      <c r="EA176" s="185"/>
      <c r="EB176" s="185"/>
      <c r="EC176" s="185"/>
      <c r="ED176" s="185"/>
      <c r="EE176" s="185"/>
      <c r="EF176" s="185"/>
      <c r="EG176" s="185"/>
      <c r="EH176" s="185"/>
      <c r="EI176" s="185"/>
      <c r="EJ176" s="185"/>
      <c r="EK176" s="185"/>
      <c r="EL176" s="185"/>
      <c r="EM176" s="185"/>
      <c r="EN176" s="185"/>
      <c r="EO176" s="185"/>
      <c r="EP176" s="185"/>
      <c r="EQ176" s="185"/>
      <c r="ER176" s="185"/>
      <c r="ES176" s="185"/>
      <c r="ET176" s="185"/>
      <c r="EU176" s="185"/>
      <c r="EV176" s="185"/>
      <c r="EW176" s="185"/>
      <c r="EX176" s="185"/>
      <c r="EY176" s="185"/>
      <c r="EZ176" s="185"/>
      <c r="FA176" s="185"/>
      <c r="FB176" s="185"/>
      <c r="FC176" s="185"/>
      <c r="FD176" s="185"/>
      <c r="FE176" s="185"/>
      <c r="FF176" s="185"/>
      <c r="FG176" s="185"/>
      <c r="FH176" s="185"/>
      <c r="FI176" s="185"/>
      <c r="FJ176" s="185"/>
      <c r="FK176" s="185"/>
    </row>
    <row r="177" spans="1:167" s="186" customFormat="1">
      <c r="A177" s="198"/>
      <c r="B177" s="178"/>
      <c r="C177" s="141"/>
      <c r="D177" s="140"/>
      <c r="E177" s="141"/>
      <c r="F177" s="198"/>
      <c r="G177" s="141"/>
      <c r="H177" s="141"/>
      <c r="I177" s="141"/>
      <c r="J177" s="141"/>
      <c r="K177" s="141"/>
      <c r="L177" s="333"/>
      <c r="M177" s="339"/>
      <c r="N177" s="191"/>
      <c r="O177" s="337"/>
      <c r="P177" s="339"/>
      <c r="Q177" s="179"/>
      <c r="R177" s="180"/>
      <c r="S177" s="181"/>
      <c r="T177" s="182"/>
      <c r="U177" s="141"/>
      <c r="V177" s="182"/>
      <c r="W177" s="183"/>
      <c r="X177" s="185"/>
      <c r="Y177" s="176" t="str">
        <f>IF(Table17[[#This Row],[Required Resolution Date]]="","FALSE",IF($AA$1&gt;Table17[[#This Row],[Required Resolution Date]],"TRUE","FALSE"))</f>
        <v>FALSE</v>
      </c>
      <c r="Z177" s="175">
        <f t="shared" si="15"/>
        <v>0</v>
      </c>
      <c r="AA177" s="185"/>
      <c r="AB177" s="327" t="b">
        <f>OR(Table17[[#This Row],[Priority]]="04. High",Table17[[#This Row],[Priority]]="05. Critical")</f>
        <v>0</v>
      </c>
      <c r="AC177" s="284">
        <f ca="1">$AA$1-Table17[[#This Row],[Date captured]]</f>
        <v>40990</v>
      </c>
      <c r="AD177" s="327" t="b">
        <f t="shared" ca="1" si="16"/>
        <v>0</v>
      </c>
      <c r="AE177" s="327" t="b">
        <f t="shared" ca="1" si="17"/>
        <v>0</v>
      </c>
      <c r="AF177" s="327" t="b">
        <f t="shared" ca="1" si="18"/>
        <v>1</v>
      </c>
      <c r="AG177" s="284">
        <f ca="1">Table17[[#This Row],[Required Resolution Date]]-$AA$1</f>
        <v>-40990</v>
      </c>
      <c r="AH177" s="327" t="b">
        <f t="shared" ca="1" si="19"/>
        <v>0</v>
      </c>
      <c r="AI177" s="327" t="b">
        <f>OR(Table17[[#This Row],[Priority]]="04. High",Table17[[#This Row],[Priority]]="05. Critical",Table17[[#This Row],[Priority]]="03. Moderate")</f>
        <v>0</v>
      </c>
      <c r="AJ177" s="185"/>
      <c r="AK177" s="185"/>
      <c r="AL177" s="185"/>
      <c r="AM177" s="185"/>
      <c r="AN177" s="185"/>
      <c r="AO177" s="185"/>
      <c r="AP177" s="185"/>
      <c r="AQ177" s="185"/>
      <c r="AR177" s="185"/>
      <c r="AS177" s="185"/>
      <c r="AT177" s="185"/>
      <c r="AU177" s="185"/>
      <c r="AV177" s="185"/>
      <c r="AW177" s="185"/>
      <c r="AX177" s="185"/>
      <c r="AY177" s="185"/>
      <c r="AZ177" s="185"/>
      <c r="BA177" s="185"/>
      <c r="BB177" s="185"/>
      <c r="BC177" s="185"/>
      <c r="BD177" s="185"/>
      <c r="BE177" s="185"/>
      <c r="BF177" s="185"/>
      <c r="BG177" s="185"/>
      <c r="BH177" s="185"/>
      <c r="BI177" s="185"/>
      <c r="BJ177" s="185"/>
      <c r="BK177" s="185"/>
      <c r="BL177" s="185"/>
      <c r="BM177" s="185"/>
      <c r="BN177" s="185"/>
      <c r="BO177" s="185"/>
      <c r="BP177" s="185"/>
      <c r="BQ177" s="185"/>
      <c r="BR177" s="185"/>
      <c r="BS177" s="185"/>
      <c r="BT177" s="185"/>
      <c r="BU177" s="185"/>
      <c r="BV177" s="185"/>
      <c r="BW177" s="185"/>
      <c r="BX177" s="185"/>
      <c r="BY177" s="185"/>
      <c r="BZ177" s="185"/>
      <c r="CA177" s="185"/>
      <c r="CB177" s="185"/>
      <c r="CC177" s="185"/>
      <c r="CD177" s="185"/>
      <c r="CE177" s="185"/>
      <c r="CF177" s="185"/>
      <c r="CG177" s="185"/>
      <c r="CH177" s="185"/>
      <c r="CI177" s="185"/>
      <c r="CJ177" s="185"/>
      <c r="CK177" s="185"/>
      <c r="CL177" s="185"/>
      <c r="CM177" s="185"/>
      <c r="CN177" s="185"/>
      <c r="CO177" s="185"/>
      <c r="CP177" s="185"/>
      <c r="CQ177" s="185"/>
      <c r="CR177" s="185"/>
      <c r="CS177" s="185"/>
      <c r="CT177" s="185"/>
      <c r="CU177" s="185"/>
      <c r="CV177" s="185"/>
      <c r="CW177" s="185"/>
      <c r="CX177" s="185"/>
      <c r="CY177" s="185"/>
      <c r="CZ177" s="185"/>
      <c r="DA177" s="185"/>
      <c r="DB177" s="185"/>
      <c r="DC177" s="185"/>
      <c r="DD177" s="185"/>
      <c r="DE177" s="185"/>
      <c r="DF177" s="185"/>
      <c r="DG177" s="185"/>
      <c r="DH177" s="185"/>
      <c r="DI177" s="185"/>
      <c r="DJ177" s="185"/>
      <c r="DK177" s="185"/>
      <c r="DL177" s="185"/>
      <c r="DM177" s="185"/>
      <c r="DN177" s="185"/>
      <c r="DO177" s="185"/>
      <c r="DP177" s="185"/>
      <c r="DQ177" s="185"/>
      <c r="DR177" s="185"/>
      <c r="DS177" s="185"/>
      <c r="DT177" s="185"/>
      <c r="DU177" s="185"/>
      <c r="DV177" s="185"/>
      <c r="DW177" s="185"/>
      <c r="DX177" s="185"/>
      <c r="DY177" s="185"/>
      <c r="DZ177" s="185"/>
      <c r="EA177" s="185"/>
      <c r="EB177" s="185"/>
      <c r="EC177" s="185"/>
      <c r="ED177" s="185"/>
      <c r="EE177" s="185"/>
      <c r="EF177" s="185"/>
      <c r="EG177" s="185"/>
      <c r="EH177" s="185"/>
      <c r="EI177" s="185"/>
      <c r="EJ177" s="185"/>
      <c r="EK177" s="185"/>
      <c r="EL177" s="185"/>
      <c r="EM177" s="185"/>
      <c r="EN177" s="185"/>
      <c r="EO177" s="185"/>
      <c r="EP177" s="185"/>
      <c r="EQ177" s="185"/>
      <c r="ER177" s="185"/>
      <c r="ES177" s="185"/>
      <c r="ET177" s="185"/>
      <c r="EU177" s="185"/>
      <c r="EV177" s="185"/>
      <c r="EW177" s="185"/>
      <c r="EX177" s="185"/>
      <c r="EY177" s="185"/>
      <c r="EZ177" s="185"/>
      <c r="FA177" s="185"/>
      <c r="FB177" s="185"/>
      <c r="FC177" s="185"/>
      <c r="FD177" s="185"/>
      <c r="FE177" s="185"/>
      <c r="FF177" s="185"/>
      <c r="FG177" s="185"/>
      <c r="FH177" s="185"/>
      <c r="FI177" s="185"/>
      <c r="FJ177" s="185"/>
      <c r="FK177" s="185"/>
    </row>
    <row r="178" spans="1:167" s="186" customFormat="1">
      <c r="A178" s="198"/>
      <c r="B178" s="178"/>
      <c r="C178" s="141"/>
      <c r="D178" s="140"/>
      <c r="E178" s="141"/>
      <c r="F178" s="198"/>
      <c r="G178" s="141"/>
      <c r="H178" s="141"/>
      <c r="I178" s="141"/>
      <c r="J178" s="141"/>
      <c r="K178" s="141"/>
      <c r="L178" s="333"/>
      <c r="M178" s="339"/>
      <c r="N178" s="191"/>
      <c r="O178" s="337"/>
      <c r="P178" s="339"/>
      <c r="Q178" s="179"/>
      <c r="R178" s="180"/>
      <c r="S178" s="181"/>
      <c r="T178" s="182"/>
      <c r="U178" s="141"/>
      <c r="V178" s="182"/>
      <c r="W178" s="183"/>
      <c r="X178" s="185"/>
      <c r="Y178" s="176" t="str">
        <f>IF(Table17[[#This Row],[Required Resolution Date]]="","FALSE",IF($AA$1&gt;Table17[[#This Row],[Required Resolution Date]],"TRUE","FALSE"))</f>
        <v>FALSE</v>
      </c>
      <c r="Z178" s="175">
        <f t="shared" si="15"/>
        <v>0</v>
      </c>
      <c r="AA178" s="185"/>
      <c r="AB178" s="327" t="b">
        <f>OR(Table17[[#This Row],[Priority]]="04. High",Table17[[#This Row],[Priority]]="05. Critical")</f>
        <v>0</v>
      </c>
      <c r="AC178" s="284">
        <f ca="1">$AA$1-Table17[[#This Row],[Date captured]]</f>
        <v>40990</v>
      </c>
      <c r="AD178" s="327" t="b">
        <f t="shared" ca="1" si="16"/>
        <v>0</v>
      </c>
      <c r="AE178" s="327" t="b">
        <f t="shared" ca="1" si="17"/>
        <v>0</v>
      </c>
      <c r="AF178" s="327" t="b">
        <f t="shared" ca="1" si="18"/>
        <v>1</v>
      </c>
      <c r="AG178" s="284">
        <f ca="1">Table17[[#This Row],[Required Resolution Date]]-$AA$1</f>
        <v>-40990</v>
      </c>
      <c r="AH178" s="327" t="b">
        <f t="shared" ca="1" si="19"/>
        <v>0</v>
      </c>
      <c r="AI178" s="327" t="b">
        <f>OR(Table17[[#This Row],[Priority]]="04. High",Table17[[#This Row],[Priority]]="05. Critical",Table17[[#This Row],[Priority]]="03. Moderate")</f>
        <v>0</v>
      </c>
      <c r="AJ178" s="185"/>
      <c r="AK178" s="185"/>
      <c r="AL178" s="185"/>
      <c r="AM178" s="185"/>
      <c r="AN178" s="185"/>
      <c r="AO178" s="185"/>
      <c r="AP178" s="185"/>
      <c r="AQ178" s="185"/>
      <c r="AR178" s="185"/>
      <c r="AS178" s="185"/>
      <c r="AT178" s="185"/>
      <c r="AU178" s="185"/>
      <c r="AV178" s="185"/>
      <c r="AW178" s="185"/>
      <c r="AX178" s="185"/>
      <c r="AY178" s="185"/>
      <c r="AZ178" s="185"/>
      <c r="BA178" s="185"/>
      <c r="BB178" s="185"/>
      <c r="BC178" s="185"/>
      <c r="BD178" s="185"/>
      <c r="BE178" s="185"/>
      <c r="BF178" s="185"/>
      <c r="BG178" s="185"/>
      <c r="BH178" s="185"/>
      <c r="BI178" s="185"/>
      <c r="BJ178" s="185"/>
      <c r="BK178" s="185"/>
      <c r="BL178" s="185"/>
      <c r="BM178" s="185"/>
      <c r="BN178" s="185"/>
      <c r="BO178" s="185"/>
      <c r="BP178" s="185"/>
      <c r="BQ178" s="185"/>
      <c r="BR178" s="185"/>
      <c r="BS178" s="185"/>
      <c r="BT178" s="185"/>
      <c r="BU178" s="185"/>
      <c r="BV178" s="185"/>
      <c r="BW178" s="185"/>
      <c r="BX178" s="185"/>
      <c r="BY178" s="185"/>
      <c r="BZ178" s="185"/>
      <c r="CA178" s="185"/>
      <c r="CB178" s="185"/>
      <c r="CC178" s="185"/>
      <c r="CD178" s="185"/>
      <c r="CE178" s="185"/>
      <c r="CF178" s="185"/>
      <c r="CG178" s="185"/>
      <c r="CH178" s="185"/>
      <c r="CI178" s="185"/>
      <c r="CJ178" s="185"/>
      <c r="CK178" s="185"/>
      <c r="CL178" s="185"/>
      <c r="CM178" s="185"/>
      <c r="CN178" s="185"/>
      <c r="CO178" s="185"/>
      <c r="CP178" s="185"/>
      <c r="CQ178" s="185"/>
      <c r="CR178" s="185"/>
      <c r="CS178" s="185"/>
      <c r="CT178" s="185"/>
      <c r="CU178" s="185"/>
      <c r="CV178" s="185"/>
      <c r="CW178" s="185"/>
      <c r="CX178" s="185"/>
      <c r="CY178" s="185"/>
      <c r="CZ178" s="185"/>
      <c r="DA178" s="185"/>
      <c r="DB178" s="185"/>
      <c r="DC178" s="185"/>
      <c r="DD178" s="185"/>
      <c r="DE178" s="185"/>
      <c r="DF178" s="185"/>
      <c r="DG178" s="185"/>
      <c r="DH178" s="185"/>
      <c r="DI178" s="185"/>
      <c r="DJ178" s="185"/>
      <c r="DK178" s="185"/>
      <c r="DL178" s="185"/>
      <c r="DM178" s="185"/>
      <c r="DN178" s="185"/>
      <c r="DO178" s="185"/>
      <c r="DP178" s="185"/>
      <c r="DQ178" s="185"/>
      <c r="DR178" s="185"/>
      <c r="DS178" s="185"/>
      <c r="DT178" s="185"/>
      <c r="DU178" s="185"/>
      <c r="DV178" s="185"/>
      <c r="DW178" s="185"/>
      <c r="DX178" s="185"/>
      <c r="DY178" s="185"/>
      <c r="DZ178" s="185"/>
      <c r="EA178" s="185"/>
      <c r="EB178" s="185"/>
      <c r="EC178" s="185"/>
      <c r="ED178" s="185"/>
      <c r="EE178" s="185"/>
      <c r="EF178" s="185"/>
      <c r="EG178" s="185"/>
      <c r="EH178" s="185"/>
      <c r="EI178" s="185"/>
      <c r="EJ178" s="185"/>
      <c r="EK178" s="185"/>
      <c r="EL178" s="185"/>
      <c r="EM178" s="185"/>
      <c r="EN178" s="185"/>
      <c r="EO178" s="185"/>
      <c r="EP178" s="185"/>
      <c r="EQ178" s="185"/>
      <c r="ER178" s="185"/>
      <c r="ES178" s="185"/>
      <c r="ET178" s="185"/>
      <c r="EU178" s="185"/>
      <c r="EV178" s="185"/>
      <c r="EW178" s="185"/>
      <c r="EX178" s="185"/>
      <c r="EY178" s="185"/>
      <c r="EZ178" s="185"/>
      <c r="FA178" s="185"/>
      <c r="FB178" s="185"/>
      <c r="FC178" s="185"/>
      <c r="FD178" s="185"/>
      <c r="FE178" s="185"/>
      <c r="FF178" s="185"/>
      <c r="FG178" s="185"/>
      <c r="FH178" s="185"/>
      <c r="FI178" s="185"/>
      <c r="FJ178" s="185"/>
      <c r="FK178" s="185"/>
    </row>
    <row r="179" spans="1:167" s="186" customFormat="1">
      <c r="A179" s="198"/>
      <c r="B179" s="178"/>
      <c r="C179" s="141"/>
      <c r="D179" s="140"/>
      <c r="E179" s="141"/>
      <c r="F179" s="198"/>
      <c r="G179" s="141"/>
      <c r="H179" s="141"/>
      <c r="I179" s="141"/>
      <c r="J179" s="141"/>
      <c r="K179" s="141"/>
      <c r="L179" s="333"/>
      <c r="M179" s="339"/>
      <c r="N179" s="191"/>
      <c r="O179" s="337"/>
      <c r="P179" s="339"/>
      <c r="Q179" s="179"/>
      <c r="R179" s="180"/>
      <c r="S179" s="181"/>
      <c r="T179" s="182"/>
      <c r="U179" s="141"/>
      <c r="V179" s="182"/>
      <c r="W179" s="183"/>
      <c r="X179" s="185"/>
      <c r="Y179" s="176" t="str">
        <f>IF(Table17[[#This Row],[Required Resolution Date]]="","FALSE",IF($AA$1&gt;Table17[[#This Row],[Required Resolution Date]],"TRUE","FALSE"))</f>
        <v>FALSE</v>
      </c>
      <c r="Z179" s="175">
        <f t="shared" si="15"/>
        <v>0</v>
      </c>
      <c r="AA179" s="185"/>
      <c r="AB179" s="327" t="b">
        <f>OR(Table17[[#This Row],[Priority]]="04. High",Table17[[#This Row],[Priority]]="05. Critical")</f>
        <v>0</v>
      </c>
      <c r="AC179" s="284">
        <f ca="1">$AA$1-Table17[[#This Row],[Date captured]]</f>
        <v>40990</v>
      </c>
      <c r="AD179" s="327" t="b">
        <f t="shared" ca="1" si="16"/>
        <v>0</v>
      </c>
      <c r="AE179" s="327" t="b">
        <f t="shared" ca="1" si="17"/>
        <v>0</v>
      </c>
      <c r="AF179" s="327" t="b">
        <f t="shared" ca="1" si="18"/>
        <v>1</v>
      </c>
      <c r="AG179" s="284">
        <f ca="1">Table17[[#This Row],[Required Resolution Date]]-$AA$1</f>
        <v>-40990</v>
      </c>
      <c r="AH179" s="327" t="b">
        <f t="shared" ca="1" si="19"/>
        <v>0</v>
      </c>
      <c r="AI179" s="327" t="b">
        <f>OR(Table17[[#This Row],[Priority]]="04. High",Table17[[#This Row],[Priority]]="05. Critical",Table17[[#This Row],[Priority]]="03. Moderate")</f>
        <v>0</v>
      </c>
      <c r="AJ179" s="185"/>
      <c r="AK179" s="185"/>
      <c r="AL179" s="185"/>
      <c r="AM179" s="185"/>
      <c r="AN179" s="185"/>
      <c r="AO179" s="185"/>
      <c r="AP179" s="185"/>
      <c r="AQ179" s="185"/>
      <c r="AR179" s="185"/>
      <c r="AS179" s="185"/>
      <c r="AT179" s="185"/>
      <c r="AU179" s="185"/>
      <c r="AV179" s="185"/>
      <c r="AW179" s="185"/>
      <c r="AX179" s="185"/>
      <c r="AY179" s="185"/>
      <c r="AZ179" s="185"/>
      <c r="BA179" s="185"/>
      <c r="BB179" s="185"/>
      <c r="BC179" s="185"/>
      <c r="BD179" s="185"/>
      <c r="BE179" s="185"/>
      <c r="BF179" s="185"/>
      <c r="BG179" s="185"/>
      <c r="BH179" s="185"/>
      <c r="BI179" s="185"/>
      <c r="BJ179" s="185"/>
      <c r="BK179" s="185"/>
      <c r="BL179" s="185"/>
      <c r="BM179" s="185"/>
      <c r="BN179" s="185"/>
      <c r="BO179" s="185"/>
      <c r="BP179" s="185"/>
      <c r="BQ179" s="185"/>
      <c r="BR179" s="185"/>
      <c r="BS179" s="185"/>
      <c r="BT179" s="185"/>
      <c r="BU179" s="185"/>
      <c r="BV179" s="185"/>
      <c r="BW179" s="185"/>
      <c r="BX179" s="185"/>
      <c r="BY179" s="185"/>
      <c r="BZ179" s="185"/>
      <c r="CA179" s="185"/>
      <c r="CB179" s="185"/>
      <c r="CC179" s="185"/>
      <c r="CD179" s="185"/>
      <c r="CE179" s="185"/>
      <c r="CF179" s="185"/>
      <c r="CG179" s="185"/>
      <c r="CH179" s="185"/>
      <c r="CI179" s="185"/>
      <c r="CJ179" s="185"/>
      <c r="CK179" s="185"/>
      <c r="CL179" s="185"/>
      <c r="CM179" s="185"/>
      <c r="CN179" s="185"/>
      <c r="CO179" s="185"/>
      <c r="CP179" s="185"/>
      <c r="CQ179" s="185"/>
      <c r="CR179" s="185"/>
      <c r="CS179" s="185"/>
      <c r="CT179" s="185"/>
      <c r="CU179" s="185"/>
      <c r="CV179" s="185"/>
      <c r="CW179" s="185"/>
      <c r="CX179" s="185"/>
      <c r="CY179" s="185"/>
      <c r="CZ179" s="185"/>
      <c r="DA179" s="185"/>
      <c r="DB179" s="185"/>
      <c r="DC179" s="185"/>
      <c r="DD179" s="185"/>
      <c r="DE179" s="185"/>
      <c r="DF179" s="185"/>
      <c r="DG179" s="185"/>
      <c r="DH179" s="185"/>
      <c r="DI179" s="185"/>
      <c r="DJ179" s="185"/>
      <c r="DK179" s="185"/>
      <c r="DL179" s="185"/>
      <c r="DM179" s="185"/>
      <c r="DN179" s="185"/>
      <c r="DO179" s="185"/>
      <c r="DP179" s="185"/>
      <c r="DQ179" s="185"/>
      <c r="DR179" s="185"/>
      <c r="DS179" s="185"/>
      <c r="DT179" s="185"/>
      <c r="DU179" s="185"/>
      <c r="DV179" s="185"/>
      <c r="DW179" s="185"/>
      <c r="DX179" s="185"/>
      <c r="DY179" s="185"/>
      <c r="DZ179" s="185"/>
      <c r="EA179" s="185"/>
      <c r="EB179" s="185"/>
      <c r="EC179" s="185"/>
      <c r="ED179" s="185"/>
      <c r="EE179" s="185"/>
      <c r="EF179" s="185"/>
      <c r="EG179" s="185"/>
      <c r="EH179" s="185"/>
      <c r="EI179" s="185"/>
      <c r="EJ179" s="185"/>
      <c r="EK179" s="185"/>
      <c r="EL179" s="185"/>
      <c r="EM179" s="185"/>
      <c r="EN179" s="185"/>
      <c r="EO179" s="185"/>
      <c r="EP179" s="185"/>
      <c r="EQ179" s="185"/>
      <c r="ER179" s="185"/>
      <c r="ES179" s="185"/>
      <c r="ET179" s="185"/>
      <c r="EU179" s="185"/>
      <c r="EV179" s="185"/>
      <c r="EW179" s="185"/>
      <c r="EX179" s="185"/>
      <c r="EY179" s="185"/>
      <c r="EZ179" s="185"/>
      <c r="FA179" s="185"/>
      <c r="FB179" s="185"/>
      <c r="FC179" s="185"/>
      <c r="FD179" s="185"/>
      <c r="FE179" s="185"/>
      <c r="FF179" s="185"/>
      <c r="FG179" s="185"/>
      <c r="FH179" s="185"/>
      <c r="FI179" s="185"/>
      <c r="FJ179" s="185"/>
      <c r="FK179" s="185"/>
    </row>
    <row r="180" spans="1:167" s="186" customFormat="1">
      <c r="A180" s="198"/>
      <c r="B180" s="178"/>
      <c r="C180" s="141"/>
      <c r="D180" s="140"/>
      <c r="E180" s="141"/>
      <c r="F180" s="198"/>
      <c r="G180" s="141"/>
      <c r="H180" s="141"/>
      <c r="I180" s="141"/>
      <c r="J180" s="141"/>
      <c r="K180" s="141"/>
      <c r="L180" s="333"/>
      <c r="M180" s="339"/>
      <c r="N180" s="191"/>
      <c r="O180" s="337"/>
      <c r="P180" s="339"/>
      <c r="Q180" s="179"/>
      <c r="R180" s="180"/>
      <c r="S180" s="181"/>
      <c r="T180" s="182"/>
      <c r="U180" s="141"/>
      <c r="V180" s="182"/>
      <c r="W180" s="183"/>
      <c r="X180" s="185"/>
      <c r="Y180" s="176" t="str">
        <f>IF(Table17[[#This Row],[Required Resolution Date]]="","FALSE",IF($AA$1&gt;Table17[[#This Row],[Required Resolution Date]],"TRUE","FALSE"))</f>
        <v>FALSE</v>
      </c>
      <c r="Z180" s="175">
        <f t="shared" si="15"/>
        <v>0</v>
      </c>
      <c r="AA180" s="185"/>
      <c r="AB180" s="327" t="b">
        <f>OR(Table17[[#This Row],[Priority]]="04. High",Table17[[#This Row],[Priority]]="05. Critical")</f>
        <v>0</v>
      </c>
      <c r="AC180" s="284">
        <f ca="1">$AA$1-Table17[[#This Row],[Date captured]]</f>
        <v>40990</v>
      </c>
      <c r="AD180" s="327" t="b">
        <f t="shared" ca="1" si="16"/>
        <v>0</v>
      </c>
      <c r="AE180" s="327" t="b">
        <f t="shared" ca="1" si="17"/>
        <v>0</v>
      </c>
      <c r="AF180" s="327" t="b">
        <f t="shared" ca="1" si="18"/>
        <v>1</v>
      </c>
      <c r="AG180" s="284">
        <f ca="1">Table17[[#This Row],[Required Resolution Date]]-$AA$1</f>
        <v>-40990</v>
      </c>
      <c r="AH180" s="327" t="b">
        <f t="shared" ca="1" si="19"/>
        <v>0</v>
      </c>
      <c r="AI180" s="327" t="b">
        <f>OR(Table17[[#This Row],[Priority]]="04. High",Table17[[#This Row],[Priority]]="05. Critical",Table17[[#This Row],[Priority]]="03. Moderate")</f>
        <v>0</v>
      </c>
      <c r="AJ180" s="185"/>
      <c r="AK180" s="185"/>
      <c r="AL180" s="185"/>
      <c r="AM180" s="185"/>
      <c r="AN180" s="185"/>
      <c r="AO180" s="185"/>
      <c r="AP180" s="185"/>
      <c r="AQ180" s="185"/>
      <c r="AR180" s="185"/>
      <c r="AS180" s="185"/>
      <c r="AT180" s="185"/>
      <c r="AU180" s="185"/>
      <c r="AV180" s="185"/>
      <c r="AW180" s="185"/>
      <c r="AX180" s="185"/>
      <c r="AY180" s="185"/>
      <c r="AZ180" s="185"/>
      <c r="BA180" s="185"/>
      <c r="BB180" s="185"/>
      <c r="BC180" s="185"/>
      <c r="BD180" s="185"/>
      <c r="BE180" s="185"/>
      <c r="BF180" s="185"/>
      <c r="BG180" s="185"/>
      <c r="BH180" s="185"/>
      <c r="BI180" s="185"/>
      <c r="BJ180" s="185"/>
      <c r="BK180" s="185"/>
      <c r="BL180" s="185"/>
      <c r="BM180" s="185"/>
      <c r="BN180" s="185"/>
      <c r="BO180" s="185"/>
      <c r="BP180" s="185"/>
      <c r="BQ180" s="185"/>
      <c r="BR180" s="185"/>
      <c r="BS180" s="185"/>
      <c r="BT180" s="185"/>
      <c r="BU180" s="185"/>
      <c r="BV180" s="185"/>
      <c r="BW180" s="185"/>
      <c r="BX180" s="185"/>
      <c r="BY180" s="185"/>
      <c r="BZ180" s="185"/>
      <c r="CA180" s="185"/>
      <c r="CB180" s="185"/>
      <c r="CC180" s="185"/>
      <c r="CD180" s="185"/>
      <c r="CE180" s="185"/>
      <c r="CF180" s="185"/>
      <c r="CG180" s="185"/>
      <c r="CH180" s="185"/>
      <c r="CI180" s="185"/>
      <c r="CJ180" s="185"/>
      <c r="CK180" s="185"/>
      <c r="CL180" s="185"/>
      <c r="CM180" s="185"/>
      <c r="CN180" s="185"/>
      <c r="CO180" s="185"/>
      <c r="CP180" s="185"/>
      <c r="CQ180" s="185"/>
      <c r="CR180" s="185"/>
      <c r="CS180" s="185"/>
      <c r="CT180" s="185"/>
      <c r="CU180" s="185"/>
      <c r="CV180" s="185"/>
      <c r="CW180" s="185"/>
      <c r="CX180" s="185"/>
      <c r="CY180" s="185"/>
      <c r="CZ180" s="185"/>
      <c r="DA180" s="185"/>
      <c r="DB180" s="185"/>
      <c r="DC180" s="185"/>
      <c r="DD180" s="185"/>
      <c r="DE180" s="185"/>
      <c r="DF180" s="185"/>
      <c r="DG180" s="185"/>
      <c r="DH180" s="185"/>
      <c r="DI180" s="185"/>
      <c r="DJ180" s="185"/>
      <c r="DK180" s="185"/>
      <c r="DL180" s="185"/>
      <c r="DM180" s="185"/>
      <c r="DN180" s="185"/>
      <c r="DO180" s="185"/>
      <c r="DP180" s="185"/>
      <c r="DQ180" s="185"/>
      <c r="DR180" s="185"/>
      <c r="DS180" s="185"/>
      <c r="DT180" s="185"/>
      <c r="DU180" s="185"/>
      <c r="DV180" s="185"/>
      <c r="DW180" s="185"/>
      <c r="DX180" s="185"/>
      <c r="DY180" s="185"/>
      <c r="DZ180" s="185"/>
      <c r="EA180" s="185"/>
      <c r="EB180" s="185"/>
      <c r="EC180" s="185"/>
      <c r="ED180" s="185"/>
      <c r="EE180" s="185"/>
      <c r="EF180" s="185"/>
      <c r="EG180" s="185"/>
      <c r="EH180" s="185"/>
      <c r="EI180" s="185"/>
      <c r="EJ180" s="185"/>
      <c r="EK180" s="185"/>
      <c r="EL180" s="185"/>
      <c r="EM180" s="185"/>
      <c r="EN180" s="185"/>
      <c r="EO180" s="185"/>
      <c r="EP180" s="185"/>
      <c r="EQ180" s="185"/>
      <c r="ER180" s="185"/>
      <c r="ES180" s="185"/>
      <c r="ET180" s="185"/>
      <c r="EU180" s="185"/>
      <c r="EV180" s="185"/>
      <c r="EW180" s="185"/>
      <c r="EX180" s="185"/>
      <c r="EY180" s="185"/>
      <c r="EZ180" s="185"/>
      <c r="FA180" s="185"/>
      <c r="FB180" s="185"/>
      <c r="FC180" s="185"/>
      <c r="FD180" s="185"/>
      <c r="FE180" s="185"/>
      <c r="FF180" s="185"/>
      <c r="FG180" s="185"/>
      <c r="FH180" s="185"/>
      <c r="FI180" s="185"/>
      <c r="FJ180" s="185"/>
      <c r="FK180" s="185"/>
    </row>
    <row r="181" spans="1:167" s="186" customFormat="1">
      <c r="A181" s="198"/>
      <c r="B181" s="178"/>
      <c r="C181" s="141"/>
      <c r="D181" s="140"/>
      <c r="E181" s="141"/>
      <c r="F181" s="198"/>
      <c r="G181" s="141"/>
      <c r="H181" s="141"/>
      <c r="I181" s="141"/>
      <c r="J181" s="141"/>
      <c r="K181" s="141"/>
      <c r="L181" s="333"/>
      <c r="M181" s="339"/>
      <c r="N181" s="191"/>
      <c r="O181" s="337"/>
      <c r="P181" s="339"/>
      <c r="Q181" s="179"/>
      <c r="R181" s="180"/>
      <c r="S181" s="181"/>
      <c r="T181" s="182"/>
      <c r="U181" s="141"/>
      <c r="V181" s="182"/>
      <c r="W181" s="183"/>
      <c r="X181" s="185"/>
      <c r="Y181" s="176" t="str">
        <f>IF(Table17[[#This Row],[Required Resolution Date]]="","FALSE",IF($AA$1&gt;Table17[[#This Row],[Required Resolution Date]],"TRUE","FALSE"))</f>
        <v>FALSE</v>
      </c>
      <c r="Z181" s="175">
        <f t="shared" si="15"/>
        <v>0</v>
      </c>
      <c r="AA181" s="185"/>
      <c r="AB181" s="327" t="b">
        <f>OR(Table17[[#This Row],[Priority]]="04. High",Table17[[#This Row],[Priority]]="05. Critical")</f>
        <v>0</v>
      </c>
      <c r="AC181" s="284">
        <f ca="1">$AA$1-Table17[[#This Row],[Date captured]]</f>
        <v>40990</v>
      </c>
      <c r="AD181" s="327" t="b">
        <f t="shared" ca="1" si="16"/>
        <v>0</v>
      </c>
      <c r="AE181" s="327" t="b">
        <f t="shared" ca="1" si="17"/>
        <v>0</v>
      </c>
      <c r="AF181" s="327" t="b">
        <f t="shared" ca="1" si="18"/>
        <v>1</v>
      </c>
      <c r="AG181" s="284">
        <f ca="1">Table17[[#This Row],[Required Resolution Date]]-$AA$1</f>
        <v>-40990</v>
      </c>
      <c r="AH181" s="327" t="b">
        <f t="shared" ca="1" si="19"/>
        <v>0</v>
      </c>
      <c r="AI181" s="327" t="b">
        <f>OR(Table17[[#This Row],[Priority]]="04. High",Table17[[#This Row],[Priority]]="05. Critical",Table17[[#This Row],[Priority]]="03. Moderate")</f>
        <v>0</v>
      </c>
      <c r="AJ181" s="185"/>
      <c r="AK181" s="185"/>
      <c r="AL181" s="185"/>
      <c r="AM181" s="185"/>
      <c r="AN181" s="185"/>
      <c r="AO181" s="185"/>
      <c r="AP181" s="185"/>
      <c r="AQ181" s="185"/>
      <c r="AR181" s="185"/>
      <c r="AS181" s="185"/>
      <c r="AT181" s="185"/>
      <c r="AU181" s="185"/>
      <c r="AV181" s="185"/>
      <c r="AW181" s="185"/>
      <c r="AX181" s="185"/>
      <c r="AY181" s="185"/>
      <c r="AZ181" s="185"/>
      <c r="BA181" s="185"/>
      <c r="BB181" s="185"/>
      <c r="BC181" s="185"/>
      <c r="BD181" s="185"/>
      <c r="BE181" s="185"/>
      <c r="BF181" s="185"/>
      <c r="BG181" s="185"/>
      <c r="BH181" s="185"/>
      <c r="BI181" s="185"/>
      <c r="BJ181" s="185"/>
      <c r="BK181" s="185"/>
      <c r="BL181" s="185"/>
      <c r="BM181" s="185"/>
      <c r="BN181" s="185"/>
      <c r="BO181" s="185"/>
      <c r="BP181" s="185"/>
      <c r="BQ181" s="185"/>
      <c r="BR181" s="185"/>
      <c r="BS181" s="185"/>
      <c r="BT181" s="185"/>
      <c r="BU181" s="185"/>
      <c r="BV181" s="185"/>
      <c r="BW181" s="185"/>
      <c r="BX181" s="185"/>
      <c r="BY181" s="185"/>
      <c r="BZ181" s="185"/>
      <c r="CA181" s="185"/>
      <c r="CB181" s="185"/>
      <c r="CC181" s="185"/>
      <c r="CD181" s="185"/>
      <c r="CE181" s="185"/>
      <c r="CF181" s="185"/>
      <c r="CG181" s="185"/>
      <c r="CH181" s="185"/>
      <c r="CI181" s="185"/>
      <c r="CJ181" s="185"/>
      <c r="CK181" s="185"/>
      <c r="CL181" s="185"/>
      <c r="CM181" s="185"/>
      <c r="CN181" s="185"/>
      <c r="CO181" s="185"/>
      <c r="CP181" s="185"/>
      <c r="CQ181" s="185"/>
      <c r="CR181" s="185"/>
      <c r="CS181" s="185"/>
      <c r="CT181" s="185"/>
      <c r="CU181" s="185"/>
      <c r="CV181" s="185"/>
      <c r="CW181" s="185"/>
      <c r="CX181" s="185"/>
      <c r="CY181" s="185"/>
      <c r="CZ181" s="185"/>
      <c r="DA181" s="185"/>
      <c r="DB181" s="185"/>
      <c r="DC181" s="185"/>
      <c r="DD181" s="185"/>
      <c r="DE181" s="185"/>
      <c r="DF181" s="185"/>
      <c r="DG181" s="185"/>
      <c r="DH181" s="185"/>
      <c r="DI181" s="185"/>
      <c r="DJ181" s="185"/>
      <c r="DK181" s="185"/>
      <c r="DL181" s="185"/>
      <c r="DM181" s="185"/>
      <c r="DN181" s="185"/>
      <c r="DO181" s="185"/>
      <c r="DP181" s="185"/>
      <c r="DQ181" s="185"/>
      <c r="DR181" s="185"/>
      <c r="DS181" s="185"/>
      <c r="DT181" s="185"/>
      <c r="DU181" s="185"/>
      <c r="DV181" s="185"/>
      <c r="DW181" s="185"/>
      <c r="DX181" s="185"/>
      <c r="DY181" s="185"/>
      <c r="DZ181" s="185"/>
      <c r="EA181" s="185"/>
      <c r="EB181" s="185"/>
      <c r="EC181" s="185"/>
      <c r="ED181" s="185"/>
      <c r="EE181" s="185"/>
      <c r="EF181" s="185"/>
      <c r="EG181" s="185"/>
      <c r="EH181" s="185"/>
      <c r="EI181" s="185"/>
      <c r="EJ181" s="185"/>
      <c r="EK181" s="185"/>
      <c r="EL181" s="185"/>
      <c r="EM181" s="185"/>
      <c r="EN181" s="185"/>
      <c r="EO181" s="185"/>
      <c r="EP181" s="185"/>
      <c r="EQ181" s="185"/>
      <c r="ER181" s="185"/>
      <c r="ES181" s="185"/>
      <c r="ET181" s="185"/>
      <c r="EU181" s="185"/>
      <c r="EV181" s="185"/>
      <c r="EW181" s="185"/>
      <c r="EX181" s="185"/>
      <c r="EY181" s="185"/>
      <c r="EZ181" s="185"/>
      <c r="FA181" s="185"/>
      <c r="FB181" s="185"/>
      <c r="FC181" s="185"/>
      <c r="FD181" s="185"/>
      <c r="FE181" s="185"/>
      <c r="FF181" s="185"/>
      <c r="FG181" s="185"/>
      <c r="FH181" s="185"/>
      <c r="FI181" s="185"/>
      <c r="FJ181" s="185"/>
      <c r="FK181" s="185"/>
    </row>
    <row r="182" spans="1:167" s="186" customFormat="1">
      <c r="A182" s="198"/>
      <c r="B182" s="178"/>
      <c r="C182" s="141"/>
      <c r="D182" s="140"/>
      <c r="E182" s="141"/>
      <c r="F182" s="198"/>
      <c r="G182" s="141"/>
      <c r="H182" s="141"/>
      <c r="I182" s="141"/>
      <c r="J182" s="141"/>
      <c r="K182" s="141"/>
      <c r="L182" s="333"/>
      <c r="M182" s="339"/>
      <c r="N182" s="191"/>
      <c r="O182" s="337"/>
      <c r="P182" s="339"/>
      <c r="Q182" s="179"/>
      <c r="R182" s="180"/>
      <c r="S182" s="181"/>
      <c r="T182" s="182"/>
      <c r="U182" s="141"/>
      <c r="V182" s="182"/>
      <c r="W182" s="183"/>
      <c r="X182" s="185"/>
      <c r="Y182" s="176" t="str">
        <f>IF(Table17[[#This Row],[Required Resolution Date]]="","FALSE",IF($AA$1&gt;Table17[[#This Row],[Required Resolution Date]],"TRUE","FALSE"))</f>
        <v>FALSE</v>
      </c>
      <c r="Z182" s="175">
        <f t="shared" si="15"/>
        <v>0</v>
      </c>
      <c r="AA182" s="185"/>
      <c r="AB182" s="327" t="b">
        <f>OR(Table17[[#This Row],[Priority]]="04. High",Table17[[#This Row],[Priority]]="05. Critical")</f>
        <v>0</v>
      </c>
      <c r="AC182" s="284">
        <f ca="1">$AA$1-Table17[[#This Row],[Date captured]]</f>
        <v>40990</v>
      </c>
      <c r="AD182" s="327" t="b">
        <f t="shared" ca="1" si="16"/>
        <v>0</v>
      </c>
      <c r="AE182" s="327" t="b">
        <f t="shared" ca="1" si="17"/>
        <v>0</v>
      </c>
      <c r="AF182" s="327" t="b">
        <f t="shared" ca="1" si="18"/>
        <v>1</v>
      </c>
      <c r="AG182" s="284">
        <f ca="1">Table17[[#This Row],[Required Resolution Date]]-$AA$1</f>
        <v>-40990</v>
      </c>
      <c r="AH182" s="327" t="b">
        <f t="shared" ca="1" si="19"/>
        <v>0</v>
      </c>
      <c r="AI182" s="327" t="b">
        <f>OR(Table17[[#This Row],[Priority]]="04. High",Table17[[#This Row],[Priority]]="05. Critical",Table17[[#This Row],[Priority]]="03. Moderate")</f>
        <v>0</v>
      </c>
      <c r="AJ182" s="185"/>
      <c r="AK182" s="185"/>
      <c r="AL182" s="185"/>
      <c r="AM182" s="185"/>
      <c r="AN182" s="185"/>
      <c r="AO182" s="185"/>
      <c r="AP182" s="185"/>
      <c r="AQ182" s="185"/>
      <c r="AR182" s="185"/>
      <c r="AS182" s="185"/>
      <c r="AT182" s="185"/>
      <c r="AU182" s="185"/>
      <c r="AV182" s="185"/>
      <c r="AW182" s="185"/>
      <c r="AX182" s="185"/>
      <c r="AY182" s="185"/>
      <c r="AZ182" s="185"/>
      <c r="BA182" s="185"/>
      <c r="BB182" s="185"/>
      <c r="BC182" s="185"/>
      <c r="BD182" s="185"/>
      <c r="BE182" s="185"/>
      <c r="BF182" s="185"/>
      <c r="BG182" s="185"/>
      <c r="BH182" s="185"/>
      <c r="BI182" s="185"/>
      <c r="BJ182" s="185"/>
      <c r="BK182" s="185"/>
      <c r="BL182" s="185"/>
      <c r="BM182" s="185"/>
      <c r="BN182" s="185"/>
      <c r="BO182" s="185"/>
      <c r="BP182" s="185"/>
      <c r="BQ182" s="185"/>
      <c r="BR182" s="185"/>
      <c r="BS182" s="185"/>
      <c r="BT182" s="185"/>
      <c r="BU182" s="185"/>
      <c r="BV182" s="185"/>
      <c r="BW182" s="185"/>
      <c r="BX182" s="185"/>
      <c r="BY182" s="185"/>
      <c r="BZ182" s="185"/>
      <c r="CA182" s="185"/>
      <c r="CB182" s="185"/>
      <c r="CC182" s="185"/>
      <c r="CD182" s="185"/>
      <c r="CE182" s="185"/>
      <c r="CF182" s="185"/>
      <c r="CG182" s="185"/>
      <c r="CH182" s="185"/>
      <c r="CI182" s="185"/>
      <c r="CJ182" s="185"/>
      <c r="CK182" s="185"/>
      <c r="CL182" s="185"/>
      <c r="CM182" s="185"/>
      <c r="CN182" s="185"/>
      <c r="CO182" s="185"/>
      <c r="CP182" s="185"/>
      <c r="CQ182" s="185"/>
      <c r="CR182" s="185"/>
      <c r="CS182" s="185"/>
      <c r="CT182" s="185"/>
      <c r="CU182" s="185"/>
      <c r="CV182" s="185"/>
      <c r="CW182" s="185"/>
      <c r="CX182" s="185"/>
      <c r="CY182" s="185"/>
      <c r="CZ182" s="185"/>
      <c r="DA182" s="185"/>
      <c r="DB182" s="185"/>
      <c r="DC182" s="185"/>
      <c r="DD182" s="185"/>
      <c r="DE182" s="185"/>
      <c r="DF182" s="185"/>
      <c r="DG182" s="185"/>
      <c r="DH182" s="185"/>
      <c r="DI182" s="185"/>
      <c r="DJ182" s="185"/>
      <c r="DK182" s="185"/>
      <c r="DL182" s="185"/>
      <c r="DM182" s="185"/>
      <c r="DN182" s="185"/>
      <c r="DO182" s="185"/>
      <c r="DP182" s="185"/>
      <c r="DQ182" s="185"/>
      <c r="DR182" s="185"/>
      <c r="DS182" s="185"/>
      <c r="DT182" s="185"/>
      <c r="DU182" s="185"/>
      <c r="DV182" s="185"/>
      <c r="DW182" s="185"/>
      <c r="DX182" s="185"/>
      <c r="DY182" s="185"/>
      <c r="DZ182" s="185"/>
      <c r="EA182" s="185"/>
      <c r="EB182" s="185"/>
      <c r="EC182" s="185"/>
      <c r="ED182" s="185"/>
      <c r="EE182" s="185"/>
      <c r="EF182" s="185"/>
      <c r="EG182" s="185"/>
      <c r="EH182" s="185"/>
      <c r="EI182" s="185"/>
      <c r="EJ182" s="185"/>
      <c r="EK182" s="185"/>
      <c r="EL182" s="185"/>
      <c r="EM182" s="185"/>
      <c r="EN182" s="185"/>
      <c r="EO182" s="185"/>
      <c r="EP182" s="185"/>
      <c r="EQ182" s="185"/>
      <c r="ER182" s="185"/>
      <c r="ES182" s="185"/>
      <c r="ET182" s="185"/>
      <c r="EU182" s="185"/>
      <c r="EV182" s="185"/>
      <c r="EW182" s="185"/>
      <c r="EX182" s="185"/>
      <c r="EY182" s="185"/>
      <c r="EZ182" s="185"/>
      <c r="FA182" s="185"/>
      <c r="FB182" s="185"/>
      <c r="FC182" s="185"/>
      <c r="FD182" s="185"/>
      <c r="FE182" s="185"/>
      <c r="FF182" s="185"/>
      <c r="FG182" s="185"/>
      <c r="FH182" s="185"/>
      <c r="FI182" s="185"/>
      <c r="FJ182" s="185"/>
      <c r="FK182" s="185"/>
    </row>
    <row r="183" spans="1:167" s="186" customFormat="1">
      <c r="A183" s="198"/>
      <c r="B183" s="178"/>
      <c r="C183" s="141"/>
      <c r="D183" s="140"/>
      <c r="E183" s="141"/>
      <c r="F183" s="198"/>
      <c r="G183" s="141"/>
      <c r="H183" s="141"/>
      <c r="I183" s="141"/>
      <c r="J183" s="141"/>
      <c r="K183" s="141"/>
      <c r="L183" s="333"/>
      <c r="M183" s="339"/>
      <c r="N183" s="191"/>
      <c r="O183" s="337"/>
      <c r="P183" s="339"/>
      <c r="Q183" s="179"/>
      <c r="R183" s="180"/>
      <c r="S183" s="181"/>
      <c r="T183" s="182"/>
      <c r="U183" s="141"/>
      <c r="V183" s="182"/>
      <c r="W183" s="183"/>
      <c r="X183" s="185"/>
      <c r="Y183" s="176" t="str">
        <f>IF(Table17[[#This Row],[Required Resolution Date]]="","FALSE",IF($AA$1&gt;Table17[[#This Row],[Required Resolution Date]],"TRUE","FALSE"))</f>
        <v>FALSE</v>
      </c>
      <c r="Z183" s="175">
        <f t="shared" si="15"/>
        <v>0</v>
      </c>
      <c r="AA183" s="185"/>
      <c r="AB183" s="327" t="b">
        <f>OR(Table17[[#This Row],[Priority]]="04. High",Table17[[#This Row],[Priority]]="05. Critical")</f>
        <v>0</v>
      </c>
      <c r="AC183" s="284">
        <f ca="1">$AA$1-Table17[[#This Row],[Date captured]]</f>
        <v>40990</v>
      </c>
      <c r="AD183" s="327" t="b">
        <f t="shared" ca="1" si="16"/>
        <v>0</v>
      </c>
      <c r="AE183" s="327" t="b">
        <f t="shared" ca="1" si="17"/>
        <v>0</v>
      </c>
      <c r="AF183" s="327" t="b">
        <f t="shared" ca="1" si="18"/>
        <v>1</v>
      </c>
      <c r="AG183" s="284">
        <f ca="1">Table17[[#This Row],[Required Resolution Date]]-$AA$1</f>
        <v>-40990</v>
      </c>
      <c r="AH183" s="327" t="b">
        <f t="shared" ca="1" si="19"/>
        <v>0</v>
      </c>
      <c r="AI183" s="327" t="b">
        <f>OR(Table17[[#This Row],[Priority]]="04. High",Table17[[#This Row],[Priority]]="05. Critical",Table17[[#This Row],[Priority]]="03. Moderate")</f>
        <v>0</v>
      </c>
      <c r="AJ183" s="185"/>
      <c r="AK183" s="185"/>
      <c r="AL183" s="185"/>
      <c r="AM183" s="185"/>
      <c r="AN183" s="185"/>
      <c r="AO183" s="185"/>
      <c r="AP183" s="185"/>
      <c r="AQ183" s="185"/>
      <c r="AR183" s="185"/>
      <c r="AS183" s="185"/>
      <c r="AT183" s="185"/>
      <c r="AU183" s="185"/>
      <c r="AV183" s="185"/>
      <c r="AW183" s="185"/>
      <c r="AX183" s="185"/>
      <c r="AY183" s="185"/>
      <c r="AZ183" s="185"/>
      <c r="BA183" s="185"/>
      <c r="BB183" s="185"/>
      <c r="BC183" s="185"/>
      <c r="BD183" s="185"/>
      <c r="BE183" s="185"/>
      <c r="BF183" s="185"/>
      <c r="BG183" s="185"/>
      <c r="BH183" s="185"/>
      <c r="BI183" s="185"/>
      <c r="BJ183" s="185"/>
      <c r="BK183" s="185"/>
      <c r="BL183" s="185"/>
      <c r="BM183" s="185"/>
      <c r="BN183" s="185"/>
      <c r="BO183" s="185"/>
      <c r="BP183" s="185"/>
      <c r="BQ183" s="185"/>
      <c r="BR183" s="185"/>
      <c r="BS183" s="185"/>
      <c r="BT183" s="185"/>
      <c r="BU183" s="185"/>
      <c r="BV183" s="185"/>
      <c r="BW183" s="185"/>
      <c r="BX183" s="185"/>
      <c r="BY183" s="185"/>
      <c r="BZ183" s="185"/>
      <c r="CA183" s="185"/>
      <c r="CB183" s="185"/>
      <c r="CC183" s="185"/>
      <c r="CD183" s="185"/>
      <c r="CE183" s="185"/>
      <c r="CF183" s="185"/>
      <c r="CG183" s="185"/>
      <c r="CH183" s="185"/>
      <c r="CI183" s="185"/>
      <c r="CJ183" s="185"/>
      <c r="CK183" s="185"/>
      <c r="CL183" s="185"/>
      <c r="CM183" s="185"/>
      <c r="CN183" s="185"/>
      <c r="CO183" s="185"/>
      <c r="CP183" s="185"/>
      <c r="CQ183" s="185"/>
      <c r="CR183" s="185"/>
      <c r="CS183" s="185"/>
      <c r="CT183" s="185"/>
      <c r="CU183" s="185"/>
      <c r="CV183" s="185"/>
      <c r="CW183" s="185"/>
      <c r="CX183" s="185"/>
      <c r="CY183" s="185"/>
      <c r="CZ183" s="185"/>
      <c r="DA183" s="185"/>
      <c r="DB183" s="185"/>
      <c r="DC183" s="185"/>
      <c r="DD183" s="185"/>
      <c r="DE183" s="185"/>
      <c r="DF183" s="185"/>
      <c r="DG183" s="185"/>
      <c r="DH183" s="185"/>
      <c r="DI183" s="185"/>
      <c r="DJ183" s="185"/>
      <c r="DK183" s="185"/>
      <c r="DL183" s="185"/>
      <c r="DM183" s="185"/>
      <c r="DN183" s="185"/>
      <c r="DO183" s="185"/>
      <c r="DP183" s="185"/>
      <c r="DQ183" s="185"/>
      <c r="DR183" s="185"/>
      <c r="DS183" s="185"/>
      <c r="DT183" s="185"/>
      <c r="DU183" s="185"/>
      <c r="DV183" s="185"/>
      <c r="DW183" s="185"/>
      <c r="DX183" s="185"/>
      <c r="DY183" s="185"/>
      <c r="DZ183" s="185"/>
      <c r="EA183" s="185"/>
      <c r="EB183" s="185"/>
      <c r="EC183" s="185"/>
      <c r="ED183" s="185"/>
      <c r="EE183" s="185"/>
      <c r="EF183" s="185"/>
      <c r="EG183" s="185"/>
      <c r="EH183" s="185"/>
      <c r="EI183" s="185"/>
      <c r="EJ183" s="185"/>
      <c r="EK183" s="185"/>
      <c r="EL183" s="185"/>
      <c r="EM183" s="185"/>
      <c r="EN183" s="185"/>
      <c r="EO183" s="185"/>
      <c r="EP183" s="185"/>
      <c r="EQ183" s="185"/>
      <c r="ER183" s="185"/>
      <c r="ES183" s="185"/>
      <c r="ET183" s="185"/>
      <c r="EU183" s="185"/>
      <c r="EV183" s="185"/>
      <c r="EW183" s="185"/>
      <c r="EX183" s="185"/>
      <c r="EY183" s="185"/>
      <c r="EZ183" s="185"/>
      <c r="FA183" s="185"/>
      <c r="FB183" s="185"/>
      <c r="FC183" s="185"/>
      <c r="FD183" s="185"/>
      <c r="FE183" s="185"/>
      <c r="FF183" s="185"/>
      <c r="FG183" s="185"/>
      <c r="FH183" s="185"/>
      <c r="FI183" s="185"/>
      <c r="FJ183" s="185"/>
      <c r="FK183" s="185"/>
    </row>
    <row r="184" spans="1:167" s="186" customFormat="1">
      <c r="A184" s="198"/>
      <c r="B184" s="178"/>
      <c r="C184" s="141"/>
      <c r="D184" s="140"/>
      <c r="E184" s="141"/>
      <c r="F184" s="198"/>
      <c r="G184" s="141"/>
      <c r="H184" s="141"/>
      <c r="I184" s="141"/>
      <c r="J184" s="141"/>
      <c r="K184" s="141"/>
      <c r="L184" s="333"/>
      <c r="M184" s="339"/>
      <c r="N184" s="191"/>
      <c r="O184" s="337"/>
      <c r="P184" s="339"/>
      <c r="Q184" s="179"/>
      <c r="R184" s="180"/>
      <c r="S184" s="181"/>
      <c r="T184" s="182"/>
      <c r="U184" s="141"/>
      <c r="V184" s="182"/>
      <c r="W184" s="183"/>
      <c r="X184" s="185"/>
      <c r="Y184" s="176" t="str">
        <f>IF(Table17[[#This Row],[Required Resolution Date]]="","FALSE",IF($AA$1&gt;Table17[[#This Row],[Required Resolution Date]],"TRUE","FALSE"))</f>
        <v>FALSE</v>
      </c>
      <c r="Z184" s="175">
        <f t="shared" si="15"/>
        <v>0</v>
      </c>
      <c r="AA184" s="185"/>
      <c r="AB184" s="327" t="b">
        <f>OR(Table17[[#This Row],[Priority]]="04. High",Table17[[#This Row],[Priority]]="05. Critical")</f>
        <v>0</v>
      </c>
      <c r="AC184" s="284">
        <f ca="1">$AA$1-Table17[[#This Row],[Date captured]]</f>
        <v>40990</v>
      </c>
      <c r="AD184" s="327" t="b">
        <f t="shared" ca="1" si="16"/>
        <v>0</v>
      </c>
      <c r="AE184" s="327" t="b">
        <f t="shared" ca="1" si="17"/>
        <v>0</v>
      </c>
      <c r="AF184" s="327" t="b">
        <f t="shared" ca="1" si="18"/>
        <v>1</v>
      </c>
      <c r="AG184" s="284">
        <f ca="1">Table17[[#This Row],[Required Resolution Date]]-$AA$1</f>
        <v>-40990</v>
      </c>
      <c r="AH184" s="327" t="b">
        <f t="shared" ca="1" si="19"/>
        <v>0</v>
      </c>
      <c r="AI184" s="327" t="b">
        <f>OR(Table17[[#This Row],[Priority]]="04. High",Table17[[#This Row],[Priority]]="05. Critical",Table17[[#This Row],[Priority]]="03. Moderate")</f>
        <v>0</v>
      </c>
      <c r="AJ184" s="185"/>
      <c r="AK184" s="185"/>
      <c r="AL184" s="185"/>
      <c r="AM184" s="185"/>
      <c r="AN184" s="185"/>
      <c r="AO184" s="185"/>
      <c r="AP184" s="185"/>
      <c r="AQ184" s="185"/>
      <c r="AR184" s="185"/>
      <c r="AS184" s="185"/>
      <c r="AT184" s="185"/>
      <c r="AU184" s="185"/>
      <c r="AV184" s="185"/>
      <c r="AW184" s="185"/>
      <c r="AX184" s="185"/>
      <c r="AY184" s="185"/>
      <c r="AZ184" s="185"/>
      <c r="BA184" s="185"/>
      <c r="BB184" s="185"/>
      <c r="BC184" s="185"/>
      <c r="BD184" s="185"/>
      <c r="BE184" s="185"/>
      <c r="BF184" s="185"/>
      <c r="BG184" s="185"/>
      <c r="BH184" s="185"/>
      <c r="BI184" s="185"/>
      <c r="BJ184" s="185"/>
      <c r="BK184" s="185"/>
      <c r="BL184" s="185"/>
      <c r="BM184" s="185"/>
      <c r="BN184" s="185"/>
      <c r="BO184" s="185"/>
      <c r="BP184" s="185"/>
      <c r="BQ184" s="185"/>
      <c r="BR184" s="185"/>
      <c r="BS184" s="185"/>
      <c r="BT184" s="185"/>
      <c r="BU184" s="185"/>
      <c r="BV184" s="185"/>
      <c r="BW184" s="185"/>
      <c r="BX184" s="185"/>
      <c r="BY184" s="185"/>
      <c r="BZ184" s="185"/>
      <c r="CA184" s="185"/>
      <c r="CB184" s="185"/>
      <c r="CC184" s="185"/>
      <c r="CD184" s="185"/>
      <c r="CE184" s="185"/>
      <c r="CF184" s="185"/>
      <c r="CG184" s="185"/>
      <c r="CH184" s="185"/>
      <c r="CI184" s="185"/>
      <c r="CJ184" s="185"/>
      <c r="CK184" s="185"/>
      <c r="CL184" s="185"/>
      <c r="CM184" s="185"/>
      <c r="CN184" s="185"/>
      <c r="CO184" s="185"/>
      <c r="CP184" s="185"/>
      <c r="CQ184" s="185"/>
      <c r="CR184" s="185"/>
      <c r="CS184" s="185"/>
      <c r="CT184" s="185"/>
      <c r="CU184" s="185"/>
      <c r="CV184" s="185"/>
      <c r="CW184" s="185"/>
      <c r="CX184" s="185"/>
      <c r="CY184" s="185"/>
      <c r="CZ184" s="185"/>
      <c r="DA184" s="185"/>
      <c r="DB184" s="185"/>
      <c r="DC184" s="185"/>
      <c r="DD184" s="185"/>
      <c r="DE184" s="185"/>
      <c r="DF184" s="185"/>
      <c r="DG184" s="185"/>
      <c r="DH184" s="185"/>
      <c r="DI184" s="185"/>
      <c r="DJ184" s="185"/>
      <c r="DK184" s="185"/>
      <c r="DL184" s="185"/>
      <c r="DM184" s="185"/>
      <c r="DN184" s="185"/>
      <c r="DO184" s="185"/>
      <c r="DP184" s="185"/>
      <c r="DQ184" s="185"/>
      <c r="DR184" s="185"/>
      <c r="DS184" s="185"/>
      <c r="DT184" s="185"/>
      <c r="DU184" s="185"/>
      <c r="DV184" s="185"/>
      <c r="DW184" s="185"/>
      <c r="DX184" s="185"/>
      <c r="DY184" s="185"/>
      <c r="DZ184" s="185"/>
      <c r="EA184" s="185"/>
      <c r="EB184" s="185"/>
      <c r="EC184" s="185"/>
      <c r="ED184" s="185"/>
      <c r="EE184" s="185"/>
      <c r="EF184" s="185"/>
      <c r="EG184" s="185"/>
      <c r="EH184" s="185"/>
      <c r="EI184" s="185"/>
      <c r="EJ184" s="185"/>
      <c r="EK184" s="185"/>
      <c r="EL184" s="185"/>
      <c r="EM184" s="185"/>
      <c r="EN184" s="185"/>
      <c r="EO184" s="185"/>
      <c r="EP184" s="185"/>
      <c r="EQ184" s="185"/>
      <c r="ER184" s="185"/>
      <c r="ES184" s="185"/>
      <c r="ET184" s="185"/>
      <c r="EU184" s="185"/>
      <c r="EV184" s="185"/>
      <c r="EW184" s="185"/>
      <c r="EX184" s="185"/>
      <c r="EY184" s="185"/>
      <c r="EZ184" s="185"/>
      <c r="FA184" s="185"/>
      <c r="FB184" s="185"/>
      <c r="FC184" s="185"/>
      <c r="FD184" s="185"/>
      <c r="FE184" s="185"/>
      <c r="FF184" s="185"/>
      <c r="FG184" s="185"/>
      <c r="FH184" s="185"/>
      <c r="FI184" s="185"/>
      <c r="FJ184" s="185"/>
      <c r="FK184" s="185"/>
    </row>
    <row r="185" spans="1:167" s="186" customFormat="1">
      <c r="A185" s="198"/>
      <c r="B185" s="178"/>
      <c r="C185" s="141"/>
      <c r="D185" s="140"/>
      <c r="E185" s="141"/>
      <c r="F185" s="198"/>
      <c r="G185" s="141"/>
      <c r="H185" s="141"/>
      <c r="I185" s="141"/>
      <c r="J185" s="141"/>
      <c r="K185" s="141"/>
      <c r="L185" s="333"/>
      <c r="M185" s="339"/>
      <c r="N185" s="191"/>
      <c r="O185" s="337"/>
      <c r="P185" s="339"/>
      <c r="Q185" s="179"/>
      <c r="R185" s="180"/>
      <c r="S185" s="181"/>
      <c r="T185" s="182"/>
      <c r="U185" s="141"/>
      <c r="V185" s="182"/>
      <c r="W185" s="183"/>
      <c r="X185" s="185"/>
      <c r="Y185" s="176" t="str">
        <f>IF(Table17[[#This Row],[Required Resolution Date]]="","FALSE",IF($AA$1&gt;Table17[[#This Row],[Required Resolution Date]],"TRUE","FALSE"))</f>
        <v>FALSE</v>
      </c>
      <c r="Z185" s="175">
        <f t="shared" si="15"/>
        <v>0</v>
      </c>
      <c r="AA185" s="185"/>
      <c r="AB185" s="327" t="b">
        <f>OR(Table17[[#This Row],[Priority]]="04. High",Table17[[#This Row],[Priority]]="05. Critical")</f>
        <v>0</v>
      </c>
      <c r="AC185" s="284">
        <f ca="1">$AA$1-Table17[[#This Row],[Date captured]]</f>
        <v>40990</v>
      </c>
      <c r="AD185" s="327" t="b">
        <f t="shared" ca="1" si="16"/>
        <v>0</v>
      </c>
      <c r="AE185" s="327" t="b">
        <f t="shared" ca="1" si="17"/>
        <v>0</v>
      </c>
      <c r="AF185" s="327" t="b">
        <f t="shared" ca="1" si="18"/>
        <v>1</v>
      </c>
      <c r="AG185" s="284">
        <f ca="1">Table17[[#This Row],[Required Resolution Date]]-$AA$1</f>
        <v>-40990</v>
      </c>
      <c r="AH185" s="327" t="b">
        <f t="shared" ca="1" si="19"/>
        <v>0</v>
      </c>
      <c r="AI185" s="327" t="b">
        <f>OR(Table17[[#This Row],[Priority]]="04. High",Table17[[#This Row],[Priority]]="05. Critical",Table17[[#This Row],[Priority]]="03. Moderate")</f>
        <v>0</v>
      </c>
      <c r="AJ185" s="185"/>
      <c r="AK185" s="185"/>
      <c r="AL185" s="185"/>
      <c r="AM185" s="185"/>
      <c r="AN185" s="185"/>
      <c r="AO185" s="185"/>
      <c r="AP185" s="185"/>
      <c r="AQ185" s="185"/>
      <c r="AR185" s="185"/>
      <c r="AS185" s="185"/>
      <c r="AT185" s="185"/>
      <c r="AU185" s="185"/>
      <c r="AV185" s="185"/>
      <c r="AW185" s="185"/>
      <c r="AX185" s="185"/>
      <c r="AY185" s="185"/>
      <c r="AZ185" s="185"/>
      <c r="BA185" s="185"/>
      <c r="BB185" s="185"/>
      <c r="BC185" s="185"/>
      <c r="BD185" s="185"/>
      <c r="BE185" s="185"/>
      <c r="BF185" s="185"/>
      <c r="BG185" s="185"/>
      <c r="BH185" s="185"/>
      <c r="BI185" s="185"/>
      <c r="BJ185" s="185"/>
      <c r="BK185" s="185"/>
      <c r="BL185" s="185"/>
      <c r="BM185" s="185"/>
      <c r="BN185" s="185"/>
      <c r="BO185" s="185"/>
      <c r="BP185" s="185"/>
      <c r="BQ185" s="185"/>
      <c r="BR185" s="185"/>
      <c r="BS185" s="185"/>
      <c r="BT185" s="185"/>
      <c r="BU185" s="185"/>
      <c r="BV185" s="185"/>
      <c r="BW185" s="185"/>
      <c r="BX185" s="185"/>
      <c r="BY185" s="185"/>
      <c r="BZ185" s="185"/>
      <c r="CA185" s="185"/>
      <c r="CB185" s="185"/>
      <c r="CC185" s="185"/>
      <c r="CD185" s="185"/>
      <c r="CE185" s="185"/>
      <c r="CF185" s="185"/>
      <c r="CG185" s="185"/>
      <c r="CH185" s="185"/>
      <c r="CI185" s="185"/>
      <c r="CJ185" s="185"/>
      <c r="CK185" s="185"/>
      <c r="CL185" s="185"/>
      <c r="CM185" s="185"/>
      <c r="CN185" s="185"/>
      <c r="CO185" s="185"/>
      <c r="CP185" s="185"/>
      <c r="CQ185" s="185"/>
      <c r="CR185" s="185"/>
      <c r="CS185" s="185"/>
      <c r="CT185" s="185"/>
      <c r="CU185" s="185"/>
      <c r="CV185" s="185"/>
      <c r="CW185" s="185"/>
      <c r="CX185" s="185"/>
      <c r="CY185" s="185"/>
      <c r="CZ185" s="185"/>
      <c r="DA185" s="185"/>
      <c r="DB185" s="185"/>
      <c r="DC185" s="185"/>
      <c r="DD185" s="185"/>
      <c r="DE185" s="185"/>
      <c r="DF185" s="185"/>
      <c r="DG185" s="185"/>
      <c r="DH185" s="185"/>
      <c r="DI185" s="185"/>
      <c r="DJ185" s="185"/>
      <c r="DK185" s="185"/>
      <c r="DL185" s="185"/>
      <c r="DM185" s="185"/>
      <c r="DN185" s="185"/>
      <c r="DO185" s="185"/>
      <c r="DP185" s="185"/>
      <c r="DQ185" s="185"/>
      <c r="DR185" s="185"/>
      <c r="DS185" s="185"/>
      <c r="DT185" s="185"/>
      <c r="DU185" s="185"/>
      <c r="DV185" s="185"/>
      <c r="DW185" s="185"/>
      <c r="DX185" s="185"/>
      <c r="DY185" s="185"/>
      <c r="DZ185" s="185"/>
      <c r="EA185" s="185"/>
      <c r="EB185" s="185"/>
      <c r="EC185" s="185"/>
      <c r="ED185" s="185"/>
      <c r="EE185" s="185"/>
      <c r="EF185" s="185"/>
      <c r="EG185" s="185"/>
      <c r="EH185" s="185"/>
      <c r="EI185" s="185"/>
      <c r="EJ185" s="185"/>
      <c r="EK185" s="185"/>
      <c r="EL185" s="185"/>
      <c r="EM185" s="185"/>
      <c r="EN185" s="185"/>
      <c r="EO185" s="185"/>
      <c r="EP185" s="185"/>
      <c r="EQ185" s="185"/>
      <c r="ER185" s="185"/>
      <c r="ES185" s="185"/>
      <c r="ET185" s="185"/>
      <c r="EU185" s="185"/>
      <c r="EV185" s="185"/>
      <c r="EW185" s="185"/>
      <c r="EX185" s="185"/>
      <c r="EY185" s="185"/>
      <c r="EZ185" s="185"/>
      <c r="FA185" s="185"/>
      <c r="FB185" s="185"/>
      <c r="FC185" s="185"/>
      <c r="FD185" s="185"/>
      <c r="FE185" s="185"/>
      <c r="FF185" s="185"/>
      <c r="FG185" s="185"/>
      <c r="FH185" s="185"/>
      <c r="FI185" s="185"/>
      <c r="FJ185" s="185"/>
      <c r="FK185" s="185"/>
    </row>
    <row r="186" spans="1:167" s="186" customFormat="1">
      <c r="A186" s="198"/>
      <c r="B186" s="178"/>
      <c r="C186" s="141"/>
      <c r="D186" s="140"/>
      <c r="E186" s="141"/>
      <c r="F186" s="198"/>
      <c r="G186" s="141"/>
      <c r="H186" s="141"/>
      <c r="I186" s="141"/>
      <c r="J186" s="141"/>
      <c r="K186" s="141"/>
      <c r="L186" s="333"/>
      <c r="M186" s="339"/>
      <c r="N186" s="191"/>
      <c r="O186" s="337"/>
      <c r="P186" s="339"/>
      <c r="Q186" s="179"/>
      <c r="R186" s="180"/>
      <c r="S186" s="181"/>
      <c r="T186" s="182"/>
      <c r="U186" s="141"/>
      <c r="V186" s="182"/>
      <c r="W186" s="183"/>
      <c r="X186" s="185"/>
      <c r="Y186" s="176" t="str">
        <f>IF(Table17[[#This Row],[Required Resolution Date]]="","FALSE",IF($AA$1&gt;Table17[[#This Row],[Required Resolution Date]],"TRUE","FALSE"))</f>
        <v>FALSE</v>
      </c>
      <c r="Z186" s="175">
        <f t="shared" si="15"/>
        <v>0</v>
      </c>
      <c r="AA186" s="185"/>
      <c r="AB186" s="327" t="b">
        <f>OR(Table17[[#This Row],[Priority]]="04. High",Table17[[#This Row],[Priority]]="05. Critical")</f>
        <v>0</v>
      </c>
      <c r="AC186" s="284">
        <f ca="1">$AA$1-Table17[[#This Row],[Date captured]]</f>
        <v>40990</v>
      </c>
      <c r="AD186" s="327" t="b">
        <f t="shared" ca="1" si="16"/>
        <v>0</v>
      </c>
      <c r="AE186" s="327" t="b">
        <f t="shared" ca="1" si="17"/>
        <v>0</v>
      </c>
      <c r="AF186" s="327" t="b">
        <f t="shared" ca="1" si="18"/>
        <v>1</v>
      </c>
      <c r="AG186" s="284">
        <f ca="1">Table17[[#This Row],[Required Resolution Date]]-$AA$1</f>
        <v>-40990</v>
      </c>
      <c r="AH186" s="327" t="b">
        <f t="shared" ca="1" si="19"/>
        <v>0</v>
      </c>
      <c r="AI186" s="327" t="b">
        <f>OR(Table17[[#This Row],[Priority]]="04. High",Table17[[#This Row],[Priority]]="05. Critical",Table17[[#This Row],[Priority]]="03. Moderate")</f>
        <v>0</v>
      </c>
      <c r="AJ186" s="185"/>
      <c r="AK186" s="185"/>
      <c r="AL186" s="185"/>
      <c r="AM186" s="185"/>
      <c r="AN186" s="185"/>
      <c r="AO186" s="185"/>
      <c r="AP186" s="185"/>
      <c r="AQ186" s="185"/>
      <c r="AR186" s="185"/>
      <c r="AS186" s="185"/>
      <c r="AT186" s="185"/>
      <c r="AU186" s="185"/>
      <c r="AV186" s="185"/>
      <c r="AW186" s="185"/>
      <c r="AX186" s="185"/>
      <c r="AY186" s="185"/>
      <c r="AZ186" s="185"/>
      <c r="BA186" s="185"/>
      <c r="BB186" s="185"/>
      <c r="BC186" s="185"/>
      <c r="BD186" s="185"/>
      <c r="BE186" s="185"/>
      <c r="BF186" s="185"/>
      <c r="BG186" s="185"/>
      <c r="BH186" s="185"/>
      <c r="BI186" s="185"/>
      <c r="BJ186" s="185"/>
      <c r="BK186" s="185"/>
      <c r="BL186" s="185"/>
      <c r="BM186" s="185"/>
      <c r="BN186" s="185"/>
      <c r="BO186" s="185"/>
      <c r="BP186" s="185"/>
      <c r="BQ186" s="185"/>
      <c r="BR186" s="185"/>
      <c r="BS186" s="185"/>
      <c r="BT186" s="185"/>
      <c r="BU186" s="185"/>
      <c r="BV186" s="185"/>
      <c r="BW186" s="185"/>
      <c r="BX186" s="185"/>
      <c r="BY186" s="185"/>
      <c r="BZ186" s="185"/>
      <c r="CA186" s="185"/>
      <c r="CB186" s="185"/>
      <c r="CC186" s="185"/>
      <c r="CD186" s="185"/>
      <c r="CE186" s="185"/>
      <c r="CF186" s="185"/>
      <c r="CG186" s="185"/>
      <c r="CH186" s="185"/>
      <c r="CI186" s="185"/>
      <c r="CJ186" s="185"/>
      <c r="CK186" s="185"/>
      <c r="CL186" s="185"/>
      <c r="CM186" s="185"/>
      <c r="CN186" s="185"/>
      <c r="CO186" s="185"/>
      <c r="CP186" s="185"/>
      <c r="CQ186" s="185"/>
      <c r="CR186" s="185"/>
      <c r="CS186" s="185"/>
      <c r="CT186" s="185"/>
      <c r="CU186" s="185"/>
      <c r="CV186" s="185"/>
      <c r="CW186" s="185"/>
      <c r="CX186" s="185"/>
      <c r="CY186" s="185"/>
      <c r="CZ186" s="185"/>
      <c r="DA186" s="185"/>
      <c r="DB186" s="185"/>
      <c r="DC186" s="185"/>
      <c r="DD186" s="185"/>
      <c r="DE186" s="185"/>
      <c r="DF186" s="185"/>
      <c r="DG186" s="185"/>
      <c r="DH186" s="185"/>
      <c r="DI186" s="185"/>
      <c r="DJ186" s="185"/>
      <c r="DK186" s="185"/>
      <c r="DL186" s="185"/>
      <c r="DM186" s="185"/>
      <c r="DN186" s="185"/>
      <c r="DO186" s="185"/>
      <c r="DP186" s="185"/>
      <c r="DQ186" s="185"/>
      <c r="DR186" s="185"/>
      <c r="DS186" s="185"/>
      <c r="DT186" s="185"/>
      <c r="DU186" s="185"/>
      <c r="DV186" s="185"/>
      <c r="DW186" s="185"/>
      <c r="DX186" s="185"/>
      <c r="DY186" s="185"/>
      <c r="DZ186" s="185"/>
      <c r="EA186" s="185"/>
      <c r="EB186" s="185"/>
      <c r="EC186" s="185"/>
      <c r="ED186" s="185"/>
      <c r="EE186" s="185"/>
      <c r="EF186" s="185"/>
      <c r="EG186" s="185"/>
      <c r="EH186" s="185"/>
      <c r="EI186" s="185"/>
      <c r="EJ186" s="185"/>
      <c r="EK186" s="185"/>
      <c r="EL186" s="185"/>
      <c r="EM186" s="185"/>
      <c r="EN186" s="185"/>
      <c r="EO186" s="185"/>
      <c r="EP186" s="185"/>
      <c r="EQ186" s="185"/>
      <c r="ER186" s="185"/>
      <c r="ES186" s="185"/>
      <c r="ET186" s="185"/>
      <c r="EU186" s="185"/>
      <c r="EV186" s="185"/>
      <c r="EW186" s="185"/>
      <c r="EX186" s="185"/>
      <c r="EY186" s="185"/>
      <c r="EZ186" s="185"/>
      <c r="FA186" s="185"/>
      <c r="FB186" s="185"/>
      <c r="FC186" s="185"/>
      <c r="FD186" s="185"/>
      <c r="FE186" s="185"/>
      <c r="FF186" s="185"/>
      <c r="FG186" s="185"/>
      <c r="FH186" s="185"/>
      <c r="FI186" s="185"/>
      <c r="FJ186" s="185"/>
      <c r="FK186" s="185"/>
    </row>
    <row r="187" spans="1:167" s="186" customFormat="1">
      <c r="A187" s="198"/>
      <c r="B187" s="178"/>
      <c r="C187" s="141"/>
      <c r="D187" s="140"/>
      <c r="E187" s="141"/>
      <c r="F187" s="198"/>
      <c r="G187" s="141"/>
      <c r="H187" s="141"/>
      <c r="I187" s="141"/>
      <c r="J187" s="141"/>
      <c r="K187" s="141"/>
      <c r="L187" s="333"/>
      <c r="M187" s="339"/>
      <c r="N187" s="191"/>
      <c r="O187" s="337"/>
      <c r="P187" s="339"/>
      <c r="Q187" s="179"/>
      <c r="R187" s="180"/>
      <c r="S187" s="181"/>
      <c r="T187" s="182"/>
      <c r="U187" s="141"/>
      <c r="V187" s="182"/>
      <c r="W187" s="183"/>
      <c r="X187" s="185"/>
      <c r="Y187" s="176" t="str">
        <f>IF(Table17[[#This Row],[Required Resolution Date]]="","FALSE",IF($AA$1&gt;Table17[[#This Row],[Required Resolution Date]],"TRUE","FALSE"))</f>
        <v>FALSE</v>
      </c>
      <c r="Z187" s="175">
        <f t="shared" si="15"/>
        <v>0</v>
      </c>
      <c r="AA187" s="185"/>
      <c r="AB187" s="327" t="b">
        <f>OR(Table17[[#This Row],[Priority]]="04. High",Table17[[#This Row],[Priority]]="05. Critical")</f>
        <v>0</v>
      </c>
      <c r="AC187" s="284">
        <f ca="1">$AA$1-Table17[[#This Row],[Date captured]]</f>
        <v>40990</v>
      </c>
      <c r="AD187" s="327" t="b">
        <f t="shared" ca="1" si="16"/>
        <v>0</v>
      </c>
      <c r="AE187" s="327" t="b">
        <f t="shared" ca="1" si="17"/>
        <v>0</v>
      </c>
      <c r="AF187" s="327" t="b">
        <f t="shared" ca="1" si="18"/>
        <v>1</v>
      </c>
      <c r="AG187" s="284">
        <f ca="1">Table17[[#This Row],[Required Resolution Date]]-$AA$1</f>
        <v>-40990</v>
      </c>
      <c r="AH187" s="327" t="b">
        <f t="shared" ca="1" si="19"/>
        <v>0</v>
      </c>
      <c r="AI187" s="327" t="b">
        <f>OR(Table17[[#This Row],[Priority]]="04. High",Table17[[#This Row],[Priority]]="05. Critical",Table17[[#This Row],[Priority]]="03. Moderate")</f>
        <v>0</v>
      </c>
      <c r="AJ187" s="185"/>
      <c r="AK187" s="185"/>
      <c r="AL187" s="185"/>
      <c r="AM187" s="185"/>
      <c r="AN187" s="185"/>
      <c r="AO187" s="185"/>
      <c r="AP187" s="185"/>
      <c r="AQ187" s="185"/>
      <c r="AR187" s="185"/>
      <c r="AS187" s="185"/>
      <c r="AT187" s="185"/>
      <c r="AU187" s="185"/>
      <c r="AV187" s="185"/>
      <c r="AW187" s="185"/>
      <c r="AX187" s="185"/>
      <c r="AY187" s="185"/>
      <c r="AZ187" s="185"/>
      <c r="BA187" s="185"/>
      <c r="BB187" s="185"/>
      <c r="BC187" s="185"/>
      <c r="BD187" s="185"/>
      <c r="BE187" s="185"/>
      <c r="BF187" s="185"/>
      <c r="BG187" s="185"/>
      <c r="BH187" s="185"/>
      <c r="BI187" s="185"/>
      <c r="BJ187" s="185"/>
      <c r="BK187" s="185"/>
      <c r="BL187" s="185"/>
      <c r="BM187" s="185"/>
      <c r="BN187" s="185"/>
      <c r="BO187" s="185"/>
      <c r="BP187" s="185"/>
      <c r="BQ187" s="185"/>
      <c r="BR187" s="185"/>
      <c r="BS187" s="185"/>
      <c r="BT187" s="185"/>
      <c r="BU187" s="185"/>
      <c r="BV187" s="185"/>
      <c r="BW187" s="185"/>
      <c r="BX187" s="185"/>
      <c r="BY187" s="185"/>
      <c r="BZ187" s="185"/>
      <c r="CA187" s="185"/>
      <c r="CB187" s="185"/>
      <c r="CC187" s="185"/>
      <c r="CD187" s="185"/>
      <c r="CE187" s="185"/>
      <c r="CF187" s="185"/>
      <c r="CG187" s="185"/>
      <c r="CH187" s="185"/>
      <c r="CI187" s="185"/>
      <c r="CJ187" s="185"/>
      <c r="CK187" s="185"/>
      <c r="CL187" s="185"/>
      <c r="CM187" s="185"/>
      <c r="CN187" s="185"/>
      <c r="CO187" s="185"/>
      <c r="CP187" s="185"/>
      <c r="CQ187" s="185"/>
      <c r="CR187" s="185"/>
      <c r="CS187" s="185"/>
      <c r="CT187" s="185"/>
      <c r="CU187" s="185"/>
      <c r="CV187" s="185"/>
      <c r="CW187" s="185"/>
      <c r="CX187" s="185"/>
      <c r="CY187" s="185"/>
      <c r="CZ187" s="185"/>
      <c r="DA187" s="185"/>
      <c r="DB187" s="185"/>
      <c r="DC187" s="185"/>
      <c r="DD187" s="185"/>
      <c r="DE187" s="185"/>
      <c r="DF187" s="185"/>
      <c r="DG187" s="185"/>
      <c r="DH187" s="185"/>
      <c r="DI187" s="185"/>
      <c r="DJ187" s="185"/>
      <c r="DK187" s="185"/>
      <c r="DL187" s="185"/>
      <c r="DM187" s="185"/>
      <c r="DN187" s="185"/>
      <c r="DO187" s="185"/>
      <c r="DP187" s="185"/>
      <c r="DQ187" s="185"/>
      <c r="DR187" s="185"/>
      <c r="DS187" s="185"/>
      <c r="DT187" s="185"/>
      <c r="DU187" s="185"/>
      <c r="DV187" s="185"/>
      <c r="DW187" s="185"/>
      <c r="DX187" s="185"/>
      <c r="DY187" s="185"/>
      <c r="DZ187" s="185"/>
      <c r="EA187" s="185"/>
      <c r="EB187" s="185"/>
      <c r="EC187" s="185"/>
      <c r="ED187" s="185"/>
      <c r="EE187" s="185"/>
      <c r="EF187" s="185"/>
      <c r="EG187" s="185"/>
      <c r="EH187" s="185"/>
      <c r="EI187" s="185"/>
      <c r="EJ187" s="185"/>
      <c r="EK187" s="185"/>
      <c r="EL187" s="185"/>
      <c r="EM187" s="185"/>
      <c r="EN187" s="185"/>
      <c r="EO187" s="185"/>
      <c r="EP187" s="185"/>
      <c r="EQ187" s="185"/>
      <c r="ER187" s="185"/>
      <c r="ES187" s="185"/>
      <c r="ET187" s="185"/>
      <c r="EU187" s="185"/>
      <c r="EV187" s="185"/>
      <c r="EW187" s="185"/>
      <c r="EX187" s="185"/>
      <c r="EY187" s="185"/>
      <c r="EZ187" s="185"/>
      <c r="FA187" s="185"/>
      <c r="FB187" s="185"/>
      <c r="FC187" s="185"/>
      <c r="FD187" s="185"/>
      <c r="FE187" s="185"/>
      <c r="FF187" s="185"/>
      <c r="FG187" s="185"/>
      <c r="FH187" s="185"/>
      <c r="FI187" s="185"/>
      <c r="FJ187" s="185"/>
      <c r="FK187" s="185"/>
    </row>
    <row r="188" spans="1:167" s="186" customFormat="1">
      <c r="A188" s="198"/>
      <c r="B188" s="178"/>
      <c r="C188" s="141"/>
      <c r="D188" s="140"/>
      <c r="E188" s="141"/>
      <c r="F188" s="198"/>
      <c r="G188" s="141"/>
      <c r="H188" s="141"/>
      <c r="I188" s="141"/>
      <c r="J188" s="141"/>
      <c r="K188" s="141"/>
      <c r="L188" s="333"/>
      <c r="M188" s="339"/>
      <c r="N188" s="191"/>
      <c r="O188" s="337"/>
      <c r="P188" s="339"/>
      <c r="Q188" s="179"/>
      <c r="R188" s="180"/>
      <c r="S188" s="181"/>
      <c r="T188" s="182"/>
      <c r="U188" s="141"/>
      <c r="V188" s="182"/>
      <c r="W188" s="183"/>
      <c r="X188" s="185"/>
      <c r="Y188" s="176" t="str">
        <f>IF(Table17[[#This Row],[Required Resolution Date]]="","FALSE",IF($AA$1&gt;Table17[[#This Row],[Required Resolution Date]],"TRUE","FALSE"))</f>
        <v>FALSE</v>
      </c>
      <c r="Z188" s="175">
        <f t="shared" si="15"/>
        <v>0</v>
      </c>
      <c r="AA188" s="185"/>
      <c r="AB188" s="327" t="b">
        <f>OR(Table17[[#This Row],[Priority]]="04. High",Table17[[#This Row],[Priority]]="05. Critical")</f>
        <v>0</v>
      </c>
      <c r="AC188" s="284">
        <f ca="1">$AA$1-Table17[[#This Row],[Date captured]]</f>
        <v>40990</v>
      </c>
      <c r="AD188" s="327" t="b">
        <f t="shared" ca="1" si="16"/>
        <v>0</v>
      </c>
      <c r="AE188" s="327" t="b">
        <f t="shared" ca="1" si="17"/>
        <v>0</v>
      </c>
      <c r="AF188" s="327" t="b">
        <f t="shared" ca="1" si="18"/>
        <v>1</v>
      </c>
      <c r="AG188" s="284">
        <f ca="1">Table17[[#This Row],[Required Resolution Date]]-$AA$1</f>
        <v>-40990</v>
      </c>
      <c r="AH188" s="327" t="b">
        <f t="shared" ca="1" si="19"/>
        <v>0</v>
      </c>
      <c r="AI188" s="327" t="b">
        <f>OR(Table17[[#This Row],[Priority]]="04. High",Table17[[#This Row],[Priority]]="05. Critical",Table17[[#This Row],[Priority]]="03. Moderate")</f>
        <v>0</v>
      </c>
      <c r="AJ188" s="185"/>
      <c r="AK188" s="185"/>
      <c r="AL188" s="185"/>
      <c r="AM188" s="185"/>
      <c r="AN188" s="185"/>
      <c r="AO188" s="185"/>
      <c r="AP188" s="185"/>
      <c r="AQ188" s="185"/>
      <c r="AR188" s="185"/>
      <c r="AS188" s="185"/>
      <c r="AT188" s="185"/>
      <c r="AU188" s="185"/>
      <c r="AV188" s="185"/>
      <c r="AW188" s="185"/>
      <c r="AX188" s="185"/>
      <c r="AY188" s="185"/>
      <c r="AZ188" s="185"/>
      <c r="BA188" s="185"/>
      <c r="BB188" s="185"/>
      <c r="BC188" s="185"/>
      <c r="BD188" s="185"/>
      <c r="BE188" s="185"/>
      <c r="BF188" s="185"/>
      <c r="BG188" s="185"/>
      <c r="BH188" s="185"/>
      <c r="BI188" s="185"/>
      <c r="BJ188" s="185"/>
      <c r="BK188" s="185"/>
      <c r="BL188" s="185"/>
      <c r="BM188" s="185"/>
      <c r="BN188" s="185"/>
      <c r="BO188" s="185"/>
      <c r="BP188" s="185"/>
      <c r="BQ188" s="185"/>
      <c r="BR188" s="185"/>
      <c r="BS188" s="185"/>
      <c r="BT188" s="185"/>
      <c r="BU188" s="185"/>
      <c r="BV188" s="185"/>
      <c r="BW188" s="185"/>
      <c r="BX188" s="185"/>
      <c r="BY188" s="185"/>
      <c r="BZ188" s="185"/>
      <c r="CA188" s="185"/>
      <c r="CB188" s="185"/>
      <c r="CC188" s="185"/>
      <c r="CD188" s="185"/>
      <c r="CE188" s="185"/>
      <c r="CF188" s="185"/>
      <c r="CG188" s="185"/>
      <c r="CH188" s="185"/>
      <c r="CI188" s="185"/>
      <c r="CJ188" s="185"/>
      <c r="CK188" s="185"/>
      <c r="CL188" s="185"/>
      <c r="CM188" s="185"/>
      <c r="CN188" s="185"/>
      <c r="CO188" s="185"/>
      <c r="CP188" s="185"/>
      <c r="CQ188" s="185"/>
      <c r="CR188" s="185"/>
      <c r="CS188" s="185"/>
      <c r="CT188" s="185"/>
      <c r="CU188" s="185"/>
      <c r="CV188" s="185"/>
      <c r="CW188" s="185"/>
      <c r="CX188" s="185"/>
      <c r="CY188" s="185"/>
      <c r="CZ188" s="185"/>
      <c r="DA188" s="185"/>
      <c r="DB188" s="185"/>
      <c r="DC188" s="185"/>
      <c r="DD188" s="185"/>
      <c r="DE188" s="185"/>
      <c r="DF188" s="185"/>
      <c r="DG188" s="185"/>
      <c r="DH188" s="185"/>
      <c r="DI188" s="185"/>
      <c r="DJ188" s="185"/>
      <c r="DK188" s="185"/>
      <c r="DL188" s="185"/>
      <c r="DM188" s="185"/>
      <c r="DN188" s="185"/>
      <c r="DO188" s="185"/>
      <c r="DP188" s="185"/>
      <c r="DQ188" s="185"/>
      <c r="DR188" s="185"/>
      <c r="DS188" s="185"/>
      <c r="DT188" s="185"/>
      <c r="DU188" s="185"/>
      <c r="DV188" s="185"/>
      <c r="DW188" s="185"/>
      <c r="DX188" s="185"/>
      <c r="DY188" s="185"/>
      <c r="DZ188" s="185"/>
      <c r="EA188" s="185"/>
      <c r="EB188" s="185"/>
      <c r="EC188" s="185"/>
      <c r="ED188" s="185"/>
      <c r="EE188" s="185"/>
      <c r="EF188" s="185"/>
      <c r="EG188" s="185"/>
      <c r="EH188" s="185"/>
      <c r="EI188" s="185"/>
      <c r="EJ188" s="185"/>
      <c r="EK188" s="185"/>
      <c r="EL188" s="185"/>
      <c r="EM188" s="185"/>
      <c r="EN188" s="185"/>
      <c r="EO188" s="185"/>
      <c r="EP188" s="185"/>
      <c r="EQ188" s="185"/>
      <c r="ER188" s="185"/>
      <c r="ES188" s="185"/>
      <c r="ET188" s="185"/>
      <c r="EU188" s="185"/>
      <c r="EV188" s="185"/>
      <c r="EW188" s="185"/>
      <c r="EX188" s="185"/>
      <c r="EY188" s="185"/>
      <c r="EZ188" s="185"/>
      <c r="FA188" s="185"/>
      <c r="FB188" s="185"/>
      <c r="FC188" s="185"/>
      <c r="FD188" s="185"/>
      <c r="FE188" s="185"/>
      <c r="FF188" s="185"/>
      <c r="FG188" s="185"/>
      <c r="FH188" s="185"/>
      <c r="FI188" s="185"/>
      <c r="FJ188" s="185"/>
      <c r="FK188" s="185"/>
    </row>
    <row r="189" spans="1:167" s="186" customFormat="1">
      <c r="A189" s="198"/>
      <c r="B189" s="178"/>
      <c r="C189" s="141"/>
      <c r="D189" s="140"/>
      <c r="E189" s="141"/>
      <c r="F189" s="198"/>
      <c r="G189" s="141"/>
      <c r="H189" s="141"/>
      <c r="I189" s="141"/>
      <c r="J189" s="141"/>
      <c r="K189" s="141"/>
      <c r="L189" s="333"/>
      <c r="M189" s="339"/>
      <c r="N189" s="191"/>
      <c r="O189" s="337"/>
      <c r="P189" s="339"/>
      <c r="Q189" s="179"/>
      <c r="R189" s="180"/>
      <c r="S189" s="181"/>
      <c r="T189" s="182"/>
      <c r="U189" s="141"/>
      <c r="V189" s="182"/>
      <c r="W189" s="183"/>
      <c r="X189" s="185"/>
      <c r="Y189" s="176" t="str">
        <f>IF(Table17[[#This Row],[Required Resolution Date]]="","FALSE",IF($AA$1&gt;Table17[[#This Row],[Required Resolution Date]],"TRUE","FALSE"))</f>
        <v>FALSE</v>
      </c>
      <c r="Z189" s="175">
        <f t="shared" si="15"/>
        <v>0</v>
      </c>
      <c r="AA189" s="185"/>
      <c r="AB189" s="327" t="b">
        <f>OR(Table17[[#This Row],[Priority]]="04. High",Table17[[#This Row],[Priority]]="05. Critical")</f>
        <v>0</v>
      </c>
      <c r="AC189" s="284">
        <f ca="1">$AA$1-Table17[[#This Row],[Date captured]]</f>
        <v>40990</v>
      </c>
      <c r="AD189" s="327" t="b">
        <f t="shared" ca="1" si="16"/>
        <v>0</v>
      </c>
      <c r="AE189" s="327" t="b">
        <f t="shared" ca="1" si="17"/>
        <v>0</v>
      </c>
      <c r="AF189" s="327" t="b">
        <f t="shared" ca="1" si="18"/>
        <v>1</v>
      </c>
      <c r="AG189" s="284">
        <f ca="1">Table17[[#This Row],[Required Resolution Date]]-$AA$1</f>
        <v>-40990</v>
      </c>
      <c r="AH189" s="327" t="b">
        <f t="shared" ca="1" si="19"/>
        <v>0</v>
      </c>
      <c r="AI189" s="327" t="b">
        <f>OR(Table17[[#This Row],[Priority]]="04. High",Table17[[#This Row],[Priority]]="05. Critical",Table17[[#This Row],[Priority]]="03. Moderate")</f>
        <v>0</v>
      </c>
      <c r="AJ189" s="185"/>
      <c r="AK189" s="185"/>
      <c r="AL189" s="185"/>
      <c r="AM189" s="185"/>
      <c r="AN189" s="185"/>
      <c r="AO189" s="185"/>
      <c r="AP189" s="185"/>
      <c r="AQ189" s="185"/>
      <c r="AR189" s="185"/>
      <c r="AS189" s="185"/>
      <c r="AT189" s="185"/>
      <c r="AU189" s="185"/>
      <c r="AV189" s="185"/>
      <c r="AW189" s="185"/>
      <c r="AX189" s="185"/>
      <c r="AY189" s="185"/>
      <c r="AZ189" s="185"/>
      <c r="BA189" s="185"/>
      <c r="BB189" s="185"/>
      <c r="BC189" s="185"/>
      <c r="BD189" s="185"/>
      <c r="BE189" s="185"/>
      <c r="BF189" s="185"/>
      <c r="BG189" s="185"/>
      <c r="BH189" s="185"/>
      <c r="BI189" s="185"/>
      <c r="BJ189" s="185"/>
      <c r="BK189" s="185"/>
      <c r="BL189" s="185"/>
      <c r="BM189" s="185"/>
      <c r="BN189" s="185"/>
      <c r="BO189" s="185"/>
      <c r="BP189" s="185"/>
      <c r="BQ189" s="185"/>
      <c r="BR189" s="185"/>
      <c r="BS189" s="185"/>
      <c r="BT189" s="185"/>
      <c r="BU189" s="185"/>
      <c r="BV189" s="185"/>
      <c r="BW189" s="185"/>
      <c r="BX189" s="185"/>
      <c r="BY189" s="185"/>
      <c r="BZ189" s="185"/>
      <c r="CA189" s="185"/>
      <c r="CB189" s="185"/>
      <c r="CC189" s="185"/>
      <c r="CD189" s="185"/>
      <c r="CE189" s="185"/>
      <c r="CF189" s="185"/>
      <c r="CG189" s="185"/>
      <c r="CH189" s="185"/>
      <c r="CI189" s="185"/>
      <c r="CJ189" s="185"/>
      <c r="CK189" s="185"/>
      <c r="CL189" s="185"/>
      <c r="CM189" s="185"/>
      <c r="CN189" s="185"/>
      <c r="CO189" s="185"/>
      <c r="CP189" s="185"/>
      <c r="CQ189" s="185"/>
      <c r="CR189" s="185"/>
      <c r="CS189" s="185"/>
      <c r="CT189" s="185"/>
      <c r="CU189" s="185"/>
      <c r="CV189" s="185"/>
      <c r="CW189" s="185"/>
      <c r="CX189" s="185"/>
      <c r="CY189" s="185"/>
      <c r="CZ189" s="185"/>
      <c r="DA189" s="185"/>
      <c r="DB189" s="185"/>
      <c r="DC189" s="185"/>
      <c r="DD189" s="185"/>
      <c r="DE189" s="185"/>
      <c r="DF189" s="185"/>
      <c r="DG189" s="185"/>
      <c r="DH189" s="185"/>
      <c r="DI189" s="185"/>
      <c r="DJ189" s="185"/>
      <c r="DK189" s="185"/>
      <c r="DL189" s="185"/>
      <c r="DM189" s="185"/>
      <c r="DN189" s="185"/>
      <c r="DO189" s="185"/>
      <c r="DP189" s="185"/>
      <c r="DQ189" s="185"/>
      <c r="DR189" s="185"/>
      <c r="DS189" s="185"/>
      <c r="DT189" s="185"/>
      <c r="DU189" s="185"/>
      <c r="DV189" s="185"/>
      <c r="DW189" s="185"/>
      <c r="DX189" s="185"/>
      <c r="DY189" s="185"/>
      <c r="DZ189" s="185"/>
      <c r="EA189" s="185"/>
      <c r="EB189" s="185"/>
      <c r="EC189" s="185"/>
      <c r="ED189" s="185"/>
      <c r="EE189" s="185"/>
      <c r="EF189" s="185"/>
      <c r="EG189" s="185"/>
      <c r="EH189" s="185"/>
      <c r="EI189" s="185"/>
      <c r="EJ189" s="185"/>
      <c r="EK189" s="185"/>
      <c r="EL189" s="185"/>
      <c r="EM189" s="185"/>
      <c r="EN189" s="185"/>
      <c r="EO189" s="185"/>
      <c r="EP189" s="185"/>
      <c r="EQ189" s="185"/>
      <c r="ER189" s="185"/>
      <c r="ES189" s="185"/>
      <c r="ET189" s="185"/>
      <c r="EU189" s="185"/>
      <c r="EV189" s="185"/>
      <c r="EW189" s="185"/>
      <c r="EX189" s="185"/>
      <c r="EY189" s="185"/>
      <c r="EZ189" s="185"/>
      <c r="FA189" s="185"/>
      <c r="FB189" s="185"/>
      <c r="FC189" s="185"/>
      <c r="FD189" s="185"/>
      <c r="FE189" s="185"/>
      <c r="FF189" s="185"/>
      <c r="FG189" s="185"/>
      <c r="FH189" s="185"/>
      <c r="FI189" s="185"/>
      <c r="FJ189" s="185"/>
      <c r="FK189" s="185"/>
    </row>
    <row r="190" spans="1:167" s="186" customFormat="1">
      <c r="A190" s="198"/>
      <c r="B190" s="178"/>
      <c r="C190" s="141"/>
      <c r="D190" s="140"/>
      <c r="E190" s="141"/>
      <c r="F190" s="198"/>
      <c r="G190" s="141"/>
      <c r="H190" s="141"/>
      <c r="I190" s="141"/>
      <c r="J190" s="141"/>
      <c r="K190" s="141"/>
      <c r="L190" s="333"/>
      <c r="M190" s="339"/>
      <c r="N190" s="191"/>
      <c r="O190" s="337"/>
      <c r="P190" s="339"/>
      <c r="Q190" s="179"/>
      <c r="R190" s="180"/>
      <c r="S190" s="181"/>
      <c r="T190" s="182"/>
      <c r="U190" s="141"/>
      <c r="V190" s="182"/>
      <c r="W190" s="183"/>
      <c r="X190" s="185"/>
      <c r="Y190" s="176" t="str">
        <f>IF(Table17[[#This Row],[Required Resolution Date]]="","FALSE",IF($AA$1&gt;Table17[[#This Row],[Required Resolution Date]],"TRUE","FALSE"))</f>
        <v>FALSE</v>
      </c>
      <c r="Z190" s="175">
        <f t="shared" si="15"/>
        <v>0</v>
      </c>
      <c r="AA190" s="185"/>
      <c r="AB190" s="327" t="b">
        <f>OR(Table17[[#This Row],[Priority]]="04. High",Table17[[#This Row],[Priority]]="05. Critical")</f>
        <v>0</v>
      </c>
      <c r="AC190" s="284">
        <f ca="1">$AA$1-Table17[[#This Row],[Date captured]]</f>
        <v>40990</v>
      </c>
      <c r="AD190" s="327" t="b">
        <f t="shared" ca="1" si="16"/>
        <v>0</v>
      </c>
      <c r="AE190" s="327" t="b">
        <f t="shared" ca="1" si="17"/>
        <v>0</v>
      </c>
      <c r="AF190" s="327" t="b">
        <f t="shared" ca="1" si="18"/>
        <v>1</v>
      </c>
      <c r="AG190" s="284">
        <f ca="1">Table17[[#This Row],[Required Resolution Date]]-$AA$1</f>
        <v>-40990</v>
      </c>
      <c r="AH190" s="327" t="b">
        <f t="shared" ca="1" si="19"/>
        <v>0</v>
      </c>
      <c r="AI190" s="327" t="b">
        <f>OR(Table17[[#This Row],[Priority]]="04. High",Table17[[#This Row],[Priority]]="05. Critical",Table17[[#This Row],[Priority]]="03. Moderate")</f>
        <v>0</v>
      </c>
      <c r="AJ190" s="185"/>
      <c r="AK190" s="185"/>
      <c r="AL190" s="185"/>
      <c r="AM190" s="185"/>
      <c r="AN190" s="185"/>
      <c r="AO190" s="185"/>
      <c r="AP190" s="185"/>
      <c r="AQ190" s="185"/>
      <c r="AR190" s="185"/>
      <c r="AS190" s="185"/>
      <c r="AT190" s="185"/>
      <c r="AU190" s="185"/>
      <c r="AV190" s="185"/>
      <c r="AW190" s="185"/>
      <c r="AX190" s="185"/>
      <c r="AY190" s="185"/>
      <c r="AZ190" s="185"/>
      <c r="BA190" s="185"/>
      <c r="BB190" s="185"/>
      <c r="BC190" s="185"/>
      <c r="BD190" s="185"/>
      <c r="BE190" s="185"/>
      <c r="BF190" s="185"/>
      <c r="BG190" s="185"/>
      <c r="BH190" s="185"/>
      <c r="BI190" s="185"/>
      <c r="BJ190" s="185"/>
      <c r="BK190" s="185"/>
      <c r="BL190" s="185"/>
      <c r="BM190" s="185"/>
      <c r="BN190" s="185"/>
      <c r="BO190" s="185"/>
      <c r="BP190" s="185"/>
      <c r="BQ190" s="185"/>
      <c r="BR190" s="185"/>
      <c r="BS190" s="185"/>
      <c r="BT190" s="185"/>
      <c r="BU190" s="185"/>
      <c r="BV190" s="185"/>
      <c r="BW190" s="185"/>
      <c r="BX190" s="185"/>
      <c r="BY190" s="185"/>
      <c r="BZ190" s="185"/>
      <c r="CA190" s="185"/>
      <c r="CB190" s="185"/>
      <c r="CC190" s="185"/>
      <c r="CD190" s="185"/>
      <c r="CE190" s="185"/>
      <c r="CF190" s="185"/>
      <c r="CG190" s="185"/>
      <c r="CH190" s="185"/>
      <c r="CI190" s="185"/>
      <c r="CJ190" s="185"/>
      <c r="CK190" s="185"/>
      <c r="CL190" s="185"/>
      <c r="CM190" s="185"/>
      <c r="CN190" s="185"/>
      <c r="CO190" s="185"/>
      <c r="CP190" s="185"/>
      <c r="CQ190" s="185"/>
      <c r="CR190" s="185"/>
      <c r="CS190" s="185"/>
      <c r="CT190" s="185"/>
      <c r="CU190" s="185"/>
      <c r="CV190" s="185"/>
      <c r="CW190" s="185"/>
      <c r="CX190" s="185"/>
      <c r="CY190" s="185"/>
      <c r="CZ190" s="185"/>
      <c r="DA190" s="185"/>
      <c r="DB190" s="185"/>
      <c r="DC190" s="185"/>
      <c r="DD190" s="185"/>
      <c r="DE190" s="185"/>
      <c r="DF190" s="185"/>
      <c r="DG190" s="185"/>
      <c r="DH190" s="185"/>
      <c r="DI190" s="185"/>
      <c r="DJ190" s="185"/>
      <c r="DK190" s="185"/>
      <c r="DL190" s="185"/>
      <c r="DM190" s="185"/>
      <c r="DN190" s="185"/>
      <c r="DO190" s="185"/>
      <c r="DP190" s="185"/>
      <c r="DQ190" s="185"/>
      <c r="DR190" s="185"/>
      <c r="DS190" s="185"/>
      <c r="DT190" s="185"/>
      <c r="DU190" s="185"/>
      <c r="DV190" s="185"/>
      <c r="DW190" s="185"/>
      <c r="DX190" s="185"/>
      <c r="DY190" s="185"/>
      <c r="DZ190" s="185"/>
      <c r="EA190" s="185"/>
      <c r="EB190" s="185"/>
      <c r="EC190" s="185"/>
      <c r="ED190" s="185"/>
      <c r="EE190" s="185"/>
      <c r="EF190" s="185"/>
      <c r="EG190" s="185"/>
      <c r="EH190" s="185"/>
      <c r="EI190" s="185"/>
      <c r="EJ190" s="185"/>
      <c r="EK190" s="185"/>
      <c r="EL190" s="185"/>
      <c r="EM190" s="185"/>
      <c r="EN190" s="185"/>
      <c r="EO190" s="185"/>
      <c r="EP190" s="185"/>
      <c r="EQ190" s="185"/>
      <c r="ER190" s="185"/>
      <c r="ES190" s="185"/>
      <c r="ET190" s="185"/>
      <c r="EU190" s="185"/>
      <c r="EV190" s="185"/>
      <c r="EW190" s="185"/>
      <c r="EX190" s="185"/>
      <c r="EY190" s="185"/>
      <c r="EZ190" s="185"/>
      <c r="FA190" s="185"/>
      <c r="FB190" s="185"/>
      <c r="FC190" s="185"/>
      <c r="FD190" s="185"/>
      <c r="FE190" s="185"/>
      <c r="FF190" s="185"/>
      <c r="FG190" s="185"/>
      <c r="FH190" s="185"/>
      <c r="FI190" s="185"/>
      <c r="FJ190" s="185"/>
      <c r="FK190" s="185"/>
    </row>
    <row r="191" spans="1:167" s="186" customFormat="1">
      <c r="A191" s="198"/>
      <c r="B191" s="178"/>
      <c r="C191" s="141"/>
      <c r="D191" s="140"/>
      <c r="E191" s="141"/>
      <c r="F191" s="198"/>
      <c r="G191" s="141"/>
      <c r="H191" s="141"/>
      <c r="I191" s="141"/>
      <c r="J191" s="141"/>
      <c r="K191" s="141"/>
      <c r="L191" s="333"/>
      <c r="M191" s="339"/>
      <c r="N191" s="191"/>
      <c r="O191" s="337"/>
      <c r="P191" s="339"/>
      <c r="Q191" s="179"/>
      <c r="R191" s="180"/>
      <c r="S191" s="181"/>
      <c r="T191" s="182"/>
      <c r="U191" s="141"/>
      <c r="V191" s="182"/>
      <c r="W191" s="183"/>
      <c r="X191" s="185"/>
      <c r="Y191" s="176" t="str">
        <f>IF(Table17[[#This Row],[Required Resolution Date]]="","FALSE",IF($AA$1&gt;Table17[[#This Row],[Required Resolution Date]],"TRUE","FALSE"))</f>
        <v>FALSE</v>
      </c>
      <c r="Z191" s="175">
        <f t="shared" si="15"/>
        <v>0</v>
      </c>
      <c r="AA191" s="185"/>
      <c r="AB191" s="327" t="b">
        <f>OR(Table17[[#This Row],[Priority]]="04. High",Table17[[#This Row],[Priority]]="05. Critical")</f>
        <v>0</v>
      </c>
      <c r="AC191" s="284">
        <f ca="1">$AA$1-Table17[[#This Row],[Date captured]]</f>
        <v>40990</v>
      </c>
      <c r="AD191" s="327" t="b">
        <f t="shared" ca="1" si="16"/>
        <v>0</v>
      </c>
      <c r="AE191" s="327" t="b">
        <f t="shared" ca="1" si="17"/>
        <v>0</v>
      </c>
      <c r="AF191" s="327" t="b">
        <f t="shared" ca="1" si="18"/>
        <v>1</v>
      </c>
      <c r="AG191" s="284">
        <f ca="1">Table17[[#This Row],[Required Resolution Date]]-$AA$1</f>
        <v>-40990</v>
      </c>
      <c r="AH191" s="327" t="b">
        <f t="shared" ca="1" si="19"/>
        <v>0</v>
      </c>
      <c r="AI191" s="327" t="b">
        <f>OR(Table17[[#This Row],[Priority]]="04. High",Table17[[#This Row],[Priority]]="05. Critical",Table17[[#This Row],[Priority]]="03. Moderate")</f>
        <v>0</v>
      </c>
      <c r="AJ191" s="185"/>
      <c r="AK191" s="185"/>
      <c r="AL191" s="185"/>
      <c r="AM191" s="185"/>
      <c r="AN191" s="185"/>
      <c r="AO191" s="185"/>
      <c r="AP191" s="185"/>
      <c r="AQ191" s="185"/>
      <c r="AR191" s="185"/>
      <c r="AS191" s="185"/>
      <c r="AT191" s="185"/>
      <c r="AU191" s="185"/>
      <c r="AV191" s="185"/>
      <c r="AW191" s="185"/>
      <c r="AX191" s="185"/>
      <c r="AY191" s="185"/>
      <c r="AZ191" s="185"/>
      <c r="BA191" s="185"/>
      <c r="BB191" s="185"/>
      <c r="BC191" s="185"/>
      <c r="BD191" s="185"/>
      <c r="BE191" s="185"/>
      <c r="BF191" s="185"/>
      <c r="BG191" s="185"/>
      <c r="BH191" s="185"/>
      <c r="BI191" s="185"/>
      <c r="BJ191" s="185"/>
      <c r="BK191" s="185"/>
      <c r="BL191" s="185"/>
      <c r="BM191" s="185"/>
      <c r="BN191" s="185"/>
      <c r="BO191" s="185"/>
      <c r="BP191" s="185"/>
      <c r="BQ191" s="185"/>
      <c r="BR191" s="185"/>
      <c r="BS191" s="185"/>
      <c r="BT191" s="185"/>
      <c r="BU191" s="185"/>
      <c r="BV191" s="185"/>
      <c r="BW191" s="185"/>
      <c r="BX191" s="185"/>
      <c r="BY191" s="185"/>
      <c r="BZ191" s="185"/>
      <c r="CA191" s="185"/>
      <c r="CB191" s="185"/>
      <c r="CC191" s="185"/>
      <c r="CD191" s="185"/>
      <c r="CE191" s="185"/>
      <c r="CF191" s="185"/>
      <c r="CG191" s="185"/>
      <c r="CH191" s="185"/>
      <c r="CI191" s="185"/>
      <c r="CJ191" s="185"/>
      <c r="CK191" s="185"/>
      <c r="CL191" s="185"/>
      <c r="CM191" s="185"/>
      <c r="CN191" s="185"/>
      <c r="CO191" s="185"/>
      <c r="CP191" s="185"/>
      <c r="CQ191" s="185"/>
      <c r="CR191" s="185"/>
      <c r="CS191" s="185"/>
      <c r="CT191" s="185"/>
      <c r="CU191" s="185"/>
      <c r="CV191" s="185"/>
      <c r="CW191" s="185"/>
      <c r="CX191" s="185"/>
      <c r="CY191" s="185"/>
      <c r="CZ191" s="185"/>
      <c r="DA191" s="185"/>
      <c r="DB191" s="185"/>
      <c r="DC191" s="185"/>
      <c r="DD191" s="185"/>
      <c r="DE191" s="185"/>
      <c r="DF191" s="185"/>
      <c r="DG191" s="185"/>
      <c r="DH191" s="185"/>
      <c r="DI191" s="185"/>
      <c r="DJ191" s="185"/>
      <c r="DK191" s="185"/>
      <c r="DL191" s="185"/>
      <c r="DM191" s="185"/>
      <c r="DN191" s="185"/>
      <c r="DO191" s="185"/>
      <c r="DP191" s="185"/>
      <c r="DQ191" s="185"/>
      <c r="DR191" s="185"/>
      <c r="DS191" s="185"/>
      <c r="DT191" s="185"/>
      <c r="DU191" s="185"/>
      <c r="DV191" s="185"/>
      <c r="DW191" s="185"/>
      <c r="DX191" s="185"/>
      <c r="DY191" s="185"/>
      <c r="DZ191" s="185"/>
      <c r="EA191" s="185"/>
      <c r="EB191" s="185"/>
      <c r="EC191" s="185"/>
      <c r="ED191" s="185"/>
      <c r="EE191" s="185"/>
      <c r="EF191" s="185"/>
      <c r="EG191" s="185"/>
      <c r="EH191" s="185"/>
      <c r="EI191" s="185"/>
      <c r="EJ191" s="185"/>
      <c r="EK191" s="185"/>
      <c r="EL191" s="185"/>
      <c r="EM191" s="185"/>
      <c r="EN191" s="185"/>
      <c r="EO191" s="185"/>
      <c r="EP191" s="185"/>
      <c r="EQ191" s="185"/>
      <c r="ER191" s="185"/>
      <c r="ES191" s="185"/>
      <c r="ET191" s="185"/>
      <c r="EU191" s="185"/>
      <c r="EV191" s="185"/>
      <c r="EW191" s="185"/>
      <c r="EX191" s="185"/>
      <c r="EY191" s="185"/>
      <c r="EZ191" s="185"/>
      <c r="FA191" s="185"/>
      <c r="FB191" s="185"/>
      <c r="FC191" s="185"/>
      <c r="FD191" s="185"/>
      <c r="FE191" s="185"/>
      <c r="FF191" s="185"/>
      <c r="FG191" s="185"/>
      <c r="FH191" s="185"/>
      <c r="FI191" s="185"/>
      <c r="FJ191" s="185"/>
      <c r="FK191" s="185"/>
    </row>
    <row r="192" spans="1:167" s="186" customFormat="1">
      <c r="A192" s="198"/>
      <c r="B192" s="178"/>
      <c r="C192" s="141"/>
      <c r="D192" s="140"/>
      <c r="E192" s="141"/>
      <c r="F192" s="198"/>
      <c r="G192" s="141"/>
      <c r="H192" s="141"/>
      <c r="I192" s="141"/>
      <c r="J192" s="141"/>
      <c r="K192" s="141"/>
      <c r="L192" s="333"/>
      <c r="M192" s="339"/>
      <c r="N192" s="191"/>
      <c r="O192" s="337"/>
      <c r="P192" s="339"/>
      <c r="Q192" s="179"/>
      <c r="R192" s="180"/>
      <c r="S192" s="181"/>
      <c r="T192" s="182"/>
      <c r="U192" s="141"/>
      <c r="V192" s="182"/>
      <c r="W192" s="183"/>
      <c r="X192" s="185"/>
      <c r="Y192" s="176" t="str">
        <f>IF(Table17[[#This Row],[Required Resolution Date]]="","FALSE",IF($AA$1&gt;Table17[[#This Row],[Required Resolution Date]],"TRUE","FALSE"))</f>
        <v>FALSE</v>
      </c>
      <c r="Z192" s="175">
        <f t="shared" si="15"/>
        <v>0</v>
      </c>
      <c r="AA192" s="185"/>
      <c r="AB192" s="327" t="b">
        <f>OR(Table17[[#This Row],[Priority]]="04. High",Table17[[#This Row],[Priority]]="05. Critical")</f>
        <v>0</v>
      </c>
      <c r="AC192" s="284">
        <f ca="1">$AA$1-Table17[[#This Row],[Date captured]]</f>
        <v>40990</v>
      </c>
      <c r="AD192" s="327" t="b">
        <f t="shared" ca="1" si="16"/>
        <v>0</v>
      </c>
      <c r="AE192" s="327" t="b">
        <f t="shared" ca="1" si="17"/>
        <v>0</v>
      </c>
      <c r="AF192" s="327" t="b">
        <f t="shared" ca="1" si="18"/>
        <v>1</v>
      </c>
      <c r="AG192" s="284">
        <f ca="1">Table17[[#This Row],[Required Resolution Date]]-$AA$1</f>
        <v>-40990</v>
      </c>
      <c r="AH192" s="327" t="b">
        <f t="shared" ca="1" si="19"/>
        <v>0</v>
      </c>
      <c r="AI192" s="327" t="b">
        <f>OR(Table17[[#This Row],[Priority]]="04. High",Table17[[#This Row],[Priority]]="05. Critical",Table17[[#This Row],[Priority]]="03. Moderate")</f>
        <v>0</v>
      </c>
      <c r="AJ192" s="185"/>
      <c r="AK192" s="185"/>
      <c r="AL192" s="185"/>
      <c r="AM192" s="185"/>
      <c r="AN192" s="185"/>
      <c r="AO192" s="185"/>
      <c r="AP192" s="185"/>
      <c r="AQ192" s="185"/>
      <c r="AR192" s="185"/>
      <c r="AS192" s="185"/>
      <c r="AT192" s="185"/>
      <c r="AU192" s="185"/>
      <c r="AV192" s="185"/>
      <c r="AW192" s="185"/>
      <c r="AX192" s="185"/>
      <c r="AY192" s="185"/>
      <c r="AZ192" s="185"/>
      <c r="BA192" s="185"/>
      <c r="BB192" s="185"/>
      <c r="BC192" s="185"/>
      <c r="BD192" s="185"/>
      <c r="BE192" s="185"/>
      <c r="BF192" s="185"/>
      <c r="BG192" s="185"/>
      <c r="BH192" s="185"/>
      <c r="BI192" s="185"/>
      <c r="BJ192" s="185"/>
      <c r="BK192" s="185"/>
      <c r="BL192" s="185"/>
      <c r="BM192" s="185"/>
      <c r="BN192" s="185"/>
      <c r="BO192" s="185"/>
      <c r="BP192" s="185"/>
      <c r="BQ192" s="185"/>
      <c r="BR192" s="185"/>
      <c r="BS192" s="185"/>
      <c r="BT192" s="185"/>
      <c r="BU192" s="185"/>
      <c r="BV192" s="185"/>
      <c r="BW192" s="185"/>
      <c r="BX192" s="185"/>
      <c r="BY192" s="185"/>
      <c r="BZ192" s="185"/>
      <c r="CA192" s="185"/>
      <c r="CB192" s="185"/>
      <c r="CC192" s="185"/>
      <c r="CD192" s="185"/>
      <c r="CE192" s="185"/>
      <c r="CF192" s="185"/>
      <c r="CG192" s="185"/>
      <c r="CH192" s="185"/>
      <c r="CI192" s="185"/>
      <c r="CJ192" s="185"/>
      <c r="CK192" s="185"/>
      <c r="CL192" s="185"/>
      <c r="CM192" s="185"/>
      <c r="CN192" s="185"/>
      <c r="CO192" s="185"/>
      <c r="CP192" s="185"/>
      <c r="CQ192" s="185"/>
      <c r="CR192" s="185"/>
      <c r="CS192" s="185"/>
      <c r="CT192" s="185"/>
      <c r="CU192" s="185"/>
      <c r="CV192" s="185"/>
      <c r="CW192" s="185"/>
      <c r="CX192" s="185"/>
      <c r="CY192" s="185"/>
      <c r="CZ192" s="185"/>
      <c r="DA192" s="185"/>
      <c r="DB192" s="185"/>
      <c r="DC192" s="185"/>
      <c r="DD192" s="185"/>
      <c r="DE192" s="185"/>
      <c r="DF192" s="185"/>
      <c r="DG192" s="185"/>
      <c r="DH192" s="185"/>
      <c r="DI192" s="185"/>
      <c r="DJ192" s="185"/>
      <c r="DK192" s="185"/>
      <c r="DL192" s="185"/>
      <c r="DM192" s="185"/>
      <c r="DN192" s="185"/>
      <c r="DO192" s="185"/>
      <c r="DP192" s="185"/>
      <c r="DQ192" s="185"/>
      <c r="DR192" s="185"/>
      <c r="DS192" s="185"/>
      <c r="DT192" s="185"/>
      <c r="DU192" s="185"/>
      <c r="DV192" s="185"/>
      <c r="DW192" s="185"/>
      <c r="DX192" s="185"/>
      <c r="DY192" s="185"/>
      <c r="DZ192" s="185"/>
      <c r="EA192" s="185"/>
      <c r="EB192" s="185"/>
      <c r="EC192" s="185"/>
      <c r="ED192" s="185"/>
      <c r="EE192" s="185"/>
      <c r="EF192" s="185"/>
      <c r="EG192" s="185"/>
      <c r="EH192" s="185"/>
      <c r="EI192" s="185"/>
      <c r="EJ192" s="185"/>
      <c r="EK192" s="185"/>
      <c r="EL192" s="185"/>
      <c r="EM192" s="185"/>
      <c r="EN192" s="185"/>
      <c r="EO192" s="185"/>
      <c r="EP192" s="185"/>
      <c r="EQ192" s="185"/>
      <c r="ER192" s="185"/>
      <c r="ES192" s="185"/>
      <c r="ET192" s="185"/>
      <c r="EU192" s="185"/>
      <c r="EV192" s="185"/>
      <c r="EW192" s="185"/>
      <c r="EX192" s="185"/>
      <c r="EY192" s="185"/>
      <c r="EZ192" s="185"/>
      <c r="FA192" s="185"/>
      <c r="FB192" s="185"/>
      <c r="FC192" s="185"/>
      <c r="FD192" s="185"/>
      <c r="FE192" s="185"/>
      <c r="FF192" s="185"/>
      <c r="FG192" s="185"/>
      <c r="FH192" s="185"/>
      <c r="FI192" s="185"/>
      <c r="FJ192" s="185"/>
      <c r="FK192" s="185"/>
    </row>
    <row r="193" spans="1:167" s="186" customFormat="1">
      <c r="A193" s="198"/>
      <c r="B193" s="178"/>
      <c r="C193" s="141"/>
      <c r="D193" s="140"/>
      <c r="E193" s="141"/>
      <c r="F193" s="198"/>
      <c r="G193" s="141"/>
      <c r="H193" s="141"/>
      <c r="I193" s="141"/>
      <c r="J193" s="141"/>
      <c r="K193" s="141"/>
      <c r="L193" s="333"/>
      <c r="M193" s="339"/>
      <c r="N193" s="191"/>
      <c r="O193" s="337"/>
      <c r="P193" s="339"/>
      <c r="Q193" s="179"/>
      <c r="R193" s="180"/>
      <c r="S193" s="181"/>
      <c r="T193" s="182"/>
      <c r="U193" s="141"/>
      <c r="V193" s="182"/>
      <c r="W193" s="183"/>
      <c r="X193" s="185"/>
      <c r="Y193" s="176" t="str">
        <f>IF(Table17[[#This Row],[Required Resolution Date]]="","FALSE",IF($AA$1&gt;Table17[[#This Row],[Required Resolution Date]],"TRUE","FALSE"))</f>
        <v>FALSE</v>
      </c>
      <c r="Z193" s="175">
        <f t="shared" si="15"/>
        <v>0</v>
      </c>
      <c r="AA193" s="185"/>
      <c r="AB193" s="327" t="b">
        <f>OR(Table17[[#This Row],[Priority]]="04. High",Table17[[#This Row],[Priority]]="05. Critical")</f>
        <v>0</v>
      </c>
      <c r="AC193" s="284">
        <f ca="1">$AA$1-Table17[[#This Row],[Date captured]]</f>
        <v>40990</v>
      </c>
      <c r="AD193" s="327" t="b">
        <f t="shared" ca="1" si="16"/>
        <v>0</v>
      </c>
      <c r="AE193" s="327" t="b">
        <f t="shared" ca="1" si="17"/>
        <v>0</v>
      </c>
      <c r="AF193" s="327" t="b">
        <f t="shared" ca="1" si="18"/>
        <v>1</v>
      </c>
      <c r="AG193" s="284">
        <f ca="1">Table17[[#This Row],[Required Resolution Date]]-$AA$1</f>
        <v>-40990</v>
      </c>
      <c r="AH193" s="327" t="b">
        <f t="shared" ca="1" si="19"/>
        <v>0</v>
      </c>
      <c r="AI193" s="327" t="b">
        <f>OR(Table17[[#This Row],[Priority]]="04. High",Table17[[#This Row],[Priority]]="05. Critical",Table17[[#This Row],[Priority]]="03. Moderate")</f>
        <v>0</v>
      </c>
      <c r="AJ193" s="185"/>
      <c r="AK193" s="185"/>
      <c r="AL193" s="185"/>
      <c r="AM193" s="185"/>
      <c r="AN193" s="185"/>
      <c r="AO193" s="185"/>
      <c r="AP193" s="185"/>
      <c r="AQ193" s="185"/>
      <c r="AR193" s="185"/>
      <c r="AS193" s="185"/>
      <c r="AT193" s="185"/>
      <c r="AU193" s="185"/>
      <c r="AV193" s="185"/>
      <c r="AW193" s="185"/>
      <c r="AX193" s="185"/>
      <c r="AY193" s="185"/>
      <c r="AZ193" s="185"/>
      <c r="BA193" s="185"/>
      <c r="BB193" s="185"/>
      <c r="BC193" s="185"/>
      <c r="BD193" s="185"/>
      <c r="BE193" s="185"/>
      <c r="BF193" s="185"/>
      <c r="BG193" s="185"/>
      <c r="BH193" s="185"/>
      <c r="BI193" s="185"/>
      <c r="BJ193" s="185"/>
      <c r="BK193" s="185"/>
      <c r="BL193" s="185"/>
      <c r="BM193" s="185"/>
      <c r="BN193" s="185"/>
      <c r="BO193" s="185"/>
      <c r="BP193" s="185"/>
      <c r="BQ193" s="185"/>
      <c r="BR193" s="185"/>
      <c r="BS193" s="185"/>
      <c r="BT193" s="185"/>
      <c r="BU193" s="185"/>
      <c r="BV193" s="185"/>
      <c r="BW193" s="185"/>
      <c r="BX193" s="185"/>
      <c r="BY193" s="185"/>
      <c r="BZ193" s="185"/>
      <c r="CA193" s="185"/>
      <c r="CB193" s="185"/>
      <c r="CC193" s="185"/>
      <c r="CD193" s="185"/>
      <c r="CE193" s="185"/>
      <c r="CF193" s="185"/>
      <c r="CG193" s="185"/>
      <c r="CH193" s="185"/>
      <c r="CI193" s="185"/>
      <c r="CJ193" s="185"/>
      <c r="CK193" s="185"/>
      <c r="CL193" s="185"/>
      <c r="CM193" s="185"/>
      <c r="CN193" s="185"/>
      <c r="CO193" s="185"/>
      <c r="CP193" s="185"/>
      <c r="CQ193" s="185"/>
      <c r="CR193" s="185"/>
      <c r="CS193" s="185"/>
      <c r="CT193" s="185"/>
      <c r="CU193" s="185"/>
      <c r="CV193" s="185"/>
      <c r="CW193" s="185"/>
      <c r="CX193" s="185"/>
      <c r="CY193" s="185"/>
      <c r="CZ193" s="185"/>
      <c r="DA193" s="185"/>
      <c r="DB193" s="185"/>
      <c r="DC193" s="185"/>
      <c r="DD193" s="185"/>
      <c r="DE193" s="185"/>
      <c r="DF193" s="185"/>
      <c r="DG193" s="185"/>
      <c r="DH193" s="185"/>
      <c r="DI193" s="185"/>
      <c r="DJ193" s="185"/>
      <c r="DK193" s="185"/>
      <c r="DL193" s="185"/>
      <c r="DM193" s="185"/>
      <c r="DN193" s="185"/>
      <c r="DO193" s="185"/>
      <c r="DP193" s="185"/>
      <c r="DQ193" s="185"/>
      <c r="DR193" s="185"/>
      <c r="DS193" s="185"/>
      <c r="DT193" s="185"/>
      <c r="DU193" s="185"/>
      <c r="DV193" s="185"/>
      <c r="DW193" s="185"/>
      <c r="DX193" s="185"/>
      <c r="DY193" s="185"/>
      <c r="DZ193" s="185"/>
      <c r="EA193" s="185"/>
      <c r="EB193" s="185"/>
      <c r="EC193" s="185"/>
      <c r="ED193" s="185"/>
      <c r="EE193" s="185"/>
      <c r="EF193" s="185"/>
      <c r="EG193" s="185"/>
      <c r="EH193" s="185"/>
      <c r="EI193" s="185"/>
      <c r="EJ193" s="185"/>
      <c r="EK193" s="185"/>
      <c r="EL193" s="185"/>
      <c r="EM193" s="185"/>
      <c r="EN193" s="185"/>
      <c r="EO193" s="185"/>
      <c r="EP193" s="185"/>
      <c r="EQ193" s="185"/>
      <c r="ER193" s="185"/>
      <c r="ES193" s="185"/>
      <c r="ET193" s="185"/>
      <c r="EU193" s="185"/>
      <c r="EV193" s="185"/>
      <c r="EW193" s="185"/>
      <c r="EX193" s="185"/>
      <c r="EY193" s="185"/>
      <c r="EZ193" s="185"/>
      <c r="FA193" s="185"/>
      <c r="FB193" s="185"/>
      <c r="FC193" s="185"/>
      <c r="FD193" s="185"/>
      <c r="FE193" s="185"/>
      <c r="FF193" s="185"/>
      <c r="FG193" s="185"/>
      <c r="FH193" s="185"/>
      <c r="FI193" s="185"/>
      <c r="FJ193" s="185"/>
      <c r="FK193" s="185"/>
    </row>
    <row r="194" spans="1:167" s="186" customFormat="1">
      <c r="A194" s="198"/>
      <c r="B194" s="178"/>
      <c r="C194" s="141"/>
      <c r="D194" s="140"/>
      <c r="E194" s="141"/>
      <c r="F194" s="198"/>
      <c r="G194" s="141"/>
      <c r="H194" s="141"/>
      <c r="I194" s="141"/>
      <c r="J194" s="141"/>
      <c r="K194" s="141"/>
      <c r="L194" s="333"/>
      <c r="M194" s="339"/>
      <c r="N194" s="191"/>
      <c r="O194" s="337"/>
      <c r="P194" s="339"/>
      <c r="Q194" s="179"/>
      <c r="R194" s="180"/>
      <c r="S194" s="181"/>
      <c r="T194" s="182"/>
      <c r="U194" s="141"/>
      <c r="V194" s="182"/>
      <c r="W194" s="183"/>
      <c r="X194" s="185"/>
      <c r="Y194" s="176" t="str">
        <f>IF(Table17[[#This Row],[Required Resolution Date]]="","FALSE",IF($AA$1&gt;Table17[[#This Row],[Required Resolution Date]],"TRUE","FALSE"))</f>
        <v>FALSE</v>
      </c>
      <c r="Z194" s="175">
        <f t="shared" si="15"/>
        <v>0</v>
      </c>
      <c r="AA194" s="185"/>
      <c r="AB194" s="327" t="b">
        <f>OR(Table17[[#This Row],[Priority]]="04. High",Table17[[#This Row],[Priority]]="05. Critical")</f>
        <v>0</v>
      </c>
      <c r="AC194" s="284">
        <f ca="1">$AA$1-Table17[[#This Row],[Date captured]]</f>
        <v>40990</v>
      </c>
      <c r="AD194" s="327" t="b">
        <f t="shared" ca="1" si="16"/>
        <v>0</v>
      </c>
      <c r="AE194" s="327" t="b">
        <f t="shared" ca="1" si="17"/>
        <v>0</v>
      </c>
      <c r="AF194" s="327" t="b">
        <f t="shared" ca="1" si="18"/>
        <v>1</v>
      </c>
      <c r="AG194" s="284">
        <f ca="1">Table17[[#This Row],[Required Resolution Date]]-$AA$1</f>
        <v>-40990</v>
      </c>
      <c r="AH194" s="327" t="b">
        <f t="shared" ca="1" si="19"/>
        <v>0</v>
      </c>
      <c r="AI194" s="327" t="b">
        <f>OR(Table17[[#This Row],[Priority]]="04. High",Table17[[#This Row],[Priority]]="05. Critical",Table17[[#This Row],[Priority]]="03. Moderate")</f>
        <v>0</v>
      </c>
      <c r="AJ194" s="185"/>
      <c r="AK194" s="185"/>
      <c r="AL194" s="185"/>
      <c r="AM194" s="185"/>
      <c r="AN194" s="185"/>
      <c r="AO194" s="185"/>
      <c r="AP194" s="185"/>
      <c r="AQ194" s="185"/>
      <c r="AR194" s="185"/>
      <c r="AS194" s="185"/>
      <c r="AT194" s="185"/>
      <c r="AU194" s="185"/>
      <c r="AV194" s="185"/>
      <c r="AW194" s="185"/>
      <c r="AX194" s="185"/>
      <c r="AY194" s="185"/>
      <c r="AZ194" s="185"/>
      <c r="BA194" s="185"/>
      <c r="BB194" s="185"/>
      <c r="BC194" s="185"/>
      <c r="BD194" s="185"/>
      <c r="BE194" s="185"/>
      <c r="BF194" s="185"/>
      <c r="BG194" s="185"/>
      <c r="BH194" s="185"/>
      <c r="BI194" s="185"/>
      <c r="BJ194" s="185"/>
      <c r="BK194" s="185"/>
      <c r="BL194" s="185"/>
      <c r="BM194" s="185"/>
      <c r="BN194" s="185"/>
      <c r="BO194" s="185"/>
      <c r="BP194" s="185"/>
      <c r="BQ194" s="185"/>
      <c r="BR194" s="185"/>
      <c r="BS194" s="185"/>
      <c r="BT194" s="185"/>
      <c r="BU194" s="185"/>
      <c r="BV194" s="185"/>
      <c r="BW194" s="185"/>
      <c r="BX194" s="185"/>
      <c r="BY194" s="185"/>
      <c r="BZ194" s="185"/>
      <c r="CA194" s="185"/>
      <c r="CB194" s="185"/>
      <c r="CC194" s="185"/>
      <c r="CD194" s="185"/>
      <c r="CE194" s="185"/>
      <c r="CF194" s="185"/>
      <c r="CG194" s="185"/>
      <c r="CH194" s="185"/>
      <c r="CI194" s="185"/>
      <c r="CJ194" s="185"/>
      <c r="CK194" s="185"/>
      <c r="CL194" s="185"/>
      <c r="CM194" s="185"/>
      <c r="CN194" s="185"/>
      <c r="CO194" s="185"/>
      <c r="CP194" s="185"/>
      <c r="CQ194" s="185"/>
      <c r="CR194" s="185"/>
      <c r="CS194" s="185"/>
      <c r="CT194" s="185"/>
      <c r="CU194" s="185"/>
      <c r="CV194" s="185"/>
      <c r="CW194" s="185"/>
      <c r="CX194" s="185"/>
      <c r="CY194" s="185"/>
      <c r="CZ194" s="185"/>
      <c r="DA194" s="185"/>
      <c r="DB194" s="185"/>
      <c r="DC194" s="185"/>
      <c r="DD194" s="185"/>
      <c r="DE194" s="185"/>
      <c r="DF194" s="185"/>
      <c r="DG194" s="185"/>
      <c r="DH194" s="185"/>
      <c r="DI194" s="185"/>
      <c r="DJ194" s="185"/>
      <c r="DK194" s="185"/>
      <c r="DL194" s="185"/>
      <c r="DM194" s="185"/>
      <c r="DN194" s="185"/>
      <c r="DO194" s="185"/>
      <c r="DP194" s="185"/>
      <c r="DQ194" s="185"/>
      <c r="DR194" s="185"/>
      <c r="DS194" s="185"/>
      <c r="DT194" s="185"/>
      <c r="DU194" s="185"/>
      <c r="DV194" s="185"/>
      <c r="DW194" s="185"/>
      <c r="DX194" s="185"/>
      <c r="DY194" s="185"/>
      <c r="DZ194" s="185"/>
      <c r="EA194" s="185"/>
      <c r="EB194" s="185"/>
      <c r="EC194" s="185"/>
      <c r="ED194" s="185"/>
      <c r="EE194" s="185"/>
      <c r="EF194" s="185"/>
      <c r="EG194" s="185"/>
      <c r="EH194" s="185"/>
      <c r="EI194" s="185"/>
      <c r="EJ194" s="185"/>
      <c r="EK194" s="185"/>
      <c r="EL194" s="185"/>
      <c r="EM194" s="185"/>
      <c r="EN194" s="185"/>
      <c r="EO194" s="185"/>
      <c r="EP194" s="185"/>
      <c r="EQ194" s="185"/>
      <c r="ER194" s="185"/>
      <c r="ES194" s="185"/>
      <c r="ET194" s="185"/>
      <c r="EU194" s="185"/>
      <c r="EV194" s="185"/>
      <c r="EW194" s="185"/>
      <c r="EX194" s="185"/>
      <c r="EY194" s="185"/>
      <c r="EZ194" s="185"/>
      <c r="FA194" s="185"/>
      <c r="FB194" s="185"/>
      <c r="FC194" s="185"/>
      <c r="FD194" s="185"/>
      <c r="FE194" s="185"/>
      <c r="FF194" s="185"/>
      <c r="FG194" s="185"/>
      <c r="FH194" s="185"/>
      <c r="FI194" s="185"/>
      <c r="FJ194" s="185"/>
      <c r="FK194" s="185"/>
    </row>
    <row r="195" spans="1:167" s="186" customFormat="1">
      <c r="A195" s="198"/>
      <c r="B195" s="178"/>
      <c r="C195" s="141"/>
      <c r="D195" s="140"/>
      <c r="E195" s="141"/>
      <c r="F195" s="198"/>
      <c r="G195" s="141"/>
      <c r="H195" s="141"/>
      <c r="I195" s="141"/>
      <c r="J195" s="141"/>
      <c r="K195" s="141"/>
      <c r="L195" s="333"/>
      <c r="M195" s="339"/>
      <c r="N195" s="191"/>
      <c r="O195" s="337"/>
      <c r="P195" s="339"/>
      <c r="Q195" s="179"/>
      <c r="R195" s="180"/>
      <c r="S195" s="181"/>
      <c r="T195" s="182"/>
      <c r="U195" s="141"/>
      <c r="V195" s="182"/>
      <c r="W195" s="183"/>
      <c r="X195" s="185"/>
      <c r="Y195" s="176" t="str">
        <f>IF(Table17[[#This Row],[Required Resolution Date]]="","FALSE",IF($AA$1&gt;Table17[[#This Row],[Required Resolution Date]],"TRUE","FALSE"))</f>
        <v>FALSE</v>
      </c>
      <c r="Z195" s="175">
        <f t="shared" si="15"/>
        <v>0</v>
      </c>
      <c r="AA195" s="185"/>
      <c r="AB195" s="327" t="b">
        <f>OR(Table17[[#This Row],[Priority]]="04. High",Table17[[#This Row],[Priority]]="05. Critical")</f>
        <v>0</v>
      </c>
      <c r="AC195" s="284">
        <f ca="1">$AA$1-Table17[[#This Row],[Date captured]]</f>
        <v>40990</v>
      </c>
      <c r="AD195" s="327" t="b">
        <f t="shared" ref="AD195:AD234" ca="1" si="20">IF(AC195&lt;30,FALSE,IF(AC195&gt;90,FALSE,TRUE))</f>
        <v>0</v>
      </c>
      <c r="AE195" s="327" t="b">
        <f t="shared" ref="AE195:AE234" ca="1" si="21">IF(AC195&lt;91,FALSE,IF(AC195&gt;180,FALSE,TRUE))</f>
        <v>0</v>
      </c>
      <c r="AF195" s="327" t="b">
        <f t="shared" ref="AF195:AF234" ca="1" si="22">IF(AC195&gt;180,TRUE,FALSE)</f>
        <v>1</v>
      </c>
      <c r="AG195" s="284">
        <f ca="1">Table17[[#This Row],[Required Resolution Date]]-$AA$1</f>
        <v>-40990</v>
      </c>
      <c r="AH195" s="327" t="b">
        <f t="shared" ref="AH195:AH234" ca="1" si="23">IF(AG195&lt;1,FALSE,IF(AG195&gt;7,FALSE,TRUE))</f>
        <v>0</v>
      </c>
      <c r="AI195" s="327" t="b">
        <f>OR(Table17[[#This Row],[Priority]]="04. High",Table17[[#This Row],[Priority]]="05. Critical",Table17[[#This Row],[Priority]]="03. Moderate")</f>
        <v>0</v>
      </c>
      <c r="AJ195" s="185"/>
      <c r="AK195" s="185"/>
      <c r="AL195" s="185"/>
      <c r="AM195" s="185"/>
      <c r="AN195" s="185"/>
      <c r="AO195" s="185"/>
      <c r="AP195" s="185"/>
      <c r="AQ195" s="185"/>
      <c r="AR195" s="185"/>
      <c r="AS195" s="185"/>
      <c r="AT195" s="185"/>
      <c r="AU195" s="185"/>
      <c r="AV195" s="185"/>
      <c r="AW195" s="185"/>
      <c r="AX195" s="185"/>
      <c r="AY195" s="185"/>
      <c r="AZ195" s="185"/>
      <c r="BA195" s="185"/>
      <c r="BB195" s="185"/>
      <c r="BC195" s="185"/>
      <c r="BD195" s="185"/>
      <c r="BE195" s="185"/>
      <c r="BF195" s="185"/>
      <c r="BG195" s="185"/>
      <c r="BH195" s="185"/>
      <c r="BI195" s="185"/>
      <c r="BJ195" s="185"/>
      <c r="BK195" s="185"/>
      <c r="BL195" s="185"/>
      <c r="BM195" s="185"/>
      <c r="BN195" s="185"/>
      <c r="BO195" s="185"/>
      <c r="BP195" s="185"/>
      <c r="BQ195" s="185"/>
      <c r="BR195" s="185"/>
      <c r="BS195" s="185"/>
      <c r="BT195" s="185"/>
      <c r="BU195" s="185"/>
      <c r="BV195" s="185"/>
      <c r="BW195" s="185"/>
      <c r="BX195" s="185"/>
      <c r="BY195" s="185"/>
      <c r="BZ195" s="185"/>
      <c r="CA195" s="185"/>
      <c r="CB195" s="185"/>
      <c r="CC195" s="185"/>
      <c r="CD195" s="185"/>
      <c r="CE195" s="185"/>
      <c r="CF195" s="185"/>
      <c r="CG195" s="185"/>
      <c r="CH195" s="185"/>
      <c r="CI195" s="185"/>
      <c r="CJ195" s="185"/>
      <c r="CK195" s="185"/>
      <c r="CL195" s="185"/>
      <c r="CM195" s="185"/>
      <c r="CN195" s="185"/>
      <c r="CO195" s="185"/>
      <c r="CP195" s="185"/>
      <c r="CQ195" s="185"/>
      <c r="CR195" s="185"/>
      <c r="CS195" s="185"/>
      <c r="CT195" s="185"/>
      <c r="CU195" s="185"/>
      <c r="CV195" s="185"/>
      <c r="CW195" s="185"/>
      <c r="CX195" s="185"/>
      <c r="CY195" s="185"/>
      <c r="CZ195" s="185"/>
      <c r="DA195" s="185"/>
      <c r="DB195" s="185"/>
      <c r="DC195" s="185"/>
      <c r="DD195" s="185"/>
      <c r="DE195" s="185"/>
      <c r="DF195" s="185"/>
      <c r="DG195" s="185"/>
      <c r="DH195" s="185"/>
      <c r="DI195" s="185"/>
      <c r="DJ195" s="185"/>
      <c r="DK195" s="185"/>
      <c r="DL195" s="185"/>
      <c r="DM195" s="185"/>
      <c r="DN195" s="185"/>
      <c r="DO195" s="185"/>
      <c r="DP195" s="185"/>
      <c r="DQ195" s="185"/>
      <c r="DR195" s="185"/>
      <c r="DS195" s="185"/>
      <c r="DT195" s="185"/>
      <c r="DU195" s="185"/>
      <c r="DV195" s="185"/>
      <c r="DW195" s="185"/>
      <c r="DX195" s="185"/>
      <c r="DY195" s="185"/>
      <c r="DZ195" s="185"/>
      <c r="EA195" s="185"/>
      <c r="EB195" s="185"/>
      <c r="EC195" s="185"/>
      <c r="ED195" s="185"/>
      <c r="EE195" s="185"/>
      <c r="EF195" s="185"/>
      <c r="EG195" s="185"/>
      <c r="EH195" s="185"/>
      <c r="EI195" s="185"/>
      <c r="EJ195" s="185"/>
      <c r="EK195" s="185"/>
      <c r="EL195" s="185"/>
      <c r="EM195" s="185"/>
      <c r="EN195" s="185"/>
      <c r="EO195" s="185"/>
      <c r="EP195" s="185"/>
      <c r="EQ195" s="185"/>
      <c r="ER195" s="185"/>
      <c r="ES195" s="185"/>
      <c r="ET195" s="185"/>
      <c r="EU195" s="185"/>
      <c r="EV195" s="185"/>
      <c r="EW195" s="185"/>
      <c r="EX195" s="185"/>
      <c r="EY195" s="185"/>
      <c r="EZ195" s="185"/>
      <c r="FA195" s="185"/>
      <c r="FB195" s="185"/>
      <c r="FC195" s="185"/>
      <c r="FD195" s="185"/>
      <c r="FE195" s="185"/>
      <c r="FF195" s="185"/>
      <c r="FG195" s="185"/>
      <c r="FH195" s="185"/>
      <c r="FI195" s="185"/>
      <c r="FJ195" s="185"/>
      <c r="FK195" s="185"/>
    </row>
    <row r="196" spans="1:167" s="186" customFormat="1">
      <c r="A196" s="198"/>
      <c r="B196" s="178"/>
      <c r="C196" s="141"/>
      <c r="D196" s="140"/>
      <c r="E196" s="141"/>
      <c r="F196" s="198"/>
      <c r="G196" s="141"/>
      <c r="H196" s="141"/>
      <c r="I196" s="141"/>
      <c r="J196" s="141"/>
      <c r="K196" s="141"/>
      <c r="L196" s="333"/>
      <c r="M196" s="339"/>
      <c r="N196" s="191"/>
      <c r="O196" s="337"/>
      <c r="P196" s="339"/>
      <c r="Q196" s="179"/>
      <c r="R196" s="180"/>
      <c r="S196" s="181"/>
      <c r="T196" s="182"/>
      <c r="U196" s="141"/>
      <c r="V196" s="182"/>
      <c r="W196" s="183"/>
      <c r="X196" s="185"/>
      <c r="Y196" s="176" t="str">
        <f>IF(Table17[[#This Row],[Required Resolution Date]]="","FALSE",IF($AA$1&gt;Table17[[#This Row],[Required Resolution Date]],"TRUE","FALSE"))</f>
        <v>FALSE</v>
      </c>
      <c r="Z196" s="175">
        <f t="shared" ref="Z196:Z234" si="24">IF(Y196="TRUE",1,0)</f>
        <v>0</v>
      </c>
      <c r="AA196" s="185"/>
      <c r="AB196" s="327" t="b">
        <f>OR(Table17[[#This Row],[Priority]]="04. High",Table17[[#This Row],[Priority]]="05. Critical")</f>
        <v>0</v>
      </c>
      <c r="AC196" s="284">
        <f ca="1">$AA$1-Table17[[#This Row],[Date captured]]</f>
        <v>40990</v>
      </c>
      <c r="AD196" s="327" t="b">
        <f t="shared" ca="1" si="20"/>
        <v>0</v>
      </c>
      <c r="AE196" s="327" t="b">
        <f t="shared" ca="1" si="21"/>
        <v>0</v>
      </c>
      <c r="AF196" s="327" t="b">
        <f t="shared" ca="1" si="22"/>
        <v>1</v>
      </c>
      <c r="AG196" s="284">
        <f ca="1">Table17[[#This Row],[Required Resolution Date]]-$AA$1</f>
        <v>-40990</v>
      </c>
      <c r="AH196" s="327" t="b">
        <f t="shared" ca="1" si="23"/>
        <v>0</v>
      </c>
      <c r="AI196" s="327" t="b">
        <f>OR(Table17[[#This Row],[Priority]]="04. High",Table17[[#This Row],[Priority]]="05. Critical",Table17[[#This Row],[Priority]]="03. Moderate")</f>
        <v>0</v>
      </c>
      <c r="AJ196" s="185"/>
      <c r="AK196" s="185"/>
      <c r="AL196" s="185"/>
      <c r="AM196" s="185"/>
      <c r="AN196" s="185"/>
      <c r="AO196" s="185"/>
      <c r="AP196" s="185"/>
      <c r="AQ196" s="185"/>
      <c r="AR196" s="185"/>
      <c r="AS196" s="185"/>
      <c r="AT196" s="185"/>
      <c r="AU196" s="185"/>
      <c r="AV196" s="185"/>
      <c r="AW196" s="185"/>
      <c r="AX196" s="185"/>
      <c r="AY196" s="185"/>
      <c r="AZ196" s="185"/>
      <c r="BA196" s="185"/>
      <c r="BB196" s="185"/>
      <c r="BC196" s="185"/>
      <c r="BD196" s="185"/>
      <c r="BE196" s="185"/>
      <c r="BF196" s="185"/>
      <c r="BG196" s="185"/>
      <c r="BH196" s="185"/>
      <c r="BI196" s="185"/>
      <c r="BJ196" s="185"/>
      <c r="BK196" s="185"/>
      <c r="BL196" s="185"/>
      <c r="BM196" s="185"/>
      <c r="BN196" s="185"/>
      <c r="BO196" s="185"/>
      <c r="BP196" s="185"/>
      <c r="BQ196" s="185"/>
      <c r="BR196" s="185"/>
      <c r="BS196" s="185"/>
      <c r="BT196" s="185"/>
      <c r="BU196" s="185"/>
      <c r="BV196" s="185"/>
      <c r="BW196" s="185"/>
      <c r="BX196" s="185"/>
      <c r="BY196" s="185"/>
      <c r="BZ196" s="185"/>
      <c r="CA196" s="185"/>
      <c r="CB196" s="185"/>
      <c r="CC196" s="185"/>
      <c r="CD196" s="185"/>
      <c r="CE196" s="185"/>
      <c r="CF196" s="185"/>
      <c r="CG196" s="185"/>
      <c r="CH196" s="185"/>
      <c r="CI196" s="185"/>
      <c r="CJ196" s="185"/>
      <c r="CK196" s="185"/>
      <c r="CL196" s="185"/>
      <c r="CM196" s="185"/>
      <c r="CN196" s="185"/>
      <c r="CO196" s="185"/>
      <c r="CP196" s="185"/>
      <c r="CQ196" s="185"/>
      <c r="CR196" s="185"/>
      <c r="CS196" s="185"/>
      <c r="CT196" s="185"/>
      <c r="CU196" s="185"/>
      <c r="CV196" s="185"/>
      <c r="CW196" s="185"/>
      <c r="CX196" s="185"/>
      <c r="CY196" s="185"/>
      <c r="CZ196" s="185"/>
      <c r="DA196" s="185"/>
      <c r="DB196" s="185"/>
      <c r="DC196" s="185"/>
      <c r="DD196" s="185"/>
      <c r="DE196" s="185"/>
      <c r="DF196" s="185"/>
      <c r="DG196" s="185"/>
      <c r="DH196" s="185"/>
      <c r="DI196" s="185"/>
      <c r="DJ196" s="185"/>
      <c r="DK196" s="185"/>
      <c r="DL196" s="185"/>
      <c r="DM196" s="185"/>
      <c r="DN196" s="185"/>
      <c r="DO196" s="185"/>
      <c r="DP196" s="185"/>
      <c r="DQ196" s="185"/>
      <c r="DR196" s="185"/>
      <c r="DS196" s="185"/>
      <c r="DT196" s="185"/>
      <c r="DU196" s="185"/>
      <c r="DV196" s="185"/>
      <c r="DW196" s="185"/>
      <c r="DX196" s="185"/>
      <c r="DY196" s="185"/>
      <c r="DZ196" s="185"/>
      <c r="EA196" s="185"/>
      <c r="EB196" s="185"/>
      <c r="EC196" s="185"/>
      <c r="ED196" s="185"/>
      <c r="EE196" s="185"/>
      <c r="EF196" s="185"/>
      <c r="EG196" s="185"/>
      <c r="EH196" s="185"/>
      <c r="EI196" s="185"/>
      <c r="EJ196" s="185"/>
      <c r="EK196" s="185"/>
      <c r="EL196" s="185"/>
      <c r="EM196" s="185"/>
      <c r="EN196" s="185"/>
      <c r="EO196" s="185"/>
      <c r="EP196" s="185"/>
      <c r="EQ196" s="185"/>
      <c r="ER196" s="185"/>
      <c r="ES196" s="185"/>
      <c r="ET196" s="185"/>
      <c r="EU196" s="185"/>
      <c r="EV196" s="185"/>
      <c r="EW196" s="185"/>
      <c r="EX196" s="185"/>
      <c r="EY196" s="185"/>
      <c r="EZ196" s="185"/>
      <c r="FA196" s="185"/>
      <c r="FB196" s="185"/>
      <c r="FC196" s="185"/>
      <c r="FD196" s="185"/>
      <c r="FE196" s="185"/>
      <c r="FF196" s="185"/>
      <c r="FG196" s="185"/>
      <c r="FH196" s="185"/>
      <c r="FI196" s="185"/>
      <c r="FJ196" s="185"/>
      <c r="FK196" s="185"/>
    </row>
    <row r="197" spans="1:167" s="186" customFormat="1">
      <c r="A197" s="198"/>
      <c r="B197" s="178"/>
      <c r="C197" s="141"/>
      <c r="D197" s="140"/>
      <c r="E197" s="141"/>
      <c r="F197" s="198"/>
      <c r="G197" s="141"/>
      <c r="H197" s="141"/>
      <c r="I197" s="141"/>
      <c r="J197" s="141"/>
      <c r="K197" s="141"/>
      <c r="L197" s="333"/>
      <c r="M197" s="339"/>
      <c r="N197" s="191"/>
      <c r="O197" s="337"/>
      <c r="P197" s="339"/>
      <c r="Q197" s="179"/>
      <c r="R197" s="180"/>
      <c r="S197" s="181"/>
      <c r="T197" s="182"/>
      <c r="U197" s="141"/>
      <c r="V197" s="182"/>
      <c r="W197" s="183"/>
      <c r="X197" s="185"/>
      <c r="Y197" s="176" t="str">
        <f>IF(Table17[[#This Row],[Required Resolution Date]]="","FALSE",IF($AA$1&gt;Table17[[#This Row],[Required Resolution Date]],"TRUE","FALSE"))</f>
        <v>FALSE</v>
      </c>
      <c r="Z197" s="175">
        <f t="shared" si="24"/>
        <v>0</v>
      </c>
      <c r="AA197" s="185"/>
      <c r="AB197" s="327" t="b">
        <f>OR(Table17[[#This Row],[Priority]]="04. High",Table17[[#This Row],[Priority]]="05. Critical")</f>
        <v>0</v>
      </c>
      <c r="AC197" s="284">
        <f ca="1">$AA$1-Table17[[#This Row],[Date captured]]</f>
        <v>40990</v>
      </c>
      <c r="AD197" s="327" t="b">
        <f t="shared" ca="1" si="20"/>
        <v>0</v>
      </c>
      <c r="AE197" s="327" t="b">
        <f t="shared" ca="1" si="21"/>
        <v>0</v>
      </c>
      <c r="AF197" s="327" t="b">
        <f t="shared" ca="1" si="22"/>
        <v>1</v>
      </c>
      <c r="AG197" s="284">
        <f ca="1">Table17[[#This Row],[Required Resolution Date]]-$AA$1</f>
        <v>-40990</v>
      </c>
      <c r="AH197" s="327" t="b">
        <f t="shared" ca="1" si="23"/>
        <v>0</v>
      </c>
      <c r="AI197" s="327" t="b">
        <f>OR(Table17[[#This Row],[Priority]]="04. High",Table17[[#This Row],[Priority]]="05. Critical",Table17[[#This Row],[Priority]]="03. Moderate")</f>
        <v>0</v>
      </c>
      <c r="AJ197" s="185"/>
      <c r="AK197" s="185"/>
      <c r="AL197" s="185"/>
      <c r="AM197" s="185"/>
      <c r="AN197" s="185"/>
      <c r="AO197" s="185"/>
      <c r="AP197" s="185"/>
      <c r="AQ197" s="185"/>
      <c r="AR197" s="185"/>
      <c r="AS197" s="185"/>
      <c r="AT197" s="185"/>
      <c r="AU197" s="185"/>
      <c r="AV197" s="185"/>
      <c r="AW197" s="185"/>
      <c r="AX197" s="185"/>
      <c r="AY197" s="185"/>
      <c r="AZ197" s="185"/>
      <c r="BA197" s="185"/>
      <c r="BB197" s="185"/>
      <c r="BC197" s="185"/>
      <c r="BD197" s="185"/>
      <c r="BE197" s="185"/>
      <c r="BF197" s="185"/>
      <c r="BG197" s="185"/>
      <c r="BH197" s="185"/>
      <c r="BI197" s="185"/>
      <c r="BJ197" s="185"/>
      <c r="BK197" s="185"/>
      <c r="BL197" s="185"/>
      <c r="BM197" s="185"/>
      <c r="BN197" s="185"/>
      <c r="BO197" s="185"/>
      <c r="BP197" s="185"/>
      <c r="BQ197" s="185"/>
      <c r="BR197" s="185"/>
      <c r="BS197" s="185"/>
      <c r="BT197" s="185"/>
      <c r="BU197" s="185"/>
      <c r="BV197" s="185"/>
      <c r="BW197" s="185"/>
      <c r="BX197" s="185"/>
      <c r="BY197" s="185"/>
      <c r="BZ197" s="185"/>
      <c r="CA197" s="185"/>
      <c r="CB197" s="185"/>
      <c r="CC197" s="185"/>
      <c r="CD197" s="185"/>
      <c r="CE197" s="185"/>
      <c r="CF197" s="185"/>
      <c r="CG197" s="185"/>
      <c r="CH197" s="185"/>
      <c r="CI197" s="185"/>
      <c r="CJ197" s="185"/>
      <c r="CK197" s="185"/>
      <c r="CL197" s="185"/>
      <c r="CM197" s="185"/>
      <c r="CN197" s="185"/>
      <c r="CO197" s="185"/>
      <c r="CP197" s="185"/>
      <c r="CQ197" s="185"/>
      <c r="CR197" s="185"/>
      <c r="CS197" s="185"/>
      <c r="CT197" s="185"/>
      <c r="CU197" s="185"/>
      <c r="CV197" s="185"/>
      <c r="CW197" s="185"/>
      <c r="CX197" s="185"/>
      <c r="CY197" s="185"/>
      <c r="CZ197" s="185"/>
      <c r="DA197" s="185"/>
      <c r="DB197" s="185"/>
      <c r="DC197" s="185"/>
      <c r="DD197" s="185"/>
      <c r="DE197" s="185"/>
      <c r="DF197" s="185"/>
      <c r="DG197" s="185"/>
      <c r="DH197" s="185"/>
      <c r="DI197" s="185"/>
      <c r="DJ197" s="185"/>
      <c r="DK197" s="185"/>
      <c r="DL197" s="185"/>
      <c r="DM197" s="185"/>
      <c r="DN197" s="185"/>
      <c r="DO197" s="185"/>
      <c r="DP197" s="185"/>
      <c r="DQ197" s="185"/>
      <c r="DR197" s="185"/>
      <c r="DS197" s="185"/>
      <c r="DT197" s="185"/>
      <c r="DU197" s="185"/>
      <c r="DV197" s="185"/>
      <c r="DW197" s="185"/>
      <c r="DX197" s="185"/>
      <c r="DY197" s="185"/>
      <c r="DZ197" s="185"/>
      <c r="EA197" s="185"/>
      <c r="EB197" s="185"/>
      <c r="EC197" s="185"/>
      <c r="ED197" s="185"/>
      <c r="EE197" s="185"/>
      <c r="EF197" s="185"/>
      <c r="EG197" s="185"/>
      <c r="EH197" s="185"/>
      <c r="EI197" s="185"/>
      <c r="EJ197" s="185"/>
      <c r="EK197" s="185"/>
      <c r="EL197" s="185"/>
      <c r="EM197" s="185"/>
      <c r="EN197" s="185"/>
      <c r="EO197" s="185"/>
      <c r="EP197" s="185"/>
      <c r="EQ197" s="185"/>
      <c r="ER197" s="185"/>
      <c r="ES197" s="185"/>
      <c r="ET197" s="185"/>
      <c r="EU197" s="185"/>
      <c r="EV197" s="185"/>
      <c r="EW197" s="185"/>
      <c r="EX197" s="185"/>
      <c r="EY197" s="185"/>
      <c r="EZ197" s="185"/>
      <c r="FA197" s="185"/>
      <c r="FB197" s="185"/>
      <c r="FC197" s="185"/>
      <c r="FD197" s="185"/>
      <c r="FE197" s="185"/>
      <c r="FF197" s="185"/>
      <c r="FG197" s="185"/>
      <c r="FH197" s="185"/>
      <c r="FI197" s="185"/>
      <c r="FJ197" s="185"/>
      <c r="FK197" s="185"/>
    </row>
    <row r="198" spans="1:167" s="186" customFormat="1">
      <c r="A198" s="198"/>
      <c r="B198" s="178"/>
      <c r="C198" s="141"/>
      <c r="D198" s="140"/>
      <c r="E198" s="141"/>
      <c r="F198" s="198"/>
      <c r="G198" s="141"/>
      <c r="H198" s="141"/>
      <c r="I198" s="141"/>
      <c r="J198" s="141"/>
      <c r="K198" s="141"/>
      <c r="L198" s="333"/>
      <c r="M198" s="339"/>
      <c r="N198" s="191"/>
      <c r="O198" s="337"/>
      <c r="P198" s="339"/>
      <c r="Q198" s="179"/>
      <c r="R198" s="180"/>
      <c r="S198" s="181"/>
      <c r="T198" s="182"/>
      <c r="U198" s="141"/>
      <c r="V198" s="182"/>
      <c r="W198" s="183"/>
      <c r="X198" s="185"/>
      <c r="Y198" s="176" t="str">
        <f>IF(Table17[[#This Row],[Required Resolution Date]]="","FALSE",IF($AA$1&gt;Table17[[#This Row],[Required Resolution Date]],"TRUE","FALSE"))</f>
        <v>FALSE</v>
      </c>
      <c r="Z198" s="175">
        <f t="shared" si="24"/>
        <v>0</v>
      </c>
      <c r="AA198" s="185"/>
      <c r="AB198" s="327" t="b">
        <f>OR(Table17[[#This Row],[Priority]]="04. High",Table17[[#This Row],[Priority]]="05. Critical")</f>
        <v>0</v>
      </c>
      <c r="AC198" s="284">
        <f ca="1">$AA$1-Table17[[#This Row],[Date captured]]</f>
        <v>40990</v>
      </c>
      <c r="AD198" s="327" t="b">
        <f t="shared" ca="1" si="20"/>
        <v>0</v>
      </c>
      <c r="AE198" s="327" t="b">
        <f t="shared" ca="1" si="21"/>
        <v>0</v>
      </c>
      <c r="AF198" s="327" t="b">
        <f t="shared" ca="1" si="22"/>
        <v>1</v>
      </c>
      <c r="AG198" s="284">
        <f ca="1">Table17[[#This Row],[Required Resolution Date]]-$AA$1</f>
        <v>-40990</v>
      </c>
      <c r="AH198" s="327" t="b">
        <f t="shared" ca="1" si="23"/>
        <v>0</v>
      </c>
      <c r="AI198" s="327" t="b">
        <f>OR(Table17[[#This Row],[Priority]]="04. High",Table17[[#This Row],[Priority]]="05. Critical",Table17[[#This Row],[Priority]]="03. Moderate")</f>
        <v>0</v>
      </c>
      <c r="AJ198" s="185"/>
      <c r="AK198" s="185"/>
      <c r="AL198" s="185"/>
      <c r="AM198" s="185"/>
      <c r="AN198" s="185"/>
      <c r="AO198" s="185"/>
      <c r="AP198" s="185"/>
      <c r="AQ198" s="185"/>
      <c r="AR198" s="185"/>
      <c r="AS198" s="185"/>
      <c r="AT198" s="185"/>
      <c r="AU198" s="185"/>
      <c r="AV198" s="185"/>
      <c r="AW198" s="185"/>
      <c r="AX198" s="185"/>
      <c r="AY198" s="185"/>
      <c r="AZ198" s="185"/>
      <c r="BA198" s="185"/>
      <c r="BB198" s="185"/>
      <c r="BC198" s="185"/>
      <c r="BD198" s="185"/>
      <c r="BE198" s="185"/>
      <c r="BF198" s="185"/>
      <c r="BG198" s="185"/>
      <c r="BH198" s="185"/>
      <c r="BI198" s="185"/>
      <c r="BJ198" s="185"/>
      <c r="BK198" s="185"/>
      <c r="BL198" s="185"/>
      <c r="BM198" s="185"/>
      <c r="BN198" s="185"/>
      <c r="BO198" s="185"/>
      <c r="BP198" s="185"/>
      <c r="BQ198" s="185"/>
      <c r="BR198" s="185"/>
      <c r="BS198" s="185"/>
      <c r="BT198" s="185"/>
      <c r="BU198" s="185"/>
      <c r="BV198" s="185"/>
      <c r="BW198" s="185"/>
      <c r="BX198" s="185"/>
      <c r="BY198" s="185"/>
      <c r="BZ198" s="185"/>
      <c r="CA198" s="185"/>
      <c r="CB198" s="185"/>
      <c r="CC198" s="185"/>
      <c r="CD198" s="185"/>
      <c r="CE198" s="185"/>
      <c r="CF198" s="185"/>
      <c r="CG198" s="185"/>
      <c r="CH198" s="185"/>
      <c r="CI198" s="185"/>
      <c r="CJ198" s="185"/>
      <c r="CK198" s="185"/>
      <c r="CL198" s="185"/>
      <c r="CM198" s="185"/>
      <c r="CN198" s="185"/>
      <c r="CO198" s="185"/>
      <c r="CP198" s="185"/>
      <c r="CQ198" s="185"/>
      <c r="CR198" s="185"/>
      <c r="CS198" s="185"/>
      <c r="CT198" s="185"/>
      <c r="CU198" s="185"/>
      <c r="CV198" s="185"/>
      <c r="CW198" s="185"/>
      <c r="CX198" s="185"/>
      <c r="CY198" s="185"/>
      <c r="CZ198" s="185"/>
      <c r="DA198" s="185"/>
      <c r="DB198" s="185"/>
      <c r="DC198" s="185"/>
      <c r="DD198" s="185"/>
      <c r="DE198" s="185"/>
      <c r="DF198" s="185"/>
      <c r="DG198" s="185"/>
      <c r="DH198" s="185"/>
      <c r="DI198" s="185"/>
      <c r="DJ198" s="185"/>
      <c r="DK198" s="185"/>
      <c r="DL198" s="185"/>
      <c r="DM198" s="185"/>
      <c r="DN198" s="185"/>
      <c r="DO198" s="185"/>
      <c r="DP198" s="185"/>
      <c r="DQ198" s="185"/>
      <c r="DR198" s="185"/>
      <c r="DS198" s="185"/>
      <c r="DT198" s="185"/>
      <c r="DU198" s="185"/>
      <c r="DV198" s="185"/>
      <c r="DW198" s="185"/>
      <c r="DX198" s="185"/>
      <c r="DY198" s="185"/>
      <c r="DZ198" s="185"/>
      <c r="EA198" s="185"/>
      <c r="EB198" s="185"/>
      <c r="EC198" s="185"/>
      <c r="ED198" s="185"/>
      <c r="EE198" s="185"/>
      <c r="EF198" s="185"/>
      <c r="EG198" s="185"/>
      <c r="EH198" s="185"/>
      <c r="EI198" s="185"/>
      <c r="EJ198" s="185"/>
      <c r="EK198" s="185"/>
      <c r="EL198" s="185"/>
      <c r="EM198" s="185"/>
      <c r="EN198" s="185"/>
      <c r="EO198" s="185"/>
      <c r="EP198" s="185"/>
      <c r="EQ198" s="185"/>
      <c r="ER198" s="185"/>
      <c r="ES198" s="185"/>
      <c r="ET198" s="185"/>
      <c r="EU198" s="185"/>
      <c r="EV198" s="185"/>
      <c r="EW198" s="185"/>
      <c r="EX198" s="185"/>
      <c r="EY198" s="185"/>
      <c r="EZ198" s="185"/>
      <c r="FA198" s="185"/>
      <c r="FB198" s="185"/>
      <c r="FC198" s="185"/>
      <c r="FD198" s="185"/>
      <c r="FE198" s="185"/>
      <c r="FF198" s="185"/>
      <c r="FG198" s="185"/>
      <c r="FH198" s="185"/>
      <c r="FI198" s="185"/>
      <c r="FJ198" s="185"/>
      <c r="FK198" s="185"/>
    </row>
    <row r="199" spans="1:167" s="186" customFormat="1">
      <c r="A199" s="198"/>
      <c r="B199" s="178"/>
      <c r="C199" s="141"/>
      <c r="D199" s="140"/>
      <c r="E199" s="141"/>
      <c r="F199" s="198"/>
      <c r="G199" s="141"/>
      <c r="H199" s="141"/>
      <c r="I199" s="141"/>
      <c r="J199" s="141"/>
      <c r="K199" s="141"/>
      <c r="L199" s="333"/>
      <c r="M199" s="339"/>
      <c r="N199" s="191"/>
      <c r="O199" s="337"/>
      <c r="P199" s="339"/>
      <c r="Q199" s="179"/>
      <c r="R199" s="180"/>
      <c r="S199" s="181"/>
      <c r="T199" s="182"/>
      <c r="U199" s="141"/>
      <c r="V199" s="182"/>
      <c r="W199" s="183"/>
      <c r="X199" s="185"/>
      <c r="Y199" s="176" t="str">
        <f>IF(Table17[[#This Row],[Required Resolution Date]]="","FALSE",IF($AA$1&gt;Table17[[#This Row],[Required Resolution Date]],"TRUE","FALSE"))</f>
        <v>FALSE</v>
      </c>
      <c r="Z199" s="175">
        <f t="shared" si="24"/>
        <v>0</v>
      </c>
      <c r="AA199" s="185"/>
      <c r="AB199" s="327" t="b">
        <f>OR(Table17[[#This Row],[Priority]]="04. High",Table17[[#This Row],[Priority]]="05. Critical")</f>
        <v>0</v>
      </c>
      <c r="AC199" s="284">
        <f ca="1">$AA$1-Table17[[#This Row],[Date captured]]</f>
        <v>40990</v>
      </c>
      <c r="AD199" s="327" t="b">
        <f t="shared" ca="1" si="20"/>
        <v>0</v>
      </c>
      <c r="AE199" s="327" t="b">
        <f t="shared" ca="1" si="21"/>
        <v>0</v>
      </c>
      <c r="AF199" s="327" t="b">
        <f t="shared" ca="1" si="22"/>
        <v>1</v>
      </c>
      <c r="AG199" s="284">
        <f ca="1">Table17[[#This Row],[Required Resolution Date]]-$AA$1</f>
        <v>-40990</v>
      </c>
      <c r="AH199" s="327" t="b">
        <f t="shared" ca="1" si="23"/>
        <v>0</v>
      </c>
      <c r="AI199" s="327" t="b">
        <f>OR(Table17[[#This Row],[Priority]]="04. High",Table17[[#This Row],[Priority]]="05. Critical",Table17[[#This Row],[Priority]]="03. Moderate")</f>
        <v>0</v>
      </c>
      <c r="AJ199" s="185"/>
      <c r="AK199" s="185"/>
      <c r="AL199" s="185"/>
      <c r="AM199" s="185"/>
      <c r="AN199" s="185"/>
      <c r="AO199" s="185"/>
      <c r="AP199" s="185"/>
      <c r="AQ199" s="185"/>
      <c r="AR199" s="185"/>
      <c r="AS199" s="185"/>
      <c r="AT199" s="185"/>
      <c r="AU199" s="185"/>
      <c r="AV199" s="185"/>
      <c r="AW199" s="185"/>
      <c r="AX199" s="185"/>
      <c r="AY199" s="185"/>
      <c r="AZ199" s="185"/>
      <c r="BA199" s="185"/>
      <c r="BB199" s="185"/>
      <c r="BC199" s="185"/>
      <c r="BD199" s="185"/>
      <c r="BE199" s="185"/>
      <c r="BF199" s="185"/>
      <c r="BG199" s="185"/>
      <c r="BH199" s="185"/>
      <c r="BI199" s="185"/>
      <c r="BJ199" s="185"/>
      <c r="BK199" s="185"/>
      <c r="BL199" s="185"/>
      <c r="BM199" s="185"/>
      <c r="BN199" s="185"/>
      <c r="BO199" s="185"/>
      <c r="BP199" s="185"/>
      <c r="BQ199" s="185"/>
      <c r="BR199" s="185"/>
      <c r="BS199" s="185"/>
      <c r="BT199" s="185"/>
      <c r="BU199" s="185"/>
      <c r="BV199" s="185"/>
      <c r="BW199" s="185"/>
      <c r="BX199" s="185"/>
      <c r="BY199" s="185"/>
      <c r="BZ199" s="185"/>
      <c r="CA199" s="185"/>
      <c r="CB199" s="185"/>
      <c r="CC199" s="185"/>
      <c r="CD199" s="185"/>
      <c r="CE199" s="185"/>
      <c r="CF199" s="185"/>
      <c r="CG199" s="185"/>
      <c r="CH199" s="185"/>
      <c r="CI199" s="185"/>
      <c r="CJ199" s="185"/>
      <c r="CK199" s="185"/>
      <c r="CL199" s="185"/>
      <c r="CM199" s="185"/>
      <c r="CN199" s="185"/>
      <c r="CO199" s="185"/>
      <c r="CP199" s="185"/>
      <c r="CQ199" s="185"/>
      <c r="CR199" s="185"/>
      <c r="CS199" s="185"/>
      <c r="CT199" s="185"/>
      <c r="CU199" s="185"/>
      <c r="CV199" s="185"/>
      <c r="CW199" s="185"/>
      <c r="CX199" s="185"/>
      <c r="CY199" s="185"/>
      <c r="CZ199" s="185"/>
      <c r="DA199" s="185"/>
      <c r="DB199" s="185"/>
      <c r="DC199" s="185"/>
      <c r="DD199" s="185"/>
      <c r="DE199" s="185"/>
      <c r="DF199" s="185"/>
      <c r="DG199" s="185"/>
      <c r="DH199" s="185"/>
      <c r="DI199" s="185"/>
      <c r="DJ199" s="185"/>
      <c r="DK199" s="185"/>
      <c r="DL199" s="185"/>
      <c r="DM199" s="185"/>
      <c r="DN199" s="185"/>
      <c r="DO199" s="185"/>
      <c r="DP199" s="185"/>
      <c r="DQ199" s="185"/>
      <c r="DR199" s="185"/>
      <c r="DS199" s="185"/>
      <c r="DT199" s="185"/>
      <c r="DU199" s="185"/>
      <c r="DV199" s="185"/>
      <c r="DW199" s="185"/>
      <c r="DX199" s="185"/>
      <c r="DY199" s="185"/>
      <c r="DZ199" s="185"/>
      <c r="EA199" s="185"/>
      <c r="EB199" s="185"/>
      <c r="EC199" s="185"/>
      <c r="ED199" s="185"/>
      <c r="EE199" s="185"/>
      <c r="EF199" s="185"/>
      <c r="EG199" s="185"/>
      <c r="EH199" s="185"/>
      <c r="EI199" s="185"/>
      <c r="EJ199" s="185"/>
      <c r="EK199" s="185"/>
      <c r="EL199" s="185"/>
      <c r="EM199" s="185"/>
      <c r="EN199" s="185"/>
      <c r="EO199" s="185"/>
      <c r="EP199" s="185"/>
      <c r="EQ199" s="185"/>
      <c r="ER199" s="185"/>
      <c r="ES199" s="185"/>
      <c r="ET199" s="185"/>
      <c r="EU199" s="185"/>
      <c r="EV199" s="185"/>
      <c r="EW199" s="185"/>
      <c r="EX199" s="185"/>
      <c r="EY199" s="185"/>
      <c r="EZ199" s="185"/>
      <c r="FA199" s="185"/>
      <c r="FB199" s="185"/>
      <c r="FC199" s="185"/>
      <c r="FD199" s="185"/>
      <c r="FE199" s="185"/>
      <c r="FF199" s="185"/>
      <c r="FG199" s="185"/>
      <c r="FH199" s="185"/>
      <c r="FI199" s="185"/>
      <c r="FJ199" s="185"/>
      <c r="FK199" s="185"/>
    </row>
    <row r="200" spans="1:167" s="186" customFormat="1">
      <c r="A200" s="198"/>
      <c r="B200" s="178"/>
      <c r="C200" s="141"/>
      <c r="D200" s="140"/>
      <c r="E200" s="141"/>
      <c r="F200" s="198"/>
      <c r="G200" s="141"/>
      <c r="H200" s="141"/>
      <c r="I200" s="141"/>
      <c r="J200" s="141"/>
      <c r="K200" s="141"/>
      <c r="L200" s="333"/>
      <c r="M200" s="339"/>
      <c r="N200" s="191"/>
      <c r="O200" s="337"/>
      <c r="P200" s="339"/>
      <c r="Q200" s="179"/>
      <c r="R200" s="180"/>
      <c r="S200" s="181"/>
      <c r="T200" s="182"/>
      <c r="U200" s="141"/>
      <c r="V200" s="182"/>
      <c r="W200" s="183"/>
      <c r="X200" s="185"/>
      <c r="Y200" s="176" t="str">
        <f>IF(Table17[[#This Row],[Required Resolution Date]]="","FALSE",IF($AA$1&gt;Table17[[#This Row],[Required Resolution Date]],"TRUE","FALSE"))</f>
        <v>FALSE</v>
      </c>
      <c r="Z200" s="175">
        <f t="shared" si="24"/>
        <v>0</v>
      </c>
      <c r="AA200" s="185"/>
      <c r="AB200" s="327" t="b">
        <f>OR(Table17[[#This Row],[Priority]]="04. High",Table17[[#This Row],[Priority]]="05. Critical")</f>
        <v>0</v>
      </c>
      <c r="AC200" s="284">
        <f ca="1">$AA$1-Table17[[#This Row],[Date captured]]</f>
        <v>40990</v>
      </c>
      <c r="AD200" s="327" t="b">
        <f t="shared" ca="1" si="20"/>
        <v>0</v>
      </c>
      <c r="AE200" s="327" t="b">
        <f t="shared" ca="1" si="21"/>
        <v>0</v>
      </c>
      <c r="AF200" s="327" t="b">
        <f t="shared" ca="1" si="22"/>
        <v>1</v>
      </c>
      <c r="AG200" s="284">
        <f ca="1">Table17[[#This Row],[Required Resolution Date]]-$AA$1</f>
        <v>-40990</v>
      </c>
      <c r="AH200" s="327" t="b">
        <f t="shared" ca="1" si="23"/>
        <v>0</v>
      </c>
      <c r="AI200" s="327" t="b">
        <f>OR(Table17[[#This Row],[Priority]]="04. High",Table17[[#This Row],[Priority]]="05. Critical",Table17[[#This Row],[Priority]]="03. Moderate")</f>
        <v>0</v>
      </c>
      <c r="AJ200" s="185"/>
      <c r="AK200" s="185"/>
      <c r="AL200" s="185"/>
      <c r="AM200" s="185"/>
      <c r="AN200" s="185"/>
      <c r="AO200" s="185"/>
      <c r="AP200" s="185"/>
      <c r="AQ200" s="185"/>
      <c r="AR200" s="185"/>
      <c r="AS200" s="185"/>
      <c r="AT200" s="185"/>
      <c r="AU200" s="185"/>
      <c r="AV200" s="185"/>
      <c r="AW200" s="185"/>
      <c r="AX200" s="185"/>
      <c r="AY200" s="185"/>
      <c r="AZ200" s="185"/>
      <c r="BA200" s="185"/>
      <c r="BB200" s="185"/>
      <c r="BC200" s="185"/>
      <c r="BD200" s="185"/>
      <c r="BE200" s="185"/>
      <c r="BF200" s="185"/>
      <c r="BG200" s="185"/>
      <c r="BH200" s="185"/>
      <c r="BI200" s="185"/>
      <c r="BJ200" s="185"/>
      <c r="BK200" s="185"/>
      <c r="BL200" s="185"/>
      <c r="BM200" s="185"/>
      <c r="BN200" s="185"/>
      <c r="BO200" s="185"/>
      <c r="BP200" s="185"/>
      <c r="BQ200" s="185"/>
      <c r="BR200" s="185"/>
      <c r="BS200" s="185"/>
      <c r="BT200" s="185"/>
      <c r="BU200" s="185"/>
      <c r="BV200" s="185"/>
      <c r="BW200" s="185"/>
      <c r="BX200" s="185"/>
      <c r="BY200" s="185"/>
      <c r="BZ200" s="185"/>
      <c r="CA200" s="185"/>
      <c r="CB200" s="185"/>
      <c r="CC200" s="185"/>
      <c r="CD200" s="185"/>
      <c r="CE200" s="185"/>
      <c r="CF200" s="185"/>
      <c r="CG200" s="185"/>
      <c r="CH200" s="185"/>
      <c r="CI200" s="185"/>
      <c r="CJ200" s="185"/>
      <c r="CK200" s="185"/>
      <c r="CL200" s="185"/>
      <c r="CM200" s="185"/>
      <c r="CN200" s="185"/>
      <c r="CO200" s="185"/>
      <c r="CP200" s="185"/>
      <c r="CQ200" s="185"/>
      <c r="CR200" s="185"/>
      <c r="CS200" s="185"/>
      <c r="CT200" s="185"/>
      <c r="CU200" s="185"/>
      <c r="CV200" s="185"/>
      <c r="CW200" s="185"/>
      <c r="CX200" s="185"/>
      <c r="CY200" s="185"/>
      <c r="CZ200" s="185"/>
      <c r="DA200" s="185"/>
      <c r="DB200" s="185"/>
      <c r="DC200" s="185"/>
      <c r="DD200" s="185"/>
      <c r="DE200" s="185"/>
      <c r="DF200" s="185"/>
      <c r="DG200" s="185"/>
      <c r="DH200" s="185"/>
      <c r="DI200" s="185"/>
      <c r="DJ200" s="185"/>
      <c r="DK200" s="185"/>
      <c r="DL200" s="185"/>
      <c r="DM200" s="185"/>
      <c r="DN200" s="185"/>
      <c r="DO200" s="185"/>
      <c r="DP200" s="185"/>
      <c r="DQ200" s="185"/>
      <c r="DR200" s="185"/>
      <c r="DS200" s="185"/>
      <c r="DT200" s="185"/>
      <c r="DU200" s="185"/>
      <c r="DV200" s="185"/>
      <c r="DW200" s="185"/>
      <c r="DX200" s="185"/>
      <c r="DY200" s="185"/>
      <c r="DZ200" s="185"/>
      <c r="EA200" s="185"/>
      <c r="EB200" s="185"/>
      <c r="EC200" s="185"/>
      <c r="ED200" s="185"/>
      <c r="EE200" s="185"/>
      <c r="EF200" s="185"/>
      <c r="EG200" s="185"/>
      <c r="EH200" s="185"/>
      <c r="EI200" s="185"/>
      <c r="EJ200" s="185"/>
      <c r="EK200" s="185"/>
      <c r="EL200" s="185"/>
      <c r="EM200" s="185"/>
      <c r="EN200" s="185"/>
      <c r="EO200" s="185"/>
      <c r="EP200" s="185"/>
      <c r="EQ200" s="185"/>
      <c r="ER200" s="185"/>
      <c r="ES200" s="185"/>
      <c r="ET200" s="185"/>
      <c r="EU200" s="185"/>
      <c r="EV200" s="185"/>
      <c r="EW200" s="185"/>
      <c r="EX200" s="185"/>
      <c r="EY200" s="185"/>
      <c r="EZ200" s="185"/>
      <c r="FA200" s="185"/>
      <c r="FB200" s="185"/>
      <c r="FC200" s="185"/>
      <c r="FD200" s="185"/>
      <c r="FE200" s="185"/>
      <c r="FF200" s="185"/>
      <c r="FG200" s="185"/>
      <c r="FH200" s="185"/>
      <c r="FI200" s="185"/>
      <c r="FJ200" s="185"/>
      <c r="FK200" s="185"/>
    </row>
    <row r="201" spans="1:167" s="186" customFormat="1">
      <c r="A201" s="198"/>
      <c r="B201" s="178"/>
      <c r="C201" s="141"/>
      <c r="D201" s="140"/>
      <c r="E201" s="141"/>
      <c r="F201" s="198"/>
      <c r="G201" s="141"/>
      <c r="H201" s="141"/>
      <c r="I201" s="141"/>
      <c r="J201" s="141"/>
      <c r="K201" s="141"/>
      <c r="L201" s="333"/>
      <c r="M201" s="339"/>
      <c r="N201" s="191"/>
      <c r="O201" s="337"/>
      <c r="P201" s="339"/>
      <c r="Q201" s="179"/>
      <c r="R201" s="180"/>
      <c r="S201" s="181"/>
      <c r="T201" s="182"/>
      <c r="U201" s="141"/>
      <c r="V201" s="182"/>
      <c r="W201" s="183"/>
      <c r="X201" s="185"/>
      <c r="Y201" s="176" t="str">
        <f>IF(Table17[[#This Row],[Required Resolution Date]]="","FALSE",IF($AA$1&gt;Table17[[#This Row],[Required Resolution Date]],"TRUE","FALSE"))</f>
        <v>FALSE</v>
      </c>
      <c r="Z201" s="175">
        <f t="shared" si="24"/>
        <v>0</v>
      </c>
      <c r="AA201" s="185"/>
      <c r="AB201" s="327" t="b">
        <f>OR(Table17[[#This Row],[Priority]]="04. High",Table17[[#This Row],[Priority]]="05. Critical")</f>
        <v>0</v>
      </c>
      <c r="AC201" s="284">
        <f ca="1">$AA$1-Table17[[#This Row],[Date captured]]</f>
        <v>40990</v>
      </c>
      <c r="AD201" s="327" t="b">
        <f t="shared" ca="1" si="20"/>
        <v>0</v>
      </c>
      <c r="AE201" s="327" t="b">
        <f t="shared" ca="1" si="21"/>
        <v>0</v>
      </c>
      <c r="AF201" s="327" t="b">
        <f t="shared" ca="1" si="22"/>
        <v>1</v>
      </c>
      <c r="AG201" s="284">
        <f ca="1">Table17[[#This Row],[Required Resolution Date]]-$AA$1</f>
        <v>-40990</v>
      </c>
      <c r="AH201" s="327" t="b">
        <f t="shared" ca="1" si="23"/>
        <v>0</v>
      </c>
      <c r="AI201" s="327" t="b">
        <f>OR(Table17[[#This Row],[Priority]]="04. High",Table17[[#This Row],[Priority]]="05. Critical",Table17[[#This Row],[Priority]]="03. Moderate")</f>
        <v>0</v>
      </c>
      <c r="AJ201" s="185"/>
      <c r="AK201" s="185"/>
      <c r="AL201" s="185"/>
      <c r="AM201" s="185"/>
      <c r="AN201" s="185"/>
      <c r="AO201" s="185"/>
      <c r="AP201" s="185"/>
      <c r="AQ201" s="185"/>
      <c r="AR201" s="185"/>
      <c r="AS201" s="185"/>
      <c r="AT201" s="185"/>
      <c r="AU201" s="185"/>
      <c r="AV201" s="185"/>
      <c r="AW201" s="185"/>
      <c r="AX201" s="185"/>
      <c r="AY201" s="185"/>
      <c r="AZ201" s="185"/>
      <c r="BA201" s="185"/>
      <c r="BB201" s="185"/>
      <c r="BC201" s="185"/>
      <c r="BD201" s="185"/>
      <c r="BE201" s="185"/>
      <c r="BF201" s="185"/>
      <c r="BG201" s="185"/>
      <c r="BH201" s="185"/>
      <c r="BI201" s="185"/>
      <c r="BJ201" s="185"/>
      <c r="BK201" s="185"/>
      <c r="BL201" s="185"/>
      <c r="BM201" s="185"/>
      <c r="BN201" s="185"/>
      <c r="BO201" s="185"/>
      <c r="BP201" s="185"/>
      <c r="BQ201" s="185"/>
      <c r="BR201" s="185"/>
      <c r="BS201" s="185"/>
      <c r="BT201" s="185"/>
      <c r="BU201" s="185"/>
      <c r="BV201" s="185"/>
      <c r="BW201" s="185"/>
      <c r="BX201" s="185"/>
      <c r="BY201" s="185"/>
      <c r="BZ201" s="185"/>
      <c r="CA201" s="185"/>
      <c r="CB201" s="185"/>
      <c r="CC201" s="185"/>
      <c r="CD201" s="185"/>
      <c r="CE201" s="185"/>
      <c r="CF201" s="185"/>
      <c r="CG201" s="185"/>
      <c r="CH201" s="185"/>
      <c r="CI201" s="185"/>
      <c r="CJ201" s="185"/>
      <c r="CK201" s="185"/>
      <c r="CL201" s="185"/>
      <c r="CM201" s="185"/>
      <c r="CN201" s="185"/>
      <c r="CO201" s="185"/>
      <c r="CP201" s="185"/>
      <c r="CQ201" s="185"/>
      <c r="CR201" s="185"/>
      <c r="CS201" s="185"/>
      <c r="CT201" s="185"/>
      <c r="CU201" s="185"/>
      <c r="CV201" s="185"/>
      <c r="CW201" s="185"/>
      <c r="CX201" s="185"/>
      <c r="CY201" s="185"/>
      <c r="CZ201" s="185"/>
      <c r="DA201" s="185"/>
      <c r="DB201" s="185"/>
      <c r="DC201" s="185"/>
      <c r="DD201" s="185"/>
      <c r="DE201" s="185"/>
      <c r="DF201" s="185"/>
      <c r="DG201" s="185"/>
      <c r="DH201" s="185"/>
      <c r="DI201" s="185"/>
      <c r="DJ201" s="185"/>
      <c r="DK201" s="185"/>
      <c r="DL201" s="185"/>
      <c r="DM201" s="185"/>
      <c r="DN201" s="185"/>
      <c r="DO201" s="185"/>
      <c r="DP201" s="185"/>
      <c r="DQ201" s="185"/>
      <c r="DR201" s="185"/>
      <c r="DS201" s="185"/>
      <c r="DT201" s="185"/>
      <c r="DU201" s="185"/>
      <c r="DV201" s="185"/>
      <c r="DW201" s="185"/>
      <c r="DX201" s="185"/>
      <c r="DY201" s="185"/>
      <c r="DZ201" s="185"/>
      <c r="EA201" s="185"/>
      <c r="EB201" s="185"/>
      <c r="EC201" s="185"/>
      <c r="ED201" s="185"/>
      <c r="EE201" s="185"/>
      <c r="EF201" s="185"/>
      <c r="EG201" s="185"/>
      <c r="EH201" s="185"/>
      <c r="EI201" s="185"/>
      <c r="EJ201" s="185"/>
      <c r="EK201" s="185"/>
      <c r="EL201" s="185"/>
      <c r="EM201" s="185"/>
      <c r="EN201" s="185"/>
      <c r="EO201" s="185"/>
      <c r="EP201" s="185"/>
      <c r="EQ201" s="185"/>
      <c r="ER201" s="185"/>
      <c r="ES201" s="185"/>
      <c r="ET201" s="185"/>
      <c r="EU201" s="185"/>
      <c r="EV201" s="185"/>
      <c r="EW201" s="185"/>
      <c r="EX201" s="185"/>
      <c r="EY201" s="185"/>
      <c r="EZ201" s="185"/>
      <c r="FA201" s="185"/>
      <c r="FB201" s="185"/>
      <c r="FC201" s="185"/>
      <c r="FD201" s="185"/>
      <c r="FE201" s="185"/>
      <c r="FF201" s="185"/>
      <c r="FG201" s="185"/>
      <c r="FH201" s="185"/>
      <c r="FI201" s="185"/>
      <c r="FJ201" s="185"/>
      <c r="FK201" s="185"/>
    </row>
    <row r="202" spans="1:167" s="186" customFormat="1">
      <c r="A202" s="198"/>
      <c r="B202" s="178"/>
      <c r="C202" s="141"/>
      <c r="D202" s="140"/>
      <c r="E202" s="141"/>
      <c r="F202" s="198"/>
      <c r="G202" s="141"/>
      <c r="H202" s="141"/>
      <c r="I202" s="141"/>
      <c r="J202" s="141"/>
      <c r="K202" s="141"/>
      <c r="L202" s="333"/>
      <c r="M202" s="339"/>
      <c r="N202" s="191"/>
      <c r="O202" s="337"/>
      <c r="P202" s="339"/>
      <c r="Q202" s="179"/>
      <c r="R202" s="180"/>
      <c r="S202" s="181"/>
      <c r="T202" s="182"/>
      <c r="U202" s="141"/>
      <c r="V202" s="182"/>
      <c r="W202" s="183"/>
      <c r="X202" s="185"/>
      <c r="Y202" s="176" t="str">
        <f>IF(Table17[[#This Row],[Required Resolution Date]]="","FALSE",IF($AA$1&gt;Table17[[#This Row],[Required Resolution Date]],"TRUE","FALSE"))</f>
        <v>FALSE</v>
      </c>
      <c r="Z202" s="175">
        <f t="shared" si="24"/>
        <v>0</v>
      </c>
      <c r="AA202" s="185"/>
      <c r="AB202" s="327" t="b">
        <f>OR(Table17[[#This Row],[Priority]]="04. High",Table17[[#This Row],[Priority]]="05. Critical")</f>
        <v>0</v>
      </c>
      <c r="AC202" s="284">
        <f ca="1">$AA$1-Table17[[#This Row],[Date captured]]</f>
        <v>40990</v>
      </c>
      <c r="AD202" s="327" t="b">
        <f t="shared" ca="1" si="20"/>
        <v>0</v>
      </c>
      <c r="AE202" s="327" t="b">
        <f t="shared" ca="1" si="21"/>
        <v>0</v>
      </c>
      <c r="AF202" s="327" t="b">
        <f t="shared" ca="1" si="22"/>
        <v>1</v>
      </c>
      <c r="AG202" s="284">
        <f ca="1">Table17[[#This Row],[Required Resolution Date]]-$AA$1</f>
        <v>-40990</v>
      </c>
      <c r="AH202" s="327" t="b">
        <f t="shared" ca="1" si="23"/>
        <v>0</v>
      </c>
      <c r="AI202" s="327" t="b">
        <f>OR(Table17[[#This Row],[Priority]]="04. High",Table17[[#This Row],[Priority]]="05. Critical",Table17[[#This Row],[Priority]]="03. Moderate")</f>
        <v>0</v>
      </c>
      <c r="AJ202" s="185"/>
      <c r="AK202" s="185"/>
      <c r="AL202" s="185"/>
      <c r="AM202" s="185"/>
      <c r="AN202" s="185"/>
      <c r="AO202" s="185"/>
      <c r="AP202" s="185"/>
      <c r="AQ202" s="185"/>
      <c r="AR202" s="185"/>
      <c r="AS202" s="185"/>
      <c r="AT202" s="185"/>
      <c r="AU202" s="185"/>
      <c r="AV202" s="185"/>
      <c r="AW202" s="185"/>
      <c r="AX202" s="185"/>
      <c r="AY202" s="185"/>
      <c r="AZ202" s="185"/>
      <c r="BA202" s="185"/>
      <c r="BB202" s="185"/>
      <c r="BC202" s="185"/>
      <c r="BD202" s="185"/>
      <c r="BE202" s="185"/>
      <c r="BF202" s="185"/>
      <c r="BG202" s="185"/>
      <c r="BH202" s="185"/>
      <c r="BI202" s="185"/>
      <c r="BJ202" s="185"/>
      <c r="BK202" s="185"/>
      <c r="BL202" s="185"/>
      <c r="BM202" s="185"/>
      <c r="BN202" s="185"/>
      <c r="BO202" s="185"/>
      <c r="BP202" s="185"/>
      <c r="BQ202" s="185"/>
      <c r="BR202" s="185"/>
      <c r="BS202" s="185"/>
      <c r="BT202" s="185"/>
      <c r="BU202" s="185"/>
      <c r="BV202" s="185"/>
      <c r="BW202" s="185"/>
      <c r="BX202" s="185"/>
      <c r="BY202" s="185"/>
      <c r="BZ202" s="185"/>
      <c r="CA202" s="185"/>
      <c r="CB202" s="185"/>
      <c r="CC202" s="185"/>
      <c r="CD202" s="185"/>
      <c r="CE202" s="185"/>
      <c r="CF202" s="185"/>
      <c r="CG202" s="185"/>
      <c r="CH202" s="185"/>
      <c r="CI202" s="185"/>
      <c r="CJ202" s="185"/>
      <c r="CK202" s="185"/>
      <c r="CL202" s="185"/>
      <c r="CM202" s="185"/>
      <c r="CN202" s="185"/>
      <c r="CO202" s="185"/>
      <c r="CP202" s="185"/>
      <c r="CQ202" s="185"/>
      <c r="CR202" s="185"/>
      <c r="CS202" s="185"/>
      <c r="CT202" s="185"/>
      <c r="CU202" s="185"/>
      <c r="CV202" s="185"/>
      <c r="CW202" s="185"/>
      <c r="CX202" s="185"/>
      <c r="CY202" s="185"/>
      <c r="CZ202" s="185"/>
      <c r="DA202" s="185"/>
      <c r="DB202" s="185"/>
      <c r="DC202" s="185"/>
      <c r="DD202" s="185"/>
      <c r="DE202" s="185"/>
      <c r="DF202" s="185"/>
      <c r="DG202" s="185"/>
      <c r="DH202" s="185"/>
      <c r="DI202" s="185"/>
      <c r="DJ202" s="185"/>
      <c r="DK202" s="185"/>
      <c r="DL202" s="185"/>
      <c r="DM202" s="185"/>
      <c r="DN202" s="185"/>
      <c r="DO202" s="185"/>
      <c r="DP202" s="185"/>
      <c r="DQ202" s="185"/>
      <c r="DR202" s="185"/>
      <c r="DS202" s="185"/>
      <c r="DT202" s="185"/>
      <c r="DU202" s="185"/>
      <c r="DV202" s="185"/>
      <c r="DW202" s="185"/>
      <c r="DX202" s="185"/>
      <c r="DY202" s="185"/>
      <c r="DZ202" s="185"/>
      <c r="EA202" s="185"/>
      <c r="EB202" s="185"/>
      <c r="EC202" s="185"/>
      <c r="ED202" s="185"/>
      <c r="EE202" s="185"/>
      <c r="EF202" s="185"/>
      <c r="EG202" s="185"/>
      <c r="EH202" s="185"/>
      <c r="EI202" s="185"/>
      <c r="EJ202" s="185"/>
      <c r="EK202" s="185"/>
      <c r="EL202" s="185"/>
      <c r="EM202" s="185"/>
      <c r="EN202" s="185"/>
      <c r="EO202" s="185"/>
      <c r="EP202" s="185"/>
      <c r="EQ202" s="185"/>
      <c r="ER202" s="185"/>
      <c r="ES202" s="185"/>
      <c r="ET202" s="185"/>
      <c r="EU202" s="185"/>
      <c r="EV202" s="185"/>
      <c r="EW202" s="185"/>
      <c r="EX202" s="185"/>
      <c r="EY202" s="185"/>
      <c r="EZ202" s="185"/>
      <c r="FA202" s="185"/>
      <c r="FB202" s="185"/>
      <c r="FC202" s="185"/>
      <c r="FD202" s="185"/>
      <c r="FE202" s="185"/>
      <c r="FF202" s="185"/>
      <c r="FG202" s="185"/>
      <c r="FH202" s="185"/>
      <c r="FI202" s="185"/>
      <c r="FJ202" s="185"/>
      <c r="FK202" s="185"/>
    </row>
    <row r="203" spans="1:167" s="186" customFormat="1">
      <c r="A203" s="198"/>
      <c r="B203" s="178"/>
      <c r="C203" s="141"/>
      <c r="D203" s="140"/>
      <c r="E203" s="141"/>
      <c r="F203" s="198"/>
      <c r="G203" s="141"/>
      <c r="H203" s="141"/>
      <c r="I203" s="141"/>
      <c r="J203" s="141"/>
      <c r="K203" s="141"/>
      <c r="L203" s="333"/>
      <c r="M203" s="339"/>
      <c r="N203" s="191"/>
      <c r="O203" s="337"/>
      <c r="P203" s="339"/>
      <c r="Q203" s="179"/>
      <c r="R203" s="180"/>
      <c r="S203" s="181"/>
      <c r="T203" s="182"/>
      <c r="U203" s="141"/>
      <c r="V203" s="182"/>
      <c r="W203" s="183"/>
      <c r="X203" s="185"/>
      <c r="Y203" s="176" t="str">
        <f>IF(Table17[[#This Row],[Required Resolution Date]]="","FALSE",IF($AA$1&gt;Table17[[#This Row],[Required Resolution Date]],"TRUE","FALSE"))</f>
        <v>FALSE</v>
      </c>
      <c r="Z203" s="175">
        <f t="shared" si="24"/>
        <v>0</v>
      </c>
      <c r="AA203" s="185"/>
      <c r="AB203" s="327" t="b">
        <f>OR(Table17[[#This Row],[Priority]]="04. High",Table17[[#This Row],[Priority]]="05. Critical")</f>
        <v>0</v>
      </c>
      <c r="AC203" s="284">
        <f ca="1">$AA$1-Table17[[#This Row],[Date captured]]</f>
        <v>40990</v>
      </c>
      <c r="AD203" s="327" t="b">
        <f t="shared" ca="1" si="20"/>
        <v>0</v>
      </c>
      <c r="AE203" s="327" t="b">
        <f t="shared" ca="1" si="21"/>
        <v>0</v>
      </c>
      <c r="AF203" s="327" t="b">
        <f t="shared" ca="1" si="22"/>
        <v>1</v>
      </c>
      <c r="AG203" s="284">
        <f ca="1">Table17[[#This Row],[Required Resolution Date]]-$AA$1</f>
        <v>-40990</v>
      </c>
      <c r="AH203" s="327" t="b">
        <f t="shared" ca="1" si="23"/>
        <v>0</v>
      </c>
      <c r="AI203" s="327" t="b">
        <f>OR(Table17[[#This Row],[Priority]]="04. High",Table17[[#This Row],[Priority]]="05. Critical",Table17[[#This Row],[Priority]]="03. Moderate")</f>
        <v>0</v>
      </c>
      <c r="AJ203" s="185"/>
      <c r="AK203" s="185"/>
      <c r="AL203" s="185"/>
      <c r="AM203" s="185"/>
      <c r="AN203" s="185"/>
      <c r="AO203" s="185"/>
      <c r="AP203" s="185"/>
      <c r="AQ203" s="185"/>
      <c r="AR203" s="185"/>
      <c r="AS203" s="185"/>
      <c r="AT203" s="185"/>
      <c r="AU203" s="185"/>
      <c r="AV203" s="185"/>
      <c r="AW203" s="185"/>
      <c r="AX203" s="185"/>
      <c r="AY203" s="185"/>
      <c r="AZ203" s="185"/>
      <c r="BA203" s="185"/>
      <c r="BB203" s="185"/>
      <c r="BC203" s="185"/>
      <c r="BD203" s="185"/>
      <c r="BE203" s="185"/>
      <c r="BF203" s="185"/>
      <c r="BG203" s="185"/>
      <c r="BH203" s="185"/>
      <c r="BI203" s="185"/>
      <c r="BJ203" s="185"/>
      <c r="BK203" s="185"/>
      <c r="BL203" s="185"/>
      <c r="BM203" s="185"/>
      <c r="BN203" s="185"/>
      <c r="BO203" s="185"/>
      <c r="BP203" s="185"/>
      <c r="BQ203" s="185"/>
      <c r="BR203" s="185"/>
      <c r="BS203" s="185"/>
      <c r="BT203" s="185"/>
      <c r="BU203" s="185"/>
      <c r="BV203" s="185"/>
      <c r="BW203" s="185"/>
      <c r="BX203" s="185"/>
      <c r="BY203" s="185"/>
      <c r="BZ203" s="185"/>
      <c r="CA203" s="185"/>
      <c r="CB203" s="185"/>
      <c r="CC203" s="185"/>
      <c r="CD203" s="185"/>
      <c r="CE203" s="185"/>
      <c r="CF203" s="185"/>
      <c r="CG203" s="185"/>
      <c r="CH203" s="185"/>
      <c r="CI203" s="185"/>
      <c r="CJ203" s="185"/>
      <c r="CK203" s="185"/>
      <c r="CL203" s="185"/>
      <c r="CM203" s="185"/>
      <c r="CN203" s="185"/>
      <c r="CO203" s="185"/>
      <c r="CP203" s="185"/>
      <c r="CQ203" s="185"/>
      <c r="CR203" s="185"/>
      <c r="CS203" s="185"/>
      <c r="CT203" s="185"/>
      <c r="CU203" s="185"/>
      <c r="CV203" s="185"/>
      <c r="CW203" s="185"/>
      <c r="CX203" s="185"/>
      <c r="CY203" s="185"/>
      <c r="CZ203" s="185"/>
      <c r="DA203" s="185"/>
      <c r="DB203" s="185"/>
      <c r="DC203" s="185"/>
      <c r="DD203" s="185"/>
      <c r="DE203" s="185"/>
      <c r="DF203" s="185"/>
      <c r="DG203" s="185"/>
      <c r="DH203" s="185"/>
      <c r="DI203" s="185"/>
      <c r="DJ203" s="185"/>
      <c r="DK203" s="185"/>
      <c r="DL203" s="185"/>
      <c r="DM203" s="185"/>
      <c r="DN203" s="185"/>
      <c r="DO203" s="185"/>
      <c r="DP203" s="185"/>
      <c r="DQ203" s="185"/>
      <c r="DR203" s="185"/>
      <c r="DS203" s="185"/>
      <c r="DT203" s="185"/>
      <c r="DU203" s="185"/>
      <c r="DV203" s="185"/>
      <c r="DW203" s="185"/>
      <c r="DX203" s="185"/>
      <c r="DY203" s="185"/>
      <c r="DZ203" s="185"/>
      <c r="EA203" s="185"/>
      <c r="EB203" s="185"/>
      <c r="EC203" s="185"/>
      <c r="ED203" s="185"/>
      <c r="EE203" s="185"/>
      <c r="EF203" s="185"/>
      <c r="EG203" s="185"/>
      <c r="EH203" s="185"/>
      <c r="EI203" s="185"/>
      <c r="EJ203" s="185"/>
      <c r="EK203" s="185"/>
      <c r="EL203" s="185"/>
      <c r="EM203" s="185"/>
      <c r="EN203" s="185"/>
      <c r="EO203" s="185"/>
      <c r="EP203" s="185"/>
      <c r="EQ203" s="185"/>
      <c r="ER203" s="185"/>
      <c r="ES203" s="185"/>
      <c r="ET203" s="185"/>
      <c r="EU203" s="185"/>
      <c r="EV203" s="185"/>
      <c r="EW203" s="185"/>
      <c r="EX203" s="185"/>
      <c r="EY203" s="185"/>
      <c r="EZ203" s="185"/>
      <c r="FA203" s="185"/>
      <c r="FB203" s="185"/>
      <c r="FC203" s="185"/>
      <c r="FD203" s="185"/>
      <c r="FE203" s="185"/>
      <c r="FF203" s="185"/>
      <c r="FG203" s="185"/>
      <c r="FH203" s="185"/>
      <c r="FI203" s="185"/>
      <c r="FJ203" s="185"/>
      <c r="FK203" s="185"/>
    </row>
    <row r="204" spans="1:167" s="186" customFormat="1">
      <c r="A204" s="198"/>
      <c r="B204" s="178"/>
      <c r="C204" s="141"/>
      <c r="D204" s="140"/>
      <c r="E204" s="141"/>
      <c r="F204" s="198"/>
      <c r="G204" s="141"/>
      <c r="H204" s="141"/>
      <c r="I204" s="141"/>
      <c r="J204" s="141"/>
      <c r="K204" s="141"/>
      <c r="L204" s="333"/>
      <c r="M204" s="339"/>
      <c r="N204" s="191"/>
      <c r="O204" s="337"/>
      <c r="P204" s="339"/>
      <c r="Q204" s="179"/>
      <c r="R204" s="180"/>
      <c r="S204" s="181"/>
      <c r="T204" s="182"/>
      <c r="U204" s="141"/>
      <c r="V204" s="182"/>
      <c r="W204" s="183"/>
      <c r="X204" s="185"/>
      <c r="Y204" s="176" t="str">
        <f>IF(Table17[[#This Row],[Required Resolution Date]]="","FALSE",IF($AA$1&gt;Table17[[#This Row],[Required Resolution Date]],"TRUE","FALSE"))</f>
        <v>FALSE</v>
      </c>
      <c r="Z204" s="175">
        <f t="shared" si="24"/>
        <v>0</v>
      </c>
      <c r="AA204" s="185"/>
      <c r="AB204" s="327" t="b">
        <f>OR(Table17[[#This Row],[Priority]]="04. High",Table17[[#This Row],[Priority]]="05. Critical")</f>
        <v>0</v>
      </c>
      <c r="AC204" s="284">
        <f ca="1">$AA$1-Table17[[#This Row],[Date captured]]</f>
        <v>40990</v>
      </c>
      <c r="AD204" s="327" t="b">
        <f t="shared" ca="1" si="20"/>
        <v>0</v>
      </c>
      <c r="AE204" s="327" t="b">
        <f t="shared" ca="1" si="21"/>
        <v>0</v>
      </c>
      <c r="AF204" s="327" t="b">
        <f t="shared" ca="1" si="22"/>
        <v>1</v>
      </c>
      <c r="AG204" s="284">
        <f ca="1">Table17[[#This Row],[Required Resolution Date]]-$AA$1</f>
        <v>-40990</v>
      </c>
      <c r="AH204" s="327" t="b">
        <f t="shared" ca="1" si="23"/>
        <v>0</v>
      </c>
      <c r="AI204" s="327" t="b">
        <f>OR(Table17[[#This Row],[Priority]]="04. High",Table17[[#This Row],[Priority]]="05. Critical",Table17[[#This Row],[Priority]]="03. Moderate")</f>
        <v>0</v>
      </c>
      <c r="AJ204" s="185"/>
      <c r="AK204" s="185"/>
      <c r="AL204" s="185"/>
      <c r="AM204" s="185"/>
      <c r="AN204" s="185"/>
      <c r="AO204" s="185"/>
      <c r="AP204" s="185"/>
      <c r="AQ204" s="185"/>
      <c r="AR204" s="185"/>
      <c r="AS204" s="185"/>
      <c r="AT204" s="185"/>
      <c r="AU204" s="185"/>
      <c r="AV204" s="185"/>
      <c r="AW204" s="185"/>
      <c r="AX204" s="185"/>
      <c r="AY204" s="185"/>
      <c r="AZ204" s="185"/>
      <c r="BA204" s="185"/>
      <c r="BB204" s="185"/>
      <c r="BC204" s="185"/>
      <c r="BD204" s="185"/>
      <c r="BE204" s="185"/>
      <c r="BF204" s="185"/>
      <c r="BG204" s="185"/>
      <c r="BH204" s="185"/>
      <c r="BI204" s="185"/>
      <c r="BJ204" s="185"/>
      <c r="BK204" s="185"/>
      <c r="BL204" s="185"/>
      <c r="BM204" s="185"/>
      <c r="BN204" s="185"/>
      <c r="BO204" s="185"/>
      <c r="BP204" s="185"/>
      <c r="BQ204" s="185"/>
      <c r="BR204" s="185"/>
      <c r="BS204" s="185"/>
      <c r="BT204" s="185"/>
      <c r="BU204" s="185"/>
      <c r="BV204" s="185"/>
      <c r="BW204" s="185"/>
      <c r="BX204" s="185"/>
      <c r="BY204" s="185"/>
      <c r="BZ204" s="185"/>
      <c r="CA204" s="185"/>
      <c r="CB204" s="185"/>
      <c r="CC204" s="185"/>
      <c r="CD204" s="185"/>
      <c r="CE204" s="185"/>
      <c r="CF204" s="185"/>
      <c r="CG204" s="185"/>
      <c r="CH204" s="185"/>
      <c r="CI204" s="185"/>
      <c r="CJ204" s="185"/>
      <c r="CK204" s="185"/>
      <c r="CL204" s="185"/>
      <c r="CM204" s="185"/>
      <c r="CN204" s="185"/>
      <c r="CO204" s="185"/>
      <c r="CP204" s="185"/>
      <c r="CQ204" s="185"/>
      <c r="CR204" s="185"/>
      <c r="CS204" s="185"/>
      <c r="CT204" s="185"/>
      <c r="CU204" s="185"/>
      <c r="CV204" s="185"/>
      <c r="CW204" s="185"/>
      <c r="CX204" s="185"/>
      <c r="CY204" s="185"/>
      <c r="CZ204" s="185"/>
      <c r="DA204" s="185"/>
      <c r="DB204" s="185"/>
      <c r="DC204" s="185"/>
      <c r="DD204" s="185"/>
      <c r="DE204" s="185"/>
      <c r="DF204" s="185"/>
      <c r="DG204" s="185"/>
      <c r="DH204" s="185"/>
      <c r="DI204" s="185"/>
      <c r="DJ204" s="185"/>
      <c r="DK204" s="185"/>
      <c r="DL204" s="185"/>
      <c r="DM204" s="185"/>
      <c r="DN204" s="185"/>
      <c r="DO204" s="185"/>
      <c r="DP204" s="185"/>
      <c r="DQ204" s="185"/>
      <c r="DR204" s="185"/>
      <c r="DS204" s="185"/>
      <c r="DT204" s="185"/>
      <c r="DU204" s="185"/>
      <c r="DV204" s="185"/>
      <c r="DW204" s="185"/>
      <c r="DX204" s="185"/>
      <c r="DY204" s="185"/>
      <c r="DZ204" s="185"/>
      <c r="EA204" s="185"/>
      <c r="EB204" s="185"/>
      <c r="EC204" s="185"/>
      <c r="ED204" s="185"/>
      <c r="EE204" s="185"/>
      <c r="EF204" s="185"/>
      <c r="EG204" s="185"/>
      <c r="EH204" s="185"/>
      <c r="EI204" s="185"/>
      <c r="EJ204" s="185"/>
      <c r="EK204" s="185"/>
      <c r="EL204" s="185"/>
      <c r="EM204" s="185"/>
      <c r="EN204" s="185"/>
      <c r="EO204" s="185"/>
      <c r="EP204" s="185"/>
      <c r="EQ204" s="185"/>
      <c r="ER204" s="185"/>
      <c r="ES204" s="185"/>
      <c r="ET204" s="185"/>
      <c r="EU204" s="185"/>
      <c r="EV204" s="185"/>
      <c r="EW204" s="185"/>
      <c r="EX204" s="185"/>
      <c r="EY204" s="185"/>
      <c r="EZ204" s="185"/>
      <c r="FA204" s="185"/>
      <c r="FB204" s="185"/>
      <c r="FC204" s="185"/>
      <c r="FD204" s="185"/>
      <c r="FE204" s="185"/>
      <c r="FF204" s="185"/>
      <c r="FG204" s="185"/>
      <c r="FH204" s="185"/>
      <c r="FI204" s="185"/>
      <c r="FJ204" s="185"/>
      <c r="FK204" s="185"/>
    </row>
    <row r="205" spans="1:167" s="186" customFormat="1">
      <c r="A205" s="198"/>
      <c r="B205" s="178"/>
      <c r="C205" s="141"/>
      <c r="D205" s="140"/>
      <c r="E205" s="141"/>
      <c r="F205" s="198"/>
      <c r="G205" s="141"/>
      <c r="H205" s="141"/>
      <c r="I205" s="141"/>
      <c r="J205" s="141"/>
      <c r="K205" s="141"/>
      <c r="L205" s="333"/>
      <c r="M205" s="339"/>
      <c r="N205" s="191"/>
      <c r="O205" s="337"/>
      <c r="P205" s="339"/>
      <c r="Q205" s="179"/>
      <c r="R205" s="180"/>
      <c r="S205" s="181"/>
      <c r="T205" s="182"/>
      <c r="U205" s="141"/>
      <c r="V205" s="182"/>
      <c r="W205" s="183"/>
      <c r="X205" s="185"/>
      <c r="Y205" s="176" t="str">
        <f>IF(Table17[[#This Row],[Required Resolution Date]]="","FALSE",IF($AA$1&gt;Table17[[#This Row],[Required Resolution Date]],"TRUE","FALSE"))</f>
        <v>FALSE</v>
      </c>
      <c r="Z205" s="175">
        <f t="shared" si="24"/>
        <v>0</v>
      </c>
      <c r="AA205" s="185"/>
      <c r="AB205" s="327" t="b">
        <f>OR(Table17[[#This Row],[Priority]]="04. High",Table17[[#This Row],[Priority]]="05. Critical")</f>
        <v>0</v>
      </c>
      <c r="AC205" s="284">
        <f ca="1">$AA$1-Table17[[#This Row],[Date captured]]</f>
        <v>40990</v>
      </c>
      <c r="AD205" s="327" t="b">
        <f t="shared" ca="1" si="20"/>
        <v>0</v>
      </c>
      <c r="AE205" s="327" t="b">
        <f t="shared" ca="1" si="21"/>
        <v>0</v>
      </c>
      <c r="AF205" s="327" t="b">
        <f t="shared" ca="1" si="22"/>
        <v>1</v>
      </c>
      <c r="AG205" s="284">
        <f ca="1">Table17[[#This Row],[Required Resolution Date]]-$AA$1</f>
        <v>-40990</v>
      </c>
      <c r="AH205" s="327" t="b">
        <f t="shared" ca="1" si="23"/>
        <v>0</v>
      </c>
      <c r="AI205" s="327" t="b">
        <f>OR(Table17[[#This Row],[Priority]]="04. High",Table17[[#This Row],[Priority]]="05. Critical",Table17[[#This Row],[Priority]]="03. Moderate")</f>
        <v>0</v>
      </c>
      <c r="AJ205" s="185"/>
      <c r="AK205" s="185"/>
      <c r="AL205" s="185"/>
      <c r="AM205" s="185"/>
      <c r="AN205" s="185"/>
      <c r="AO205" s="185"/>
      <c r="AP205" s="185"/>
      <c r="AQ205" s="185"/>
      <c r="AR205" s="185"/>
      <c r="AS205" s="185"/>
      <c r="AT205" s="185"/>
      <c r="AU205" s="185"/>
      <c r="AV205" s="185"/>
      <c r="AW205" s="185"/>
      <c r="AX205" s="185"/>
      <c r="AY205" s="185"/>
      <c r="AZ205" s="185"/>
      <c r="BA205" s="185"/>
      <c r="BB205" s="185"/>
      <c r="BC205" s="185"/>
      <c r="BD205" s="185"/>
      <c r="BE205" s="185"/>
      <c r="BF205" s="185"/>
      <c r="BG205" s="185"/>
      <c r="BH205" s="185"/>
      <c r="BI205" s="185"/>
      <c r="BJ205" s="185"/>
      <c r="BK205" s="185"/>
      <c r="BL205" s="185"/>
      <c r="BM205" s="185"/>
      <c r="BN205" s="185"/>
      <c r="BO205" s="185"/>
      <c r="BP205" s="185"/>
      <c r="BQ205" s="185"/>
      <c r="BR205" s="185"/>
      <c r="BS205" s="185"/>
      <c r="BT205" s="185"/>
      <c r="BU205" s="185"/>
      <c r="BV205" s="185"/>
      <c r="BW205" s="185"/>
      <c r="BX205" s="185"/>
      <c r="BY205" s="185"/>
      <c r="BZ205" s="185"/>
      <c r="CA205" s="185"/>
      <c r="CB205" s="185"/>
      <c r="CC205" s="185"/>
      <c r="CD205" s="185"/>
      <c r="CE205" s="185"/>
      <c r="CF205" s="185"/>
      <c r="CG205" s="185"/>
      <c r="CH205" s="185"/>
      <c r="CI205" s="185"/>
      <c r="CJ205" s="185"/>
      <c r="CK205" s="185"/>
      <c r="CL205" s="185"/>
      <c r="CM205" s="185"/>
      <c r="CN205" s="185"/>
      <c r="CO205" s="185"/>
      <c r="CP205" s="185"/>
      <c r="CQ205" s="185"/>
      <c r="CR205" s="185"/>
      <c r="CS205" s="185"/>
      <c r="CT205" s="185"/>
      <c r="CU205" s="185"/>
      <c r="CV205" s="185"/>
      <c r="CW205" s="185"/>
      <c r="CX205" s="185"/>
      <c r="CY205" s="185"/>
      <c r="CZ205" s="185"/>
      <c r="DA205" s="185"/>
      <c r="DB205" s="185"/>
      <c r="DC205" s="185"/>
      <c r="DD205" s="185"/>
      <c r="DE205" s="185"/>
      <c r="DF205" s="185"/>
      <c r="DG205" s="185"/>
      <c r="DH205" s="185"/>
      <c r="DI205" s="185"/>
      <c r="DJ205" s="185"/>
      <c r="DK205" s="185"/>
      <c r="DL205" s="185"/>
      <c r="DM205" s="185"/>
      <c r="DN205" s="185"/>
      <c r="DO205" s="185"/>
      <c r="DP205" s="185"/>
      <c r="DQ205" s="185"/>
      <c r="DR205" s="185"/>
      <c r="DS205" s="185"/>
      <c r="DT205" s="185"/>
      <c r="DU205" s="185"/>
      <c r="DV205" s="185"/>
      <c r="DW205" s="185"/>
      <c r="DX205" s="185"/>
      <c r="DY205" s="185"/>
      <c r="DZ205" s="185"/>
      <c r="EA205" s="185"/>
      <c r="EB205" s="185"/>
      <c r="EC205" s="185"/>
      <c r="ED205" s="185"/>
      <c r="EE205" s="185"/>
      <c r="EF205" s="185"/>
      <c r="EG205" s="185"/>
      <c r="EH205" s="185"/>
      <c r="EI205" s="185"/>
      <c r="EJ205" s="185"/>
      <c r="EK205" s="185"/>
      <c r="EL205" s="185"/>
      <c r="EM205" s="185"/>
      <c r="EN205" s="185"/>
      <c r="EO205" s="185"/>
      <c r="EP205" s="185"/>
      <c r="EQ205" s="185"/>
      <c r="ER205" s="185"/>
      <c r="ES205" s="185"/>
      <c r="ET205" s="185"/>
      <c r="EU205" s="185"/>
      <c r="EV205" s="185"/>
      <c r="EW205" s="185"/>
      <c r="EX205" s="185"/>
      <c r="EY205" s="185"/>
      <c r="EZ205" s="185"/>
      <c r="FA205" s="185"/>
      <c r="FB205" s="185"/>
      <c r="FC205" s="185"/>
      <c r="FD205" s="185"/>
      <c r="FE205" s="185"/>
      <c r="FF205" s="185"/>
      <c r="FG205" s="185"/>
      <c r="FH205" s="185"/>
      <c r="FI205" s="185"/>
      <c r="FJ205" s="185"/>
      <c r="FK205" s="185"/>
    </row>
    <row r="206" spans="1:167" s="186" customFormat="1">
      <c r="A206" s="198"/>
      <c r="B206" s="178"/>
      <c r="C206" s="141"/>
      <c r="D206" s="140"/>
      <c r="E206" s="141"/>
      <c r="F206" s="198"/>
      <c r="G206" s="141"/>
      <c r="H206" s="141"/>
      <c r="I206" s="141"/>
      <c r="J206" s="141"/>
      <c r="K206" s="141"/>
      <c r="L206" s="333"/>
      <c r="M206" s="339"/>
      <c r="N206" s="191"/>
      <c r="O206" s="337"/>
      <c r="P206" s="339"/>
      <c r="Q206" s="179"/>
      <c r="R206" s="180"/>
      <c r="S206" s="181"/>
      <c r="T206" s="182"/>
      <c r="U206" s="141"/>
      <c r="V206" s="182"/>
      <c r="W206" s="183"/>
      <c r="X206" s="185"/>
      <c r="Y206" s="176" t="str">
        <f>IF(Table17[[#This Row],[Required Resolution Date]]="","FALSE",IF($AA$1&gt;Table17[[#This Row],[Required Resolution Date]],"TRUE","FALSE"))</f>
        <v>FALSE</v>
      </c>
      <c r="Z206" s="175">
        <f t="shared" si="24"/>
        <v>0</v>
      </c>
      <c r="AA206" s="185"/>
      <c r="AB206" s="327" t="b">
        <f>OR(Table17[[#This Row],[Priority]]="04. High",Table17[[#This Row],[Priority]]="05. Critical")</f>
        <v>0</v>
      </c>
      <c r="AC206" s="284">
        <f ca="1">$AA$1-Table17[[#This Row],[Date captured]]</f>
        <v>40990</v>
      </c>
      <c r="AD206" s="327" t="b">
        <f t="shared" ca="1" si="20"/>
        <v>0</v>
      </c>
      <c r="AE206" s="327" t="b">
        <f t="shared" ca="1" si="21"/>
        <v>0</v>
      </c>
      <c r="AF206" s="327" t="b">
        <f t="shared" ca="1" si="22"/>
        <v>1</v>
      </c>
      <c r="AG206" s="284">
        <f ca="1">Table17[[#This Row],[Required Resolution Date]]-$AA$1</f>
        <v>-40990</v>
      </c>
      <c r="AH206" s="327" t="b">
        <f t="shared" ca="1" si="23"/>
        <v>0</v>
      </c>
      <c r="AI206" s="327" t="b">
        <f>OR(Table17[[#This Row],[Priority]]="04. High",Table17[[#This Row],[Priority]]="05. Critical",Table17[[#This Row],[Priority]]="03. Moderate")</f>
        <v>0</v>
      </c>
      <c r="AJ206" s="185"/>
      <c r="AK206" s="185"/>
      <c r="AL206" s="185"/>
      <c r="AM206" s="185"/>
      <c r="AN206" s="185"/>
      <c r="AO206" s="185"/>
      <c r="AP206" s="185"/>
      <c r="AQ206" s="185"/>
      <c r="AR206" s="185"/>
      <c r="AS206" s="185"/>
      <c r="AT206" s="185"/>
      <c r="AU206" s="185"/>
      <c r="AV206" s="185"/>
      <c r="AW206" s="185"/>
      <c r="AX206" s="185"/>
      <c r="AY206" s="185"/>
      <c r="AZ206" s="185"/>
      <c r="BA206" s="185"/>
      <c r="BB206" s="185"/>
      <c r="BC206" s="185"/>
      <c r="BD206" s="185"/>
      <c r="BE206" s="185"/>
      <c r="BF206" s="185"/>
      <c r="BG206" s="185"/>
      <c r="BH206" s="185"/>
      <c r="BI206" s="185"/>
      <c r="BJ206" s="185"/>
      <c r="BK206" s="185"/>
      <c r="BL206" s="185"/>
      <c r="BM206" s="185"/>
      <c r="BN206" s="185"/>
      <c r="BO206" s="185"/>
      <c r="BP206" s="185"/>
      <c r="BQ206" s="185"/>
      <c r="BR206" s="185"/>
      <c r="BS206" s="185"/>
      <c r="BT206" s="185"/>
      <c r="BU206" s="185"/>
      <c r="BV206" s="185"/>
      <c r="BW206" s="185"/>
      <c r="BX206" s="185"/>
      <c r="BY206" s="185"/>
      <c r="BZ206" s="185"/>
      <c r="CA206" s="185"/>
      <c r="CB206" s="185"/>
      <c r="CC206" s="185"/>
      <c r="CD206" s="185"/>
      <c r="CE206" s="185"/>
      <c r="CF206" s="185"/>
      <c r="CG206" s="185"/>
      <c r="CH206" s="185"/>
      <c r="CI206" s="185"/>
      <c r="CJ206" s="185"/>
      <c r="CK206" s="185"/>
      <c r="CL206" s="185"/>
      <c r="CM206" s="185"/>
      <c r="CN206" s="185"/>
      <c r="CO206" s="185"/>
      <c r="CP206" s="185"/>
      <c r="CQ206" s="185"/>
      <c r="CR206" s="185"/>
      <c r="CS206" s="185"/>
      <c r="CT206" s="185"/>
      <c r="CU206" s="185"/>
      <c r="CV206" s="185"/>
      <c r="CW206" s="185"/>
      <c r="CX206" s="185"/>
      <c r="CY206" s="185"/>
      <c r="CZ206" s="185"/>
      <c r="DA206" s="185"/>
      <c r="DB206" s="185"/>
      <c r="DC206" s="185"/>
      <c r="DD206" s="185"/>
      <c r="DE206" s="185"/>
      <c r="DF206" s="185"/>
      <c r="DG206" s="185"/>
      <c r="DH206" s="185"/>
      <c r="DI206" s="185"/>
      <c r="DJ206" s="185"/>
      <c r="DK206" s="185"/>
      <c r="DL206" s="185"/>
      <c r="DM206" s="185"/>
      <c r="DN206" s="185"/>
      <c r="DO206" s="185"/>
      <c r="DP206" s="185"/>
      <c r="DQ206" s="185"/>
      <c r="DR206" s="185"/>
      <c r="DS206" s="185"/>
      <c r="DT206" s="185"/>
      <c r="DU206" s="185"/>
      <c r="DV206" s="185"/>
      <c r="DW206" s="185"/>
      <c r="DX206" s="185"/>
      <c r="DY206" s="185"/>
      <c r="DZ206" s="185"/>
      <c r="EA206" s="185"/>
      <c r="EB206" s="185"/>
      <c r="EC206" s="185"/>
      <c r="ED206" s="185"/>
      <c r="EE206" s="185"/>
      <c r="EF206" s="185"/>
      <c r="EG206" s="185"/>
      <c r="EH206" s="185"/>
      <c r="EI206" s="185"/>
      <c r="EJ206" s="185"/>
      <c r="EK206" s="185"/>
      <c r="EL206" s="185"/>
      <c r="EM206" s="185"/>
      <c r="EN206" s="185"/>
      <c r="EO206" s="185"/>
      <c r="EP206" s="185"/>
      <c r="EQ206" s="185"/>
      <c r="ER206" s="185"/>
      <c r="ES206" s="185"/>
      <c r="ET206" s="185"/>
      <c r="EU206" s="185"/>
      <c r="EV206" s="185"/>
      <c r="EW206" s="185"/>
      <c r="EX206" s="185"/>
      <c r="EY206" s="185"/>
      <c r="EZ206" s="185"/>
      <c r="FA206" s="185"/>
      <c r="FB206" s="185"/>
      <c r="FC206" s="185"/>
      <c r="FD206" s="185"/>
      <c r="FE206" s="185"/>
      <c r="FF206" s="185"/>
      <c r="FG206" s="185"/>
      <c r="FH206" s="185"/>
      <c r="FI206" s="185"/>
      <c r="FJ206" s="185"/>
      <c r="FK206" s="185"/>
    </row>
    <row r="207" spans="1:167" s="186" customFormat="1">
      <c r="A207" s="198"/>
      <c r="B207" s="178"/>
      <c r="C207" s="141"/>
      <c r="D207" s="140"/>
      <c r="E207" s="141"/>
      <c r="F207" s="198"/>
      <c r="G207" s="141"/>
      <c r="H207" s="141"/>
      <c r="I207" s="141"/>
      <c r="J207" s="141"/>
      <c r="K207" s="141"/>
      <c r="L207" s="333"/>
      <c r="M207" s="339"/>
      <c r="N207" s="191"/>
      <c r="O207" s="337"/>
      <c r="P207" s="339"/>
      <c r="Q207" s="179"/>
      <c r="R207" s="180"/>
      <c r="S207" s="181"/>
      <c r="T207" s="182"/>
      <c r="U207" s="141"/>
      <c r="V207" s="182"/>
      <c r="W207" s="183"/>
      <c r="X207" s="185"/>
      <c r="Y207" s="176" t="str">
        <f>IF(Table17[[#This Row],[Required Resolution Date]]="","FALSE",IF($AA$1&gt;Table17[[#This Row],[Required Resolution Date]],"TRUE","FALSE"))</f>
        <v>FALSE</v>
      </c>
      <c r="Z207" s="175">
        <f t="shared" si="24"/>
        <v>0</v>
      </c>
      <c r="AA207" s="185"/>
      <c r="AB207" s="327" t="b">
        <f>OR(Table17[[#This Row],[Priority]]="04. High",Table17[[#This Row],[Priority]]="05. Critical")</f>
        <v>0</v>
      </c>
      <c r="AC207" s="284">
        <f ca="1">$AA$1-Table17[[#This Row],[Date captured]]</f>
        <v>40990</v>
      </c>
      <c r="AD207" s="327" t="b">
        <f t="shared" ca="1" si="20"/>
        <v>0</v>
      </c>
      <c r="AE207" s="327" t="b">
        <f t="shared" ca="1" si="21"/>
        <v>0</v>
      </c>
      <c r="AF207" s="327" t="b">
        <f t="shared" ca="1" si="22"/>
        <v>1</v>
      </c>
      <c r="AG207" s="284">
        <f ca="1">Table17[[#This Row],[Required Resolution Date]]-$AA$1</f>
        <v>-40990</v>
      </c>
      <c r="AH207" s="327" t="b">
        <f t="shared" ca="1" si="23"/>
        <v>0</v>
      </c>
      <c r="AI207" s="327" t="b">
        <f>OR(Table17[[#This Row],[Priority]]="04. High",Table17[[#This Row],[Priority]]="05. Critical",Table17[[#This Row],[Priority]]="03. Moderate")</f>
        <v>0</v>
      </c>
      <c r="AJ207" s="185"/>
      <c r="AK207" s="185"/>
      <c r="AL207" s="185"/>
      <c r="AM207" s="185"/>
      <c r="AN207" s="185"/>
      <c r="AO207" s="185"/>
      <c r="AP207" s="185"/>
      <c r="AQ207" s="185"/>
      <c r="AR207" s="185"/>
      <c r="AS207" s="185"/>
      <c r="AT207" s="185"/>
      <c r="AU207" s="185"/>
      <c r="AV207" s="185"/>
      <c r="AW207" s="185"/>
      <c r="AX207" s="185"/>
      <c r="AY207" s="185"/>
      <c r="AZ207" s="185"/>
      <c r="BA207" s="185"/>
      <c r="BB207" s="185"/>
      <c r="BC207" s="185"/>
      <c r="BD207" s="185"/>
      <c r="BE207" s="185"/>
      <c r="BF207" s="185"/>
      <c r="BG207" s="185"/>
      <c r="BH207" s="185"/>
      <c r="BI207" s="185"/>
      <c r="BJ207" s="185"/>
      <c r="BK207" s="185"/>
      <c r="BL207" s="185"/>
      <c r="BM207" s="185"/>
      <c r="BN207" s="185"/>
      <c r="BO207" s="185"/>
      <c r="BP207" s="185"/>
      <c r="BQ207" s="185"/>
      <c r="BR207" s="185"/>
      <c r="BS207" s="185"/>
      <c r="BT207" s="185"/>
      <c r="BU207" s="185"/>
      <c r="BV207" s="185"/>
      <c r="BW207" s="185"/>
      <c r="BX207" s="185"/>
      <c r="BY207" s="185"/>
      <c r="BZ207" s="185"/>
      <c r="CA207" s="185"/>
      <c r="CB207" s="185"/>
      <c r="CC207" s="185"/>
      <c r="CD207" s="185"/>
      <c r="CE207" s="185"/>
      <c r="CF207" s="185"/>
      <c r="CG207" s="185"/>
      <c r="CH207" s="185"/>
      <c r="CI207" s="185"/>
      <c r="CJ207" s="185"/>
      <c r="CK207" s="185"/>
      <c r="CL207" s="185"/>
      <c r="CM207" s="185"/>
      <c r="CN207" s="185"/>
      <c r="CO207" s="185"/>
      <c r="CP207" s="185"/>
      <c r="CQ207" s="185"/>
      <c r="CR207" s="185"/>
      <c r="CS207" s="185"/>
      <c r="CT207" s="185"/>
      <c r="CU207" s="185"/>
      <c r="CV207" s="185"/>
      <c r="CW207" s="185"/>
      <c r="CX207" s="185"/>
      <c r="CY207" s="185"/>
      <c r="CZ207" s="185"/>
      <c r="DA207" s="185"/>
      <c r="DB207" s="185"/>
      <c r="DC207" s="185"/>
      <c r="DD207" s="185"/>
      <c r="DE207" s="185"/>
      <c r="DF207" s="185"/>
      <c r="DG207" s="185"/>
      <c r="DH207" s="185"/>
      <c r="DI207" s="185"/>
      <c r="DJ207" s="185"/>
      <c r="DK207" s="185"/>
      <c r="DL207" s="185"/>
      <c r="DM207" s="185"/>
      <c r="DN207" s="185"/>
      <c r="DO207" s="185"/>
      <c r="DP207" s="185"/>
      <c r="DQ207" s="185"/>
      <c r="DR207" s="185"/>
      <c r="DS207" s="185"/>
      <c r="DT207" s="185"/>
      <c r="DU207" s="185"/>
      <c r="DV207" s="185"/>
      <c r="DW207" s="185"/>
      <c r="DX207" s="185"/>
      <c r="DY207" s="185"/>
      <c r="DZ207" s="185"/>
      <c r="EA207" s="185"/>
      <c r="EB207" s="185"/>
      <c r="EC207" s="185"/>
      <c r="ED207" s="185"/>
      <c r="EE207" s="185"/>
      <c r="EF207" s="185"/>
      <c r="EG207" s="185"/>
      <c r="EH207" s="185"/>
      <c r="EI207" s="185"/>
      <c r="EJ207" s="185"/>
      <c r="EK207" s="185"/>
      <c r="EL207" s="185"/>
      <c r="EM207" s="185"/>
      <c r="EN207" s="185"/>
      <c r="EO207" s="185"/>
      <c r="EP207" s="185"/>
      <c r="EQ207" s="185"/>
      <c r="ER207" s="185"/>
      <c r="ES207" s="185"/>
      <c r="ET207" s="185"/>
      <c r="EU207" s="185"/>
      <c r="EV207" s="185"/>
      <c r="EW207" s="185"/>
      <c r="EX207" s="185"/>
      <c r="EY207" s="185"/>
      <c r="EZ207" s="185"/>
      <c r="FA207" s="185"/>
      <c r="FB207" s="185"/>
      <c r="FC207" s="185"/>
      <c r="FD207" s="185"/>
      <c r="FE207" s="185"/>
      <c r="FF207" s="185"/>
      <c r="FG207" s="185"/>
      <c r="FH207" s="185"/>
      <c r="FI207" s="185"/>
      <c r="FJ207" s="185"/>
      <c r="FK207" s="185"/>
    </row>
    <row r="208" spans="1:167" s="186" customFormat="1">
      <c r="A208" s="198"/>
      <c r="B208" s="178"/>
      <c r="C208" s="141"/>
      <c r="D208" s="140"/>
      <c r="E208" s="141"/>
      <c r="F208" s="198"/>
      <c r="G208" s="141"/>
      <c r="H208" s="141"/>
      <c r="I208" s="141"/>
      <c r="J208" s="141"/>
      <c r="K208" s="141"/>
      <c r="L208" s="333"/>
      <c r="M208" s="339"/>
      <c r="N208" s="191"/>
      <c r="O208" s="337"/>
      <c r="P208" s="339"/>
      <c r="Q208" s="179"/>
      <c r="R208" s="180"/>
      <c r="S208" s="181"/>
      <c r="T208" s="182"/>
      <c r="U208" s="141"/>
      <c r="V208" s="182"/>
      <c r="W208" s="183"/>
      <c r="X208" s="185"/>
      <c r="Y208" s="176" t="str">
        <f>IF(Table17[[#This Row],[Required Resolution Date]]="","FALSE",IF($AA$1&gt;Table17[[#This Row],[Required Resolution Date]],"TRUE","FALSE"))</f>
        <v>FALSE</v>
      </c>
      <c r="Z208" s="175">
        <f t="shared" si="24"/>
        <v>0</v>
      </c>
      <c r="AA208" s="185"/>
      <c r="AB208" s="327" t="b">
        <f>OR(Table17[[#This Row],[Priority]]="04. High",Table17[[#This Row],[Priority]]="05. Critical")</f>
        <v>0</v>
      </c>
      <c r="AC208" s="284">
        <f ca="1">$AA$1-Table17[[#This Row],[Date captured]]</f>
        <v>40990</v>
      </c>
      <c r="AD208" s="327" t="b">
        <f t="shared" ca="1" si="20"/>
        <v>0</v>
      </c>
      <c r="AE208" s="327" t="b">
        <f t="shared" ca="1" si="21"/>
        <v>0</v>
      </c>
      <c r="AF208" s="327" t="b">
        <f t="shared" ca="1" si="22"/>
        <v>1</v>
      </c>
      <c r="AG208" s="284">
        <f ca="1">Table17[[#This Row],[Required Resolution Date]]-$AA$1</f>
        <v>-40990</v>
      </c>
      <c r="AH208" s="327" t="b">
        <f t="shared" ca="1" si="23"/>
        <v>0</v>
      </c>
      <c r="AI208" s="327" t="b">
        <f>OR(Table17[[#This Row],[Priority]]="04. High",Table17[[#This Row],[Priority]]="05. Critical",Table17[[#This Row],[Priority]]="03. Moderate")</f>
        <v>0</v>
      </c>
      <c r="AJ208" s="185"/>
      <c r="AK208" s="185"/>
      <c r="AL208" s="185"/>
      <c r="AM208" s="185"/>
      <c r="AN208" s="185"/>
      <c r="AO208" s="185"/>
      <c r="AP208" s="185"/>
      <c r="AQ208" s="185"/>
      <c r="AR208" s="185"/>
      <c r="AS208" s="185"/>
      <c r="AT208" s="185"/>
      <c r="AU208" s="185"/>
      <c r="AV208" s="185"/>
      <c r="AW208" s="185"/>
      <c r="AX208" s="185"/>
      <c r="AY208" s="185"/>
      <c r="AZ208" s="185"/>
      <c r="BA208" s="185"/>
      <c r="BB208" s="185"/>
      <c r="BC208" s="185"/>
      <c r="BD208" s="185"/>
      <c r="BE208" s="185"/>
      <c r="BF208" s="185"/>
      <c r="BG208" s="185"/>
      <c r="BH208" s="185"/>
      <c r="BI208" s="185"/>
      <c r="BJ208" s="185"/>
      <c r="BK208" s="185"/>
      <c r="BL208" s="185"/>
      <c r="BM208" s="185"/>
      <c r="BN208" s="185"/>
      <c r="BO208" s="185"/>
      <c r="BP208" s="185"/>
      <c r="BQ208" s="185"/>
      <c r="BR208" s="185"/>
      <c r="BS208" s="185"/>
      <c r="BT208" s="185"/>
      <c r="BU208" s="185"/>
      <c r="BV208" s="185"/>
      <c r="BW208" s="185"/>
      <c r="BX208" s="185"/>
      <c r="BY208" s="185"/>
      <c r="BZ208" s="185"/>
      <c r="CA208" s="185"/>
      <c r="CB208" s="185"/>
      <c r="CC208" s="185"/>
      <c r="CD208" s="185"/>
      <c r="CE208" s="185"/>
      <c r="CF208" s="185"/>
      <c r="CG208" s="185"/>
      <c r="CH208" s="185"/>
      <c r="CI208" s="185"/>
      <c r="CJ208" s="185"/>
      <c r="CK208" s="185"/>
      <c r="CL208" s="185"/>
      <c r="CM208" s="185"/>
      <c r="CN208" s="185"/>
      <c r="CO208" s="185"/>
      <c r="CP208" s="185"/>
      <c r="CQ208" s="185"/>
      <c r="CR208" s="185"/>
      <c r="CS208" s="185"/>
      <c r="CT208" s="185"/>
      <c r="CU208" s="185"/>
      <c r="CV208" s="185"/>
      <c r="CW208" s="185"/>
      <c r="CX208" s="185"/>
      <c r="CY208" s="185"/>
      <c r="CZ208" s="185"/>
      <c r="DA208" s="185"/>
      <c r="DB208" s="185"/>
      <c r="DC208" s="185"/>
      <c r="DD208" s="185"/>
      <c r="DE208" s="185"/>
      <c r="DF208" s="185"/>
      <c r="DG208" s="185"/>
      <c r="DH208" s="185"/>
      <c r="DI208" s="185"/>
      <c r="DJ208" s="185"/>
      <c r="DK208" s="185"/>
      <c r="DL208" s="185"/>
      <c r="DM208" s="185"/>
      <c r="DN208" s="185"/>
      <c r="DO208" s="185"/>
      <c r="DP208" s="185"/>
      <c r="DQ208" s="185"/>
      <c r="DR208" s="185"/>
      <c r="DS208" s="185"/>
      <c r="DT208" s="185"/>
      <c r="DU208" s="185"/>
      <c r="DV208" s="185"/>
      <c r="DW208" s="185"/>
      <c r="DX208" s="185"/>
      <c r="DY208" s="185"/>
      <c r="DZ208" s="185"/>
      <c r="EA208" s="185"/>
      <c r="EB208" s="185"/>
      <c r="EC208" s="185"/>
      <c r="ED208" s="185"/>
      <c r="EE208" s="185"/>
      <c r="EF208" s="185"/>
      <c r="EG208" s="185"/>
      <c r="EH208" s="185"/>
      <c r="EI208" s="185"/>
      <c r="EJ208" s="185"/>
      <c r="EK208" s="185"/>
      <c r="EL208" s="185"/>
      <c r="EM208" s="185"/>
      <c r="EN208" s="185"/>
      <c r="EO208" s="185"/>
      <c r="EP208" s="185"/>
      <c r="EQ208" s="185"/>
      <c r="ER208" s="185"/>
      <c r="ES208" s="185"/>
      <c r="ET208" s="185"/>
      <c r="EU208" s="185"/>
      <c r="EV208" s="185"/>
      <c r="EW208" s="185"/>
      <c r="EX208" s="185"/>
      <c r="EY208" s="185"/>
      <c r="EZ208" s="185"/>
      <c r="FA208" s="185"/>
      <c r="FB208" s="185"/>
      <c r="FC208" s="185"/>
      <c r="FD208" s="185"/>
      <c r="FE208" s="185"/>
      <c r="FF208" s="185"/>
      <c r="FG208" s="185"/>
      <c r="FH208" s="185"/>
      <c r="FI208" s="185"/>
      <c r="FJ208" s="185"/>
      <c r="FK208" s="185"/>
    </row>
    <row r="209" spans="1:167" s="186" customFormat="1">
      <c r="A209" s="198"/>
      <c r="B209" s="178"/>
      <c r="C209" s="141"/>
      <c r="D209" s="140"/>
      <c r="E209" s="141"/>
      <c r="F209" s="198"/>
      <c r="G209" s="141"/>
      <c r="H209" s="141"/>
      <c r="I209" s="141"/>
      <c r="J209" s="141"/>
      <c r="K209" s="141"/>
      <c r="L209" s="333"/>
      <c r="M209" s="339"/>
      <c r="N209" s="191"/>
      <c r="O209" s="337"/>
      <c r="P209" s="339"/>
      <c r="Q209" s="179"/>
      <c r="R209" s="180"/>
      <c r="S209" s="181"/>
      <c r="T209" s="182"/>
      <c r="U209" s="141"/>
      <c r="V209" s="182"/>
      <c r="W209" s="183"/>
      <c r="X209" s="185"/>
      <c r="Y209" s="176" t="str">
        <f>IF(Table17[[#This Row],[Required Resolution Date]]="","FALSE",IF($AA$1&gt;Table17[[#This Row],[Required Resolution Date]],"TRUE","FALSE"))</f>
        <v>FALSE</v>
      </c>
      <c r="Z209" s="175">
        <f t="shared" si="24"/>
        <v>0</v>
      </c>
      <c r="AA209" s="185"/>
      <c r="AB209" s="327" t="b">
        <f>OR(Table17[[#This Row],[Priority]]="04. High",Table17[[#This Row],[Priority]]="05. Critical")</f>
        <v>0</v>
      </c>
      <c r="AC209" s="284">
        <f ca="1">$AA$1-Table17[[#This Row],[Date captured]]</f>
        <v>40990</v>
      </c>
      <c r="AD209" s="327" t="b">
        <f t="shared" ca="1" si="20"/>
        <v>0</v>
      </c>
      <c r="AE209" s="327" t="b">
        <f t="shared" ca="1" si="21"/>
        <v>0</v>
      </c>
      <c r="AF209" s="327" t="b">
        <f t="shared" ca="1" si="22"/>
        <v>1</v>
      </c>
      <c r="AG209" s="284">
        <f ca="1">Table17[[#This Row],[Required Resolution Date]]-$AA$1</f>
        <v>-40990</v>
      </c>
      <c r="AH209" s="327" t="b">
        <f t="shared" ca="1" si="23"/>
        <v>0</v>
      </c>
      <c r="AI209" s="327" t="b">
        <f>OR(Table17[[#This Row],[Priority]]="04. High",Table17[[#This Row],[Priority]]="05. Critical",Table17[[#This Row],[Priority]]="03. Moderate")</f>
        <v>0</v>
      </c>
      <c r="AJ209" s="185"/>
      <c r="AK209" s="185"/>
      <c r="AL209" s="185"/>
      <c r="AM209" s="185"/>
      <c r="AN209" s="185"/>
      <c r="AO209" s="185"/>
      <c r="AP209" s="185"/>
      <c r="AQ209" s="185"/>
      <c r="AR209" s="185"/>
      <c r="AS209" s="185"/>
      <c r="AT209" s="185"/>
      <c r="AU209" s="185"/>
      <c r="AV209" s="185"/>
      <c r="AW209" s="185"/>
      <c r="AX209" s="185"/>
      <c r="AY209" s="185"/>
      <c r="AZ209" s="185"/>
      <c r="BA209" s="185"/>
      <c r="BB209" s="185"/>
      <c r="BC209" s="185"/>
      <c r="BD209" s="185"/>
      <c r="BE209" s="185"/>
      <c r="BF209" s="185"/>
      <c r="BG209" s="185"/>
      <c r="BH209" s="185"/>
      <c r="BI209" s="185"/>
      <c r="BJ209" s="185"/>
      <c r="BK209" s="185"/>
      <c r="BL209" s="185"/>
      <c r="BM209" s="185"/>
      <c r="BN209" s="185"/>
      <c r="BO209" s="185"/>
      <c r="BP209" s="185"/>
      <c r="BQ209" s="185"/>
      <c r="BR209" s="185"/>
      <c r="BS209" s="185"/>
      <c r="BT209" s="185"/>
      <c r="BU209" s="185"/>
      <c r="BV209" s="185"/>
      <c r="BW209" s="185"/>
      <c r="BX209" s="185"/>
      <c r="BY209" s="185"/>
      <c r="BZ209" s="185"/>
      <c r="CA209" s="185"/>
      <c r="CB209" s="185"/>
      <c r="CC209" s="185"/>
      <c r="CD209" s="185"/>
      <c r="CE209" s="185"/>
      <c r="CF209" s="185"/>
      <c r="CG209" s="185"/>
      <c r="CH209" s="185"/>
      <c r="CI209" s="185"/>
      <c r="CJ209" s="185"/>
      <c r="CK209" s="185"/>
      <c r="CL209" s="185"/>
      <c r="CM209" s="185"/>
      <c r="CN209" s="185"/>
      <c r="CO209" s="185"/>
      <c r="CP209" s="185"/>
      <c r="CQ209" s="185"/>
      <c r="CR209" s="185"/>
      <c r="CS209" s="185"/>
      <c r="CT209" s="185"/>
      <c r="CU209" s="185"/>
      <c r="CV209" s="185"/>
      <c r="CW209" s="185"/>
      <c r="CX209" s="185"/>
      <c r="CY209" s="185"/>
      <c r="CZ209" s="185"/>
      <c r="DA209" s="185"/>
      <c r="DB209" s="185"/>
      <c r="DC209" s="185"/>
      <c r="DD209" s="185"/>
      <c r="DE209" s="185"/>
      <c r="DF209" s="185"/>
      <c r="DG209" s="185"/>
      <c r="DH209" s="185"/>
      <c r="DI209" s="185"/>
      <c r="DJ209" s="185"/>
      <c r="DK209" s="185"/>
      <c r="DL209" s="185"/>
      <c r="DM209" s="185"/>
      <c r="DN209" s="185"/>
      <c r="DO209" s="185"/>
      <c r="DP209" s="185"/>
      <c r="DQ209" s="185"/>
      <c r="DR209" s="185"/>
      <c r="DS209" s="185"/>
      <c r="DT209" s="185"/>
      <c r="DU209" s="185"/>
      <c r="DV209" s="185"/>
      <c r="DW209" s="185"/>
      <c r="DX209" s="185"/>
      <c r="DY209" s="185"/>
      <c r="DZ209" s="185"/>
      <c r="EA209" s="185"/>
      <c r="EB209" s="185"/>
      <c r="EC209" s="185"/>
      <c r="ED209" s="185"/>
      <c r="EE209" s="185"/>
      <c r="EF209" s="185"/>
      <c r="EG209" s="185"/>
      <c r="EH209" s="185"/>
      <c r="EI209" s="185"/>
      <c r="EJ209" s="185"/>
      <c r="EK209" s="185"/>
      <c r="EL209" s="185"/>
      <c r="EM209" s="185"/>
      <c r="EN209" s="185"/>
      <c r="EO209" s="185"/>
      <c r="EP209" s="185"/>
      <c r="EQ209" s="185"/>
      <c r="ER209" s="185"/>
      <c r="ES209" s="185"/>
      <c r="ET209" s="185"/>
      <c r="EU209" s="185"/>
      <c r="EV209" s="185"/>
      <c r="EW209" s="185"/>
      <c r="EX209" s="185"/>
      <c r="EY209" s="185"/>
      <c r="EZ209" s="185"/>
      <c r="FA209" s="185"/>
      <c r="FB209" s="185"/>
      <c r="FC209" s="185"/>
      <c r="FD209" s="185"/>
      <c r="FE209" s="185"/>
      <c r="FF209" s="185"/>
      <c r="FG209" s="185"/>
      <c r="FH209" s="185"/>
      <c r="FI209" s="185"/>
      <c r="FJ209" s="185"/>
      <c r="FK209" s="185"/>
    </row>
    <row r="210" spans="1:167" s="186" customFormat="1">
      <c r="A210" s="198"/>
      <c r="B210" s="178"/>
      <c r="C210" s="141"/>
      <c r="D210" s="140"/>
      <c r="E210" s="141"/>
      <c r="F210" s="198"/>
      <c r="G210" s="141"/>
      <c r="H210" s="141"/>
      <c r="I210" s="141"/>
      <c r="J210" s="141"/>
      <c r="K210" s="141"/>
      <c r="L210" s="333"/>
      <c r="M210" s="339"/>
      <c r="N210" s="191"/>
      <c r="O210" s="337"/>
      <c r="P210" s="339"/>
      <c r="Q210" s="179"/>
      <c r="R210" s="180"/>
      <c r="S210" s="181"/>
      <c r="T210" s="182"/>
      <c r="U210" s="141"/>
      <c r="V210" s="182"/>
      <c r="W210" s="183"/>
      <c r="X210" s="185"/>
      <c r="Y210" s="176" t="str">
        <f>IF(Table17[[#This Row],[Required Resolution Date]]="","FALSE",IF($AA$1&gt;Table17[[#This Row],[Required Resolution Date]],"TRUE","FALSE"))</f>
        <v>FALSE</v>
      </c>
      <c r="Z210" s="175">
        <f t="shared" si="24"/>
        <v>0</v>
      </c>
      <c r="AA210" s="185"/>
      <c r="AB210" s="327" t="b">
        <f>OR(Table17[[#This Row],[Priority]]="04. High",Table17[[#This Row],[Priority]]="05. Critical")</f>
        <v>0</v>
      </c>
      <c r="AC210" s="284">
        <f ca="1">$AA$1-Table17[[#This Row],[Date captured]]</f>
        <v>40990</v>
      </c>
      <c r="AD210" s="327" t="b">
        <f t="shared" ca="1" si="20"/>
        <v>0</v>
      </c>
      <c r="AE210" s="327" t="b">
        <f t="shared" ca="1" si="21"/>
        <v>0</v>
      </c>
      <c r="AF210" s="327" t="b">
        <f t="shared" ca="1" si="22"/>
        <v>1</v>
      </c>
      <c r="AG210" s="284">
        <f ca="1">Table17[[#This Row],[Required Resolution Date]]-$AA$1</f>
        <v>-40990</v>
      </c>
      <c r="AH210" s="327" t="b">
        <f t="shared" ca="1" si="23"/>
        <v>0</v>
      </c>
      <c r="AI210" s="327" t="b">
        <f>OR(Table17[[#This Row],[Priority]]="04. High",Table17[[#This Row],[Priority]]="05. Critical",Table17[[#This Row],[Priority]]="03. Moderate")</f>
        <v>0</v>
      </c>
      <c r="AJ210" s="185"/>
      <c r="AK210" s="185"/>
      <c r="AL210" s="185"/>
      <c r="AM210" s="185"/>
      <c r="AN210" s="185"/>
      <c r="AO210" s="185"/>
      <c r="AP210" s="185"/>
      <c r="AQ210" s="185"/>
      <c r="AR210" s="185"/>
      <c r="AS210" s="185"/>
      <c r="AT210" s="185"/>
      <c r="AU210" s="185"/>
      <c r="AV210" s="185"/>
      <c r="AW210" s="185"/>
      <c r="AX210" s="185"/>
      <c r="AY210" s="185"/>
      <c r="AZ210" s="185"/>
      <c r="BA210" s="185"/>
      <c r="BB210" s="185"/>
      <c r="BC210" s="185"/>
      <c r="BD210" s="185"/>
      <c r="BE210" s="185"/>
      <c r="BF210" s="185"/>
      <c r="BG210" s="185"/>
      <c r="BH210" s="185"/>
      <c r="BI210" s="185"/>
      <c r="BJ210" s="185"/>
      <c r="BK210" s="185"/>
      <c r="BL210" s="185"/>
      <c r="BM210" s="185"/>
      <c r="BN210" s="185"/>
      <c r="BO210" s="185"/>
      <c r="BP210" s="185"/>
      <c r="BQ210" s="185"/>
      <c r="BR210" s="185"/>
      <c r="BS210" s="185"/>
      <c r="BT210" s="185"/>
      <c r="BU210" s="185"/>
      <c r="BV210" s="185"/>
      <c r="BW210" s="185"/>
      <c r="BX210" s="185"/>
      <c r="BY210" s="185"/>
      <c r="BZ210" s="185"/>
      <c r="CA210" s="185"/>
      <c r="CB210" s="185"/>
      <c r="CC210" s="185"/>
      <c r="CD210" s="185"/>
      <c r="CE210" s="185"/>
      <c r="CF210" s="185"/>
      <c r="CG210" s="185"/>
      <c r="CH210" s="185"/>
      <c r="CI210" s="185"/>
      <c r="CJ210" s="185"/>
      <c r="CK210" s="185"/>
      <c r="CL210" s="185"/>
      <c r="CM210" s="185"/>
      <c r="CN210" s="185"/>
      <c r="CO210" s="185"/>
      <c r="CP210" s="185"/>
      <c r="CQ210" s="185"/>
      <c r="CR210" s="185"/>
      <c r="CS210" s="185"/>
      <c r="CT210" s="185"/>
      <c r="CU210" s="185"/>
      <c r="CV210" s="185"/>
      <c r="CW210" s="185"/>
      <c r="CX210" s="185"/>
      <c r="CY210" s="185"/>
      <c r="CZ210" s="185"/>
      <c r="DA210" s="185"/>
      <c r="DB210" s="185"/>
      <c r="DC210" s="185"/>
      <c r="DD210" s="185"/>
      <c r="DE210" s="185"/>
      <c r="DF210" s="185"/>
      <c r="DG210" s="185"/>
      <c r="DH210" s="185"/>
      <c r="DI210" s="185"/>
      <c r="DJ210" s="185"/>
      <c r="DK210" s="185"/>
      <c r="DL210" s="185"/>
      <c r="DM210" s="185"/>
      <c r="DN210" s="185"/>
      <c r="DO210" s="185"/>
      <c r="DP210" s="185"/>
      <c r="DQ210" s="185"/>
      <c r="DR210" s="185"/>
      <c r="DS210" s="185"/>
      <c r="DT210" s="185"/>
      <c r="DU210" s="185"/>
      <c r="DV210" s="185"/>
      <c r="DW210" s="185"/>
      <c r="DX210" s="185"/>
      <c r="DY210" s="185"/>
      <c r="DZ210" s="185"/>
      <c r="EA210" s="185"/>
      <c r="EB210" s="185"/>
      <c r="EC210" s="185"/>
      <c r="ED210" s="185"/>
      <c r="EE210" s="185"/>
      <c r="EF210" s="185"/>
      <c r="EG210" s="185"/>
      <c r="EH210" s="185"/>
      <c r="EI210" s="185"/>
      <c r="EJ210" s="185"/>
      <c r="EK210" s="185"/>
      <c r="EL210" s="185"/>
      <c r="EM210" s="185"/>
      <c r="EN210" s="185"/>
      <c r="EO210" s="185"/>
      <c r="EP210" s="185"/>
      <c r="EQ210" s="185"/>
      <c r="ER210" s="185"/>
      <c r="ES210" s="185"/>
      <c r="ET210" s="185"/>
      <c r="EU210" s="185"/>
      <c r="EV210" s="185"/>
      <c r="EW210" s="185"/>
      <c r="EX210" s="185"/>
      <c r="EY210" s="185"/>
      <c r="EZ210" s="185"/>
      <c r="FA210" s="185"/>
      <c r="FB210" s="185"/>
      <c r="FC210" s="185"/>
      <c r="FD210" s="185"/>
      <c r="FE210" s="185"/>
      <c r="FF210" s="185"/>
      <c r="FG210" s="185"/>
      <c r="FH210" s="185"/>
      <c r="FI210" s="185"/>
      <c r="FJ210" s="185"/>
      <c r="FK210" s="185"/>
    </row>
    <row r="211" spans="1:167" s="186" customFormat="1">
      <c r="A211" s="198"/>
      <c r="B211" s="178"/>
      <c r="C211" s="141"/>
      <c r="D211" s="140"/>
      <c r="E211" s="141"/>
      <c r="F211" s="198"/>
      <c r="G211" s="141"/>
      <c r="H211" s="141"/>
      <c r="I211" s="141"/>
      <c r="J211" s="141"/>
      <c r="K211" s="141"/>
      <c r="L211" s="333"/>
      <c r="M211" s="339"/>
      <c r="N211" s="191"/>
      <c r="O211" s="337"/>
      <c r="P211" s="339"/>
      <c r="Q211" s="179"/>
      <c r="R211" s="180"/>
      <c r="S211" s="181"/>
      <c r="T211" s="182"/>
      <c r="U211" s="141"/>
      <c r="V211" s="182"/>
      <c r="W211" s="183"/>
      <c r="X211" s="185"/>
      <c r="Y211" s="176" t="str">
        <f>IF(Table17[[#This Row],[Required Resolution Date]]="","FALSE",IF($AA$1&gt;Table17[[#This Row],[Required Resolution Date]],"TRUE","FALSE"))</f>
        <v>FALSE</v>
      </c>
      <c r="Z211" s="175">
        <f t="shared" si="24"/>
        <v>0</v>
      </c>
      <c r="AA211" s="185"/>
      <c r="AB211" s="327" t="b">
        <f>OR(Table17[[#This Row],[Priority]]="04. High",Table17[[#This Row],[Priority]]="05. Critical")</f>
        <v>0</v>
      </c>
      <c r="AC211" s="284">
        <f ca="1">$AA$1-Table17[[#This Row],[Date captured]]</f>
        <v>40990</v>
      </c>
      <c r="AD211" s="327" t="b">
        <f t="shared" ca="1" si="20"/>
        <v>0</v>
      </c>
      <c r="AE211" s="327" t="b">
        <f t="shared" ca="1" si="21"/>
        <v>0</v>
      </c>
      <c r="AF211" s="327" t="b">
        <f t="shared" ca="1" si="22"/>
        <v>1</v>
      </c>
      <c r="AG211" s="284">
        <f ca="1">Table17[[#This Row],[Required Resolution Date]]-$AA$1</f>
        <v>-40990</v>
      </c>
      <c r="AH211" s="327" t="b">
        <f t="shared" ca="1" si="23"/>
        <v>0</v>
      </c>
      <c r="AI211" s="327" t="b">
        <f>OR(Table17[[#This Row],[Priority]]="04. High",Table17[[#This Row],[Priority]]="05. Critical",Table17[[#This Row],[Priority]]="03. Moderate")</f>
        <v>0</v>
      </c>
      <c r="AJ211" s="185"/>
      <c r="AK211" s="185"/>
      <c r="AL211" s="185"/>
      <c r="AM211" s="185"/>
      <c r="AN211" s="185"/>
      <c r="AO211" s="185"/>
      <c r="AP211" s="185"/>
      <c r="AQ211" s="185"/>
      <c r="AR211" s="185"/>
      <c r="AS211" s="185"/>
      <c r="AT211" s="185"/>
      <c r="AU211" s="185"/>
      <c r="AV211" s="185"/>
      <c r="AW211" s="185"/>
      <c r="AX211" s="185"/>
      <c r="AY211" s="185"/>
      <c r="AZ211" s="185"/>
      <c r="BA211" s="185"/>
      <c r="BB211" s="185"/>
      <c r="BC211" s="185"/>
      <c r="BD211" s="185"/>
      <c r="BE211" s="185"/>
      <c r="BF211" s="185"/>
      <c r="BG211" s="185"/>
      <c r="BH211" s="185"/>
      <c r="BI211" s="185"/>
      <c r="BJ211" s="185"/>
      <c r="BK211" s="185"/>
      <c r="BL211" s="185"/>
      <c r="BM211" s="185"/>
      <c r="BN211" s="185"/>
      <c r="BO211" s="185"/>
      <c r="BP211" s="185"/>
      <c r="BQ211" s="185"/>
      <c r="BR211" s="185"/>
      <c r="BS211" s="185"/>
      <c r="BT211" s="185"/>
      <c r="BU211" s="185"/>
      <c r="BV211" s="185"/>
      <c r="BW211" s="185"/>
      <c r="BX211" s="185"/>
      <c r="BY211" s="185"/>
      <c r="BZ211" s="185"/>
      <c r="CA211" s="185"/>
      <c r="CB211" s="185"/>
      <c r="CC211" s="185"/>
      <c r="CD211" s="185"/>
      <c r="CE211" s="185"/>
      <c r="CF211" s="185"/>
      <c r="CG211" s="185"/>
      <c r="CH211" s="185"/>
      <c r="CI211" s="185"/>
      <c r="CJ211" s="185"/>
      <c r="CK211" s="185"/>
      <c r="CL211" s="185"/>
      <c r="CM211" s="185"/>
      <c r="CN211" s="185"/>
      <c r="CO211" s="185"/>
      <c r="CP211" s="185"/>
      <c r="CQ211" s="185"/>
      <c r="CR211" s="185"/>
      <c r="CS211" s="185"/>
      <c r="CT211" s="185"/>
      <c r="CU211" s="185"/>
      <c r="CV211" s="185"/>
      <c r="CW211" s="185"/>
      <c r="CX211" s="185"/>
      <c r="CY211" s="185"/>
      <c r="CZ211" s="185"/>
      <c r="DA211" s="185"/>
      <c r="DB211" s="185"/>
      <c r="DC211" s="185"/>
      <c r="DD211" s="185"/>
      <c r="DE211" s="185"/>
      <c r="DF211" s="185"/>
      <c r="DG211" s="185"/>
      <c r="DH211" s="185"/>
      <c r="DI211" s="185"/>
      <c r="DJ211" s="185"/>
      <c r="DK211" s="185"/>
      <c r="DL211" s="185"/>
      <c r="DM211" s="185"/>
      <c r="DN211" s="185"/>
      <c r="DO211" s="185"/>
      <c r="DP211" s="185"/>
      <c r="DQ211" s="185"/>
      <c r="DR211" s="185"/>
      <c r="DS211" s="185"/>
      <c r="DT211" s="185"/>
      <c r="DU211" s="185"/>
      <c r="DV211" s="185"/>
      <c r="DW211" s="185"/>
      <c r="DX211" s="185"/>
      <c r="DY211" s="185"/>
      <c r="DZ211" s="185"/>
      <c r="EA211" s="185"/>
      <c r="EB211" s="185"/>
      <c r="EC211" s="185"/>
      <c r="ED211" s="185"/>
      <c r="EE211" s="185"/>
      <c r="EF211" s="185"/>
      <c r="EG211" s="185"/>
      <c r="EH211" s="185"/>
      <c r="EI211" s="185"/>
      <c r="EJ211" s="185"/>
      <c r="EK211" s="185"/>
      <c r="EL211" s="185"/>
      <c r="EM211" s="185"/>
      <c r="EN211" s="185"/>
      <c r="EO211" s="185"/>
      <c r="EP211" s="185"/>
      <c r="EQ211" s="185"/>
      <c r="ER211" s="185"/>
      <c r="ES211" s="185"/>
      <c r="ET211" s="185"/>
      <c r="EU211" s="185"/>
      <c r="EV211" s="185"/>
      <c r="EW211" s="185"/>
      <c r="EX211" s="185"/>
      <c r="EY211" s="185"/>
      <c r="EZ211" s="185"/>
      <c r="FA211" s="185"/>
      <c r="FB211" s="185"/>
      <c r="FC211" s="185"/>
      <c r="FD211" s="185"/>
      <c r="FE211" s="185"/>
      <c r="FF211" s="185"/>
      <c r="FG211" s="185"/>
      <c r="FH211" s="185"/>
      <c r="FI211" s="185"/>
      <c r="FJ211" s="185"/>
      <c r="FK211" s="185"/>
    </row>
    <row r="212" spans="1:167" s="186" customFormat="1">
      <c r="A212" s="198"/>
      <c r="B212" s="178"/>
      <c r="C212" s="141"/>
      <c r="D212" s="140"/>
      <c r="E212" s="141"/>
      <c r="F212" s="198"/>
      <c r="G212" s="141"/>
      <c r="H212" s="141"/>
      <c r="I212" s="141"/>
      <c r="J212" s="141"/>
      <c r="K212" s="141"/>
      <c r="L212" s="333"/>
      <c r="M212" s="339"/>
      <c r="N212" s="191"/>
      <c r="O212" s="337"/>
      <c r="P212" s="339"/>
      <c r="Q212" s="179"/>
      <c r="R212" s="180"/>
      <c r="S212" s="181"/>
      <c r="T212" s="182"/>
      <c r="U212" s="141"/>
      <c r="V212" s="182"/>
      <c r="W212" s="183"/>
      <c r="X212" s="185"/>
      <c r="Y212" s="176" t="str">
        <f>IF(Table17[[#This Row],[Required Resolution Date]]="","FALSE",IF($AA$1&gt;Table17[[#This Row],[Required Resolution Date]],"TRUE","FALSE"))</f>
        <v>FALSE</v>
      </c>
      <c r="Z212" s="175">
        <f t="shared" si="24"/>
        <v>0</v>
      </c>
      <c r="AA212" s="185"/>
      <c r="AB212" s="327" t="b">
        <f>OR(Table17[[#This Row],[Priority]]="04. High",Table17[[#This Row],[Priority]]="05. Critical")</f>
        <v>0</v>
      </c>
      <c r="AC212" s="284">
        <f ca="1">$AA$1-Table17[[#This Row],[Date captured]]</f>
        <v>40990</v>
      </c>
      <c r="AD212" s="327" t="b">
        <f t="shared" ca="1" si="20"/>
        <v>0</v>
      </c>
      <c r="AE212" s="327" t="b">
        <f t="shared" ca="1" si="21"/>
        <v>0</v>
      </c>
      <c r="AF212" s="327" t="b">
        <f t="shared" ca="1" si="22"/>
        <v>1</v>
      </c>
      <c r="AG212" s="284">
        <f ca="1">Table17[[#This Row],[Required Resolution Date]]-$AA$1</f>
        <v>-40990</v>
      </c>
      <c r="AH212" s="327" t="b">
        <f t="shared" ca="1" si="23"/>
        <v>0</v>
      </c>
      <c r="AI212" s="327" t="b">
        <f>OR(Table17[[#This Row],[Priority]]="04. High",Table17[[#This Row],[Priority]]="05. Critical",Table17[[#This Row],[Priority]]="03. Moderate")</f>
        <v>0</v>
      </c>
      <c r="AJ212" s="185"/>
      <c r="AK212" s="185"/>
      <c r="AL212" s="185"/>
      <c r="AM212" s="185"/>
      <c r="AN212" s="185"/>
      <c r="AO212" s="185"/>
      <c r="AP212" s="185"/>
      <c r="AQ212" s="185"/>
      <c r="AR212" s="185"/>
      <c r="AS212" s="185"/>
      <c r="AT212" s="185"/>
      <c r="AU212" s="185"/>
      <c r="AV212" s="185"/>
      <c r="AW212" s="185"/>
      <c r="AX212" s="185"/>
      <c r="AY212" s="185"/>
      <c r="AZ212" s="185"/>
      <c r="BA212" s="185"/>
      <c r="BB212" s="185"/>
      <c r="BC212" s="185"/>
      <c r="BD212" s="185"/>
      <c r="BE212" s="185"/>
      <c r="BF212" s="185"/>
      <c r="BG212" s="185"/>
      <c r="BH212" s="185"/>
      <c r="BI212" s="185"/>
      <c r="BJ212" s="185"/>
      <c r="BK212" s="185"/>
      <c r="BL212" s="185"/>
      <c r="BM212" s="185"/>
      <c r="BN212" s="185"/>
      <c r="BO212" s="185"/>
      <c r="BP212" s="185"/>
      <c r="BQ212" s="185"/>
      <c r="BR212" s="185"/>
      <c r="BS212" s="185"/>
      <c r="BT212" s="185"/>
      <c r="BU212" s="185"/>
      <c r="BV212" s="185"/>
      <c r="BW212" s="185"/>
      <c r="BX212" s="185"/>
      <c r="BY212" s="185"/>
      <c r="BZ212" s="185"/>
      <c r="CA212" s="185"/>
      <c r="CB212" s="185"/>
      <c r="CC212" s="185"/>
      <c r="CD212" s="185"/>
      <c r="CE212" s="185"/>
      <c r="CF212" s="185"/>
      <c r="CG212" s="185"/>
      <c r="CH212" s="185"/>
      <c r="CI212" s="185"/>
      <c r="CJ212" s="185"/>
      <c r="CK212" s="185"/>
      <c r="CL212" s="185"/>
      <c r="CM212" s="185"/>
      <c r="CN212" s="185"/>
      <c r="CO212" s="185"/>
      <c r="CP212" s="185"/>
      <c r="CQ212" s="185"/>
      <c r="CR212" s="185"/>
      <c r="CS212" s="185"/>
      <c r="CT212" s="185"/>
      <c r="CU212" s="185"/>
      <c r="CV212" s="185"/>
      <c r="CW212" s="185"/>
      <c r="CX212" s="185"/>
      <c r="CY212" s="185"/>
      <c r="CZ212" s="185"/>
      <c r="DA212" s="185"/>
      <c r="DB212" s="185"/>
      <c r="DC212" s="185"/>
      <c r="DD212" s="185"/>
      <c r="DE212" s="185"/>
      <c r="DF212" s="185"/>
      <c r="DG212" s="185"/>
      <c r="DH212" s="185"/>
      <c r="DI212" s="185"/>
      <c r="DJ212" s="185"/>
      <c r="DK212" s="185"/>
      <c r="DL212" s="185"/>
      <c r="DM212" s="185"/>
      <c r="DN212" s="185"/>
      <c r="DO212" s="185"/>
      <c r="DP212" s="185"/>
      <c r="DQ212" s="185"/>
      <c r="DR212" s="185"/>
      <c r="DS212" s="185"/>
      <c r="DT212" s="185"/>
      <c r="DU212" s="185"/>
      <c r="DV212" s="185"/>
      <c r="DW212" s="185"/>
      <c r="DX212" s="185"/>
      <c r="DY212" s="185"/>
      <c r="DZ212" s="185"/>
      <c r="EA212" s="185"/>
      <c r="EB212" s="185"/>
      <c r="EC212" s="185"/>
      <c r="ED212" s="185"/>
      <c r="EE212" s="185"/>
      <c r="EF212" s="185"/>
      <c r="EG212" s="185"/>
      <c r="EH212" s="185"/>
      <c r="EI212" s="185"/>
      <c r="EJ212" s="185"/>
      <c r="EK212" s="185"/>
      <c r="EL212" s="185"/>
      <c r="EM212" s="185"/>
      <c r="EN212" s="185"/>
      <c r="EO212" s="185"/>
      <c r="EP212" s="185"/>
      <c r="EQ212" s="185"/>
      <c r="ER212" s="185"/>
      <c r="ES212" s="185"/>
      <c r="ET212" s="185"/>
      <c r="EU212" s="185"/>
      <c r="EV212" s="185"/>
      <c r="EW212" s="185"/>
      <c r="EX212" s="185"/>
      <c r="EY212" s="185"/>
      <c r="EZ212" s="185"/>
      <c r="FA212" s="185"/>
      <c r="FB212" s="185"/>
      <c r="FC212" s="185"/>
      <c r="FD212" s="185"/>
      <c r="FE212" s="185"/>
      <c r="FF212" s="185"/>
      <c r="FG212" s="185"/>
      <c r="FH212" s="185"/>
      <c r="FI212" s="185"/>
      <c r="FJ212" s="185"/>
      <c r="FK212" s="185"/>
    </row>
    <row r="213" spans="1:167" s="186" customFormat="1">
      <c r="A213" s="198"/>
      <c r="B213" s="178"/>
      <c r="C213" s="141"/>
      <c r="D213" s="140"/>
      <c r="E213" s="141"/>
      <c r="F213" s="198"/>
      <c r="G213" s="141"/>
      <c r="H213" s="141"/>
      <c r="I213" s="141"/>
      <c r="J213" s="141"/>
      <c r="K213" s="141"/>
      <c r="L213" s="333"/>
      <c r="M213" s="339"/>
      <c r="N213" s="191"/>
      <c r="O213" s="337"/>
      <c r="P213" s="339"/>
      <c r="Q213" s="179"/>
      <c r="R213" s="180"/>
      <c r="S213" s="181"/>
      <c r="T213" s="182"/>
      <c r="U213" s="141"/>
      <c r="V213" s="182"/>
      <c r="W213" s="183"/>
      <c r="X213" s="185"/>
      <c r="Y213" s="176" t="str">
        <f>IF(Table17[[#This Row],[Required Resolution Date]]="","FALSE",IF($AA$1&gt;Table17[[#This Row],[Required Resolution Date]],"TRUE","FALSE"))</f>
        <v>FALSE</v>
      </c>
      <c r="Z213" s="175">
        <f t="shared" si="24"/>
        <v>0</v>
      </c>
      <c r="AA213" s="185"/>
      <c r="AB213" s="327" t="b">
        <f>OR(Table17[[#This Row],[Priority]]="04. High",Table17[[#This Row],[Priority]]="05. Critical")</f>
        <v>0</v>
      </c>
      <c r="AC213" s="284">
        <f ca="1">$AA$1-Table17[[#This Row],[Date captured]]</f>
        <v>40990</v>
      </c>
      <c r="AD213" s="327" t="b">
        <f t="shared" ca="1" si="20"/>
        <v>0</v>
      </c>
      <c r="AE213" s="327" t="b">
        <f t="shared" ca="1" si="21"/>
        <v>0</v>
      </c>
      <c r="AF213" s="327" t="b">
        <f t="shared" ca="1" si="22"/>
        <v>1</v>
      </c>
      <c r="AG213" s="284">
        <f ca="1">Table17[[#This Row],[Required Resolution Date]]-$AA$1</f>
        <v>-40990</v>
      </c>
      <c r="AH213" s="327" t="b">
        <f t="shared" ca="1" si="23"/>
        <v>0</v>
      </c>
      <c r="AI213" s="327" t="b">
        <f>OR(Table17[[#This Row],[Priority]]="04. High",Table17[[#This Row],[Priority]]="05. Critical",Table17[[#This Row],[Priority]]="03. Moderate")</f>
        <v>0</v>
      </c>
      <c r="AJ213" s="185"/>
      <c r="AK213" s="185"/>
      <c r="AL213" s="185"/>
      <c r="AM213" s="185"/>
      <c r="AN213" s="185"/>
      <c r="AO213" s="185"/>
      <c r="AP213" s="185"/>
      <c r="AQ213" s="185"/>
      <c r="AR213" s="185"/>
      <c r="AS213" s="185"/>
      <c r="AT213" s="185"/>
      <c r="AU213" s="185"/>
      <c r="AV213" s="185"/>
      <c r="AW213" s="185"/>
      <c r="AX213" s="185"/>
      <c r="AY213" s="185"/>
      <c r="AZ213" s="185"/>
      <c r="BA213" s="185"/>
      <c r="BB213" s="185"/>
      <c r="BC213" s="185"/>
      <c r="BD213" s="185"/>
      <c r="BE213" s="185"/>
      <c r="BF213" s="185"/>
      <c r="BG213" s="185"/>
      <c r="BH213" s="185"/>
      <c r="BI213" s="185"/>
      <c r="BJ213" s="185"/>
      <c r="BK213" s="185"/>
      <c r="BL213" s="185"/>
      <c r="BM213" s="185"/>
      <c r="BN213" s="185"/>
      <c r="BO213" s="185"/>
      <c r="BP213" s="185"/>
      <c r="BQ213" s="185"/>
      <c r="BR213" s="185"/>
      <c r="BS213" s="185"/>
      <c r="BT213" s="185"/>
      <c r="BU213" s="185"/>
      <c r="BV213" s="185"/>
      <c r="BW213" s="185"/>
      <c r="BX213" s="185"/>
      <c r="BY213" s="185"/>
      <c r="BZ213" s="185"/>
      <c r="CA213" s="185"/>
      <c r="CB213" s="185"/>
      <c r="CC213" s="185"/>
      <c r="CD213" s="185"/>
      <c r="CE213" s="185"/>
      <c r="CF213" s="185"/>
      <c r="CG213" s="185"/>
      <c r="CH213" s="185"/>
      <c r="CI213" s="185"/>
      <c r="CJ213" s="185"/>
      <c r="CK213" s="185"/>
      <c r="CL213" s="185"/>
      <c r="CM213" s="185"/>
      <c r="CN213" s="185"/>
      <c r="CO213" s="185"/>
      <c r="CP213" s="185"/>
      <c r="CQ213" s="185"/>
      <c r="CR213" s="185"/>
      <c r="CS213" s="185"/>
      <c r="CT213" s="185"/>
      <c r="CU213" s="185"/>
      <c r="CV213" s="185"/>
      <c r="CW213" s="185"/>
      <c r="CX213" s="185"/>
      <c r="CY213" s="185"/>
      <c r="CZ213" s="185"/>
      <c r="DA213" s="185"/>
      <c r="DB213" s="185"/>
      <c r="DC213" s="185"/>
      <c r="DD213" s="185"/>
      <c r="DE213" s="185"/>
      <c r="DF213" s="185"/>
      <c r="DG213" s="185"/>
      <c r="DH213" s="185"/>
      <c r="DI213" s="185"/>
      <c r="DJ213" s="185"/>
      <c r="DK213" s="185"/>
      <c r="DL213" s="185"/>
      <c r="DM213" s="185"/>
      <c r="DN213" s="185"/>
      <c r="DO213" s="185"/>
      <c r="DP213" s="185"/>
      <c r="DQ213" s="185"/>
      <c r="DR213" s="185"/>
      <c r="DS213" s="185"/>
      <c r="DT213" s="185"/>
      <c r="DU213" s="185"/>
      <c r="DV213" s="185"/>
      <c r="DW213" s="185"/>
      <c r="DX213" s="185"/>
      <c r="DY213" s="185"/>
      <c r="DZ213" s="185"/>
      <c r="EA213" s="185"/>
      <c r="EB213" s="185"/>
      <c r="EC213" s="185"/>
      <c r="ED213" s="185"/>
      <c r="EE213" s="185"/>
      <c r="EF213" s="185"/>
      <c r="EG213" s="185"/>
      <c r="EH213" s="185"/>
      <c r="EI213" s="185"/>
      <c r="EJ213" s="185"/>
      <c r="EK213" s="185"/>
      <c r="EL213" s="185"/>
      <c r="EM213" s="185"/>
      <c r="EN213" s="185"/>
      <c r="EO213" s="185"/>
      <c r="EP213" s="185"/>
      <c r="EQ213" s="185"/>
      <c r="ER213" s="185"/>
      <c r="ES213" s="185"/>
      <c r="ET213" s="185"/>
      <c r="EU213" s="185"/>
      <c r="EV213" s="185"/>
      <c r="EW213" s="185"/>
      <c r="EX213" s="185"/>
      <c r="EY213" s="185"/>
      <c r="EZ213" s="185"/>
      <c r="FA213" s="185"/>
      <c r="FB213" s="185"/>
      <c r="FC213" s="185"/>
      <c r="FD213" s="185"/>
      <c r="FE213" s="185"/>
      <c r="FF213" s="185"/>
      <c r="FG213" s="185"/>
      <c r="FH213" s="185"/>
      <c r="FI213" s="185"/>
      <c r="FJ213" s="185"/>
      <c r="FK213" s="185"/>
    </row>
    <row r="214" spans="1:167" s="186" customFormat="1">
      <c r="A214" s="198"/>
      <c r="B214" s="178"/>
      <c r="C214" s="141"/>
      <c r="D214" s="140"/>
      <c r="E214" s="141"/>
      <c r="F214" s="198"/>
      <c r="G214" s="141"/>
      <c r="H214" s="141"/>
      <c r="I214" s="141"/>
      <c r="J214" s="141"/>
      <c r="K214" s="141"/>
      <c r="L214" s="333"/>
      <c r="M214" s="339"/>
      <c r="N214" s="191"/>
      <c r="O214" s="337"/>
      <c r="P214" s="339"/>
      <c r="Q214" s="179"/>
      <c r="R214" s="180"/>
      <c r="S214" s="181"/>
      <c r="T214" s="182"/>
      <c r="U214" s="141"/>
      <c r="V214" s="182"/>
      <c r="W214" s="183"/>
      <c r="X214" s="185"/>
      <c r="Y214" s="176" t="str">
        <f>IF(Table17[[#This Row],[Required Resolution Date]]="","FALSE",IF($AA$1&gt;Table17[[#This Row],[Required Resolution Date]],"TRUE","FALSE"))</f>
        <v>FALSE</v>
      </c>
      <c r="Z214" s="175">
        <f t="shared" si="24"/>
        <v>0</v>
      </c>
      <c r="AA214" s="185"/>
      <c r="AB214" s="327" t="b">
        <f>OR(Table17[[#This Row],[Priority]]="04. High",Table17[[#This Row],[Priority]]="05. Critical")</f>
        <v>0</v>
      </c>
      <c r="AC214" s="284">
        <f ca="1">$AA$1-Table17[[#This Row],[Date captured]]</f>
        <v>40990</v>
      </c>
      <c r="AD214" s="327" t="b">
        <f t="shared" ca="1" si="20"/>
        <v>0</v>
      </c>
      <c r="AE214" s="327" t="b">
        <f t="shared" ca="1" si="21"/>
        <v>0</v>
      </c>
      <c r="AF214" s="327" t="b">
        <f t="shared" ca="1" si="22"/>
        <v>1</v>
      </c>
      <c r="AG214" s="284">
        <f ca="1">Table17[[#This Row],[Required Resolution Date]]-$AA$1</f>
        <v>-40990</v>
      </c>
      <c r="AH214" s="327" t="b">
        <f t="shared" ca="1" si="23"/>
        <v>0</v>
      </c>
      <c r="AI214" s="327" t="b">
        <f>OR(Table17[[#This Row],[Priority]]="04. High",Table17[[#This Row],[Priority]]="05. Critical",Table17[[#This Row],[Priority]]="03. Moderate")</f>
        <v>0</v>
      </c>
      <c r="AJ214" s="185"/>
      <c r="AK214" s="185"/>
      <c r="AL214" s="185"/>
      <c r="AM214" s="185"/>
      <c r="AN214" s="185"/>
      <c r="AO214" s="185"/>
      <c r="AP214" s="185"/>
      <c r="AQ214" s="185"/>
      <c r="AR214" s="185"/>
      <c r="AS214" s="185"/>
      <c r="AT214" s="185"/>
      <c r="AU214" s="185"/>
      <c r="AV214" s="185"/>
      <c r="AW214" s="185"/>
      <c r="AX214" s="185"/>
      <c r="AY214" s="185"/>
      <c r="AZ214" s="185"/>
      <c r="BA214" s="185"/>
      <c r="BB214" s="185"/>
      <c r="BC214" s="185"/>
      <c r="BD214" s="185"/>
      <c r="BE214" s="185"/>
      <c r="BF214" s="185"/>
      <c r="BG214" s="185"/>
      <c r="BH214" s="185"/>
      <c r="BI214" s="185"/>
      <c r="BJ214" s="185"/>
      <c r="BK214" s="185"/>
      <c r="BL214" s="185"/>
      <c r="BM214" s="185"/>
      <c r="BN214" s="185"/>
      <c r="BO214" s="185"/>
      <c r="BP214" s="185"/>
      <c r="BQ214" s="185"/>
      <c r="BR214" s="185"/>
      <c r="BS214" s="185"/>
      <c r="BT214" s="185"/>
      <c r="BU214" s="185"/>
      <c r="BV214" s="185"/>
      <c r="BW214" s="185"/>
      <c r="BX214" s="185"/>
      <c r="BY214" s="185"/>
      <c r="BZ214" s="185"/>
      <c r="CA214" s="185"/>
      <c r="CB214" s="185"/>
      <c r="CC214" s="185"/>
      <c r="CD214" s="185"/>
      <c r="CE214" s="185"/>
      <c r="CF214" s="185"/>
      <c r="CG214" s="185"/>
      <c r="CH214" s="185"/>
      <c r="CI214" s="185"/>
      <c r="CJ214" s="185"/>
      <c r="CK214" s="185"/>
      <c r="CL214" s="185"/>
      <c r="CM214" s="185"/>
      <c r="CN214" s="185"/>
      <c r="CO214" s="185"/>
      <c r="CP214" s="185"/>
      <c r="CQ214" s="185"/>
      <c r="CR214" s="185"/>
      <c r="CS214" s="185"/>
      <c r="CT214" s="185"/>
      <c r="CU214" s="185"/>
      <c r="CV214" s="185"/>
      <c r="CW214" s="185"/>
      <c r="CX214" s="185"/>
      <c r="CY214" s="185"/>
      <c r="CZ214" s="185"/>
      <c r="DA214" s="185"/>
      <c r="DB214" s="185"/>
      <c r="DC214" s="185"/>
      <c r="DD214" s="185"/>
      <c r="DE214" s="185"/>
      <c r="DF214" s="185"/>
      <c r="DG214" s="185"/>
      <c r="DH214" s="185"/>
      <c r="DI214" s="185"/>
      <c r="DJ214" s="185"/>
      <c r="DK214" s="185"/>
      <c r="DL214" s="185"/>
      <c r="DM214" s="185"/>
      <c r="DN214" s="185"/>
      <c r="DO214" s="185"/>
      <c r="DP214" s="185"/>
      <c r="DQ214" s="185"/>
      <c r="DR214" s="185"/>
      <c r="DS214" s="185"/>
      <c r="DT214" s="185"/>
      <c r="DU214" s="185"/>
      <c r="DV214" s="185"/>
      <c r="DW214" s="185"/>
      <c r="DX214" s="185"/>
      <c r="DY214" s="185"/>
      <c r="DZ214" s="185"/>
      <c r="EA214" s="185"/>
      <c r="EB214" s="185"/>
      <c r="EC214" s="185"/>
      <c r="ED214" s="185"/>
      <c r="EE214" s="185"/>
      <c r="EF214" s="185"/>
      <c r="EG214" s="185"/>
      <c r="EH214" s="185"/>
      <c r="EI214" s="185"/>
      <c r="EJ214" s="185"/>
      <c r="EK214" s="185"/>
      <c r="EL214" s="185"/>
      <c r="EM214" s="185"/>
      <c r="EN214" s="185"/>
      <c r="EO214" s="185"/>
      <c r="EP214" s="185"/>
      <c r="EQ214" s="185"/>
      <c r="ER214" s="185"/>
      <c r="ES214" s="185"/>
      <c r="ET214" s="185"/>
      <c r="EU214" s="185"/>
      <c r="EV214" s="185"/>
      <c r="EW214" s="185"/>
      <c r="EX214" s="185"/>
      <c r="EY214" s="185"/>
      <c r="EZ214" s="185"/>
      <c r="FA214" s="185"/>
      <c r="FB214" s="185"/>
      <c r="FC214" s="185"/>
      <c r="FD214" s="185"/>
      <c r="FE214" s="185"/>
      <c r="FF214" s="185"/>
      <c r="FG214" s="185"/>
      <c r="FH214" s="185"/>
      <c r="FI214" s="185"/>
      <c r="FJ214" s="185"/>
      <c r="FK214" s="185"/>
    </row>
    <row r="215" spans="1:167" s="186" customFormat="1">
      <c r="A215" s="198"/>
      <c r="B215" s="178"/>
      <c r="C215" s="141"/>
      <c r="D215" s="140"/>
      <c r="E215" s="141"/>
      <c r="F215" s="198"/>
      <c r="G215" s="141"/>
      <c r="H215" s="141"/>
      <c r="I215" s="141"/>
      <c r="J215" s="141"/>
      <c r="K215" s="141"/>
      <c r="L215" s="333"/>
      <c r="M215" s="339"/>
      <c r="N215" s="191"/>
      <c r="O215" s="337"/>
      <c r="P215" s="339"/>
      <c r="Q215" s="179"/>
      <c r="R215" s="180"/>
      <c r="S215" s="181"/>
      <c r="T215" s="182"/>
      <c r="U215" s="141"/>
      <c r="V215" s="182"/>
      <c r="W215" s="183"/>
      <c r="X215" s="185"/>
      <c r="Y215" s="176" t="str">
        <f>IF(Table17[[#This Row],[Required Resolution Date]]="","FALSE",IF($AA$1&gt;Table17[[#This Row],[Required Resolution Date]],"TRUE","FALSE"))</f>
        <v>FALSE</v>
      </c>
      <c r="Z215" s="175">
        <f t="shared" si="24"/>
        <v>0</v>
      </c>
      <c r="AA215" s="185"/>
      <c r="AB215" s="327" t="b">
        <f>OR(Table17[[#This Row],[Priority]]="04. High",Table17[[#This Row],[Priority]]="05. Critical")</f>
        <v>0</v>
      </c>
      <c r="AC215" s="284">
        <f ca="1">$AA$1-Table17[[#This Row],[Date captured]]</f>
        <v>40990</v>
      </c>
      <c r="AD215" s="327" t="b">
        <f t="shared" ca="1" si="20"/>
        <v>0</v>
      </c>
      <c r="AE215" s="327" t="b">
        <f t="shared" ca="1" si="21"/>
        <v>0</v>
      </c>
      <c r="AF215" s="327" t="b">
        <f t="shared" ca="1" si="22"/>
        <v>1</v>
      </c>
      <c r="AG215" s="284">
        <f ca="1">Table17[[#This Row],[Required Resolution Date]]-$AA$1</f>
        <v>-40990</v>
      </c>
      <c r="AH215" s="327" t="b">
        <f t="shared" ca="1" si="23"/>
        <v>0</v>
      </c>
      <c r="AI215" s="327" t="b">
        <f>OR(Table17[[#This Row],[Priority]]="04. High",Table17[[#This Row],[Priority]]="05. Critical",Table17[[#This Row],[Priority]]="03. Moderate")</f>
        <v>0</v>
      </c>
      <c r="AJ215" s="185"/>
      <c r="AK215" s="185"/>
      <c r="AL215" s="185"/>
      <c r="AM215" s="185"/>
      <c r="AN215" s="185"/>
      <c r="AO215" s="185"/>
      <c r="AP215" s="185"/>
      <c r="AQ215" s="185"/>
      <c r="AR215" s="185"/>
      <c r="AS215" s="185"/>
      <c r="AT215" s="185"/>
      <c r="AU215" s="185"/>
      <c r="AV215" s="185"/>
      <c r="AW215" s="185"/>
      <c r="AX215" s="185"/>
      <c r="AY215" s="185"/>
      <c r="AZ215" s="185"/>
      <c r="BA215" s="185"/>
      <c r="BB215" s="185"/>
      <c r="BC215" s="185"/>
      <c r="BD215" s="185"/>
      <c r="BE215" s="185"/>
      <c r="BF215" s="185"/>
      <c r="BG215" s="185"/>
      <c r="BH215" s="185"/>
      <c r="BI215" s="185"/>
      <c r="BJ215" s="185"/>
      <c r="BK215" s="185"/>
      <c r="BL215" s="185"/>
      <c r="BM215" s="185"/>
      <c r="BN215" s="185"/>
      <c r="BO215" s="185"/>
      <c r="BP215" s="185"/>
      <c r="BQ215" s="185"/>
      <c r="BR215" s="185"/>
      <c r="BS215" s="185"/>
      <c r="BT215" s="185"/>
      <c r="BU215" s="185"/>
      <c r="BV215" s="185"/>
      <c r="BW215" s="185"/>
      <c r="BX215" s="185"/>
      <c r="BY215" s="185"/>
      <c r="BZ215" s="185"/>
      <c r="CA215" s="185"/>
      <c r="CB215" s="185"/>
      <c r="CC215" s="185"/>
      <c r="CD215" s="185"/>
      <c r="CE215" s="185"/>
      <c r="CF215" s="185"/>
      <c r="CG215" s="185"/>
      <c r="CH215" s="185"/>
      <c r="CI215" s="185"/>
      <c r="CJ215" s="185"/>
      <c r="CK215" s="185"/>
      <c r="CL215" s="185"/>
      <c r="CM215" s="185"/>
      <c r="CN215" s="185"/>
      <c r="CO215" s="185"/>
      <c r="CP215" s="185"/>
      <c r="CQ215" s="185"/>
      <c r="CR215" s="185"/>
      <c r="CS215" s="185"/>
      <c r="CT215" s="185"/>
      <c r="CU215" s="185"/>
      <c r="CV215" s="185"/>
      <c r="CW215" s="185"/>
      <c r="CX215" s="185"/>
      <c r="CY215" s="185"/>
      <c r="CZ215" s="185"/>
      <c r="DA215" s="185"/>
      <c r="DB215" s="185"/>
      <c r="DC215" s="185"/>
      <c r="DD215" s="185"/>
      <c r="DE215" s="185"/>
      <c r="DF215" s="185"/>
      <c r="DG215" s="185"/>
      <c r="DH215" s="185"/>
      <c r="DI215" s="185"/>
      <c r="DJ215" s="185"/>
      <c r="DK215" s="185"/>
      <c r="DL215" s="185"/>
      <c r="DM215" s="185"/>
      <c r="DN215" s="185"/>
      <c r="DO215" s="185"/>
      <c r="DP215" s="185"/>
      <c r="DQ215" s="185"/>
      <c r="DR215" s="185"/>
      <c r="DS215" s="185"/>
      <c r="DT215" s="185"/>
      <c r="DU215" s="185"/>
      <c r="DV215" s="185"/>
      <c r="DW215" s="185"/>
      <c r="DX215" s="185"/>
      <c r="DY215" s="185"/>
      <c r="DZ215" s="185"/>
      <c r="EA215" s="185"/>
      <c r="EB215" s="185"/>
      <c r="EC215" s="185"/>
      <c r="ED215" s="185"/>
      <c r="EE215" s="185"/>
      <c r="EF215" s="185"/>
      <c r="EG215" s="185"/>
      <c r="EH215" s="185"/>
      <c r="EI215" s="185"/>
      <c r="EJ215" s="185"/>
      <c r="EK215" s="185"/>
      <c r="EL215" s="185"/>
      <c r="EM215" s="185"/>
      <c r="EN215" s="185"/>
      <c r="EO215" s="185"/>
      <c r="EP215" s="185"/>
      <c r="EQ215" s="185"/>
      <c r="ER215" s="185"/>
      <c r="ES215" s="185"/>
      <c r="ET215" s="185"/>
      <c r="EU215" s="185"/>
      <c r="EV215" s="185"/>
      <c r="EW215" s="185"/>
      <c r="EX215" s="185"/>
      <c r="EY215" s="185"/>
      <c r="EZ215" s="185"/>
      <c r="FA215" s="185"/>
      <c r="FB215" s="185"/>
      <c r="FC215" s="185"/>
      <c r="FD215" s="185"/>
      <c r="FE215" s="185"/>
      <c r="FF215" s="185"/>
      <c r="FG215" s="185"/>
      <c r="FH215" s="185"/>
      <c r="FI215" s="185"/>
      <c r="FJ215" s="185"/>
      <c r="FK215" s="185"/>
    </row>
    <row r="216" spans="1:167" s="186" customFormat="1">
      <c r="A216" s="198"/>
      <c r="B216" s="178"/>
      <c r="C216" s="141"/>
      <c r="D216" s="140"/>
      <c r="E216" s="141"/>
      <c r="F216" s="198"/>
      <c r="G216" s="141"/>
      <c r="H216" s="141"/>
      <c r="I216" s="141"/>
      <c r="J216" s="141"/>
      <c r="K216" s="141"/>
      <c r="L216" s="333"/>
      <c r="M216" s="339"/>
      <c r="N216" s="191"/>
      <c r="O216" s="337"/>
      <c r="P216" s="339"/>
      <c r="Q216" s="179"/>
      <c r="R216" s="180"/>
      <c r="S216" s="181"/>
      <c r="T216" s="182"/>
      <c r="U216" s="141"/>
      <c r="V216" s="182"/>
      <c r="W216" s="183"/>
      <c r="X216" s="185"/>
      <c r="Y216" s="176" t="str">
        <f>IF(Table17[[#This Row],[Required Resolution Date]]="","FALSE",IF($AA$1&gt;Table17[[#This Row],[Required Resolution Date]],"TRUE","FALSE"))</f>
        <v>FALSE</v>
      </c>
      <c r="Z216" s="175">
        <f t="shared" si="24"/>
        <v>0</v>
      </c>
      <c r="AA216" s="185"/>
      <c r="AB216" s="327" t="b">
        <f>OR(Table17[[#This Row],[Priority]]="04. High",Table17[[#This Row],[Priority]]="05. Critical")</f>
        <v>0</v>
      </c>
      <c r="AC216" s="284">
        <f ca="1">$AA$1-Table17[[#This Row],[Date captured]]</f>
        <v>40990</v>
      </c>
      <c r="AD216" s="327" t="b">
        <f t="shared" ca="1" si="20"/>
        <v>0</v>
      </c>
      <c r="AE216" s="327" t="b">
        <f t="shared" ca="1" si="21"/>
        <v>0</v>
      </c>
      <c r="AF216" s="327" t="b">
        <f t="shared" ca="1" si="22"/>
        <v>1</v>
      </c>
      <c r="AG216" s="284">
        <f ca="1">Table17[[#This Row],[Required Resolution Date]]-$AA$1</f>
        <v>-40990</v>
      </c>
      <c r="AH216" s="327" t="b">
        <f t="shared" ca="1" si="23"/>
        <v>0</v>
      </c>
      <c r="AI216" s="327" t="b">
        <f>OR(Table17[[#This Row],[Priority]]="04. High",Table17[[#This Row],[Priority]]="05. Critical",Table17[[#This Row],[Priority]]="03. Moderate")</f>
        <v>0</v>
      </c>
      <c r="AJ216" s="185"/>
      <c r="AK216" s="185"/>
      <c r="AL216" s="185"/>
      <c r="AM216" s="185"/>
      <c r="AN216" s="185"/>
      <c r="AO216" s="185"/>
      <c r="AP216" s="185"/>
      <c r="AQ216" s="185"/>
      <c r="AR216" s="185"/>
      <c r="AS216" s="185"/>
      <c r="AT216" s="185"/>
      <c r="AU216" s="185"/>
      <c r="AV216" s="185"/>
      <c r="AW216" s="185"/>
      <c r="AX216" s="185"/>
      <c r="AY216" s="185"/>
      <c r="AZ216" s="185"/>
      <c r="BA216" s="185"/>
      <c r="BB216" s="185"/>
      <c r="BC216" s="185"/>
      <c r="BD216" s="185"/>
      <c r="BE216" s="185"/>
      <c r="BF216" s="185"/>
      <c r="BG216" s="185"/>
      <c r="BH216" s="185"/>
      <c r="BI216" s="185"/>
      <c r="BJ216" s="185"/>
      <c r="BK216" s="185"/>
      <c r="BL216" s="185"/>
      <c r="BM216" s="185"/>
      <c r="BN216" s="185"/>
      <c r="BO216" s="185"/>
      <c r="BP216" s="185"/>
      <c r="BQ216" s="185"/>
      <c r="BR216" s="185"/>
      <c r="BS216" s="185"/>
      <c r="BT216" s="185"/>
      <c r="BU216" s="185"/>
      <c r="BV216" s="185"/>
      <c r="BW216" s="185"/>
      <c r="BX216" s="185"/>
      <c r="BY216" s="185"/>
      <c r="BZ216" s="185"/>
      <c r="CA216" s="185"/>
      <c r="CB216" s="185"/>
      <c r="CC216" s="185"/>
      <c r="CD216" s="185"/>
      <c r="CE216" s="185"/>
      <c r="CF216" s="185"/>
      <c r="CG216" s="185"/>
      <c r="CH216" s="185"/>
      <c r="CI216" s="185"/>
      <c r="CJ216" s="185"/>
      <c r="CK216" s="185"/>
      <c r="CL216" s="185"/>
      <c r="CM216" s="185"/>
      <c r="CN216" s="185"/>
      <c r="CO216" s="185"/>
      <c r="CP216" s="185"/>
      <c r="CQ216" s="185"/>
      <c r="CR216" s="185"/>
      <c r="CS216" s="185"/>
      <c r="CT216" s="185"/>
      <c r="CU216" s="185"/>
      <c r="CV216" s="185"/>
      <c r="CW216" s="185"/>
      <c r="CX216" s="185"/>
      <c r="CY216" s="185"/>
      <c r="CZ216" s="185"/>
      <c r="DA216" s="185"/>
      <c r="DB216" s="185"/>
      <c r="DC216" s="185"/>
      <c r="DD216" s="185"/>
      <c r="DE216" s="185"/>
      <c r="DF216" s="185"/>
      <c r="DG216" s="185"/>
      <c r="DH216" s="185"/>
      <c r="DI216" s="185"/>
      <c r="DJ216" s="185"/>
      <c r="DK216" s="185"/>
      <c r="DL216" s="185"/>
      <c r="DM216" s="185"/>
      <c r="DN216" s="185"/>
      <c r="DO216" s="185"/>
      <c r="DP216" s="185"/>
      <c r="DQ216" s="185"/>
      <c r="DR216" s="185"/>
      <c r="DS216" s="185"/>
      <c r="DT216" s="185"/>
      <c r="DU216" s="185"/>
      <c r="DV216" s="185"/>
      <c r="DW216" s="185"/>
      <c r="DX216" s="185"/>
      <c r="DY216" s="185"/>
      <c r="DZ216" s="185"/>
      <c r="EA216" s="185"/>
      <c r="EB216" s="185"/>
      <c r="EC216" s="185"/>
      <c r="ED216" s="185"/>
      <c r="EE216" s="185"/>
      <c r="EF216" s="185"/>
      <c r="EG216" s="185"/>
      <c r="EH216" s="185"/>
      <c r="EI216" s="185"/>
      <c r="EJ216" s="185"/>
      <c r="EK216" s="185"/>
      <c r="EL216" s="185"/>
      <c r="EM216" s="185"/>
      <c r="EN216" s="185"/>
      <c r="EO216" s="185"/>
      <c r="EP216" s="185"/>
      <c r="EQ216" s="185"/>
      <c r="ER216" s="185"/>
      <c r="ES216" s="185"/>
      <c r="ET216" s="185"/>
      <c r="EU216" s="185"/>
      <c r="EV216" s="185"/>
      <c r="EW216" s="185"/>
      <c r="EX216" s="185"/>
      <c r="EY216" s="185"/>
      <c r="EZ216" s="185"/>
      <c r="FA216" s="185"/>
      <c r="FB216" s="185"/>
      <c r="FC216" s="185"/>
      <c r="FD216" s="185"/>
      <c r="FE216" s="185"/>
      <c r="FF216" s="185"/>
      <c r="FG216" s="185"/>
      <c r="FH216" s="185"/>
      <c r="FI216" s="185"/>
      <c r="FJ216" s="185"/>
      <c r="FK216" s="185"/>
    </row>
    <row r="217" spans="1:167" s="186" customFormat="1">
      <c r="A217" s="198"/>
      <c r="B217" s="178"/>
      <c r="C217" s="141"/>
      <c r="D217" s="140"/>
      <c r="E217" s="141"/>
      <c r="F217" s="198"/>
      <c r="G217" s="141"/>
      <c r="H217" s="141"/>
      <c r="I217" s="141"/>
      <c r="J217" s="141"/>
      <c r="K217" s="141"/>
      <c r="L217" s="333"/>
      <c r="M217" s="339"/>
      <c r="N217" s="191"/>
      <c r="O217" s="337"/>
      <c r="P217" s="339"/>
      <c r="Q217" s="179"/>
      <c r="R217" s="180"/>
      <c r="S217" s="181"/>
      <c r="T217" s="182"/>
      <c r="U217" s="141"/>
      <c r="V217" s="182"/>
      <c r="W217" s="183"/>
      <c r="X217" s="185"/>
      <c r="Y217" s="176" t="str">
        <f>IF(Table17[[#This Row],[Required Resolution Date]]="","FALSE",IF($AA$1&gt;Table17[[#This Row],[Required Resolution Date]],"TRUE","FALSE"))</f>
        <v>FALSE</v>
      </c>
      <c r="Z217" s="175">
        <f t="shared" si="24"/>
        <v>0</v>
      </c>
      <c r="AA217" s="185"/>
      <c r="AB217" s="327" t="b">
        <f>OR(Table17[[#This Row],[Priority]]="04. High",Table17[[#This Row],[Priority]]="05. Critical")</f>
        <v>0</v>
      </c>
      <c r="AC217" s="284">
        <f ca="1">$AA$1-Table17[[#This Row],[Date captured]]</f>
        <v>40990</v>
      </c>
      <c r="AD217" s="327" t="b">
        <f t="shared" ca="1" si="20"/>
        <v>0</v>
      </c>
      <c r="AE217" s="327" t="b">
        <f t="shared" ca="1" si="21"/>
        <v>0</v>
      </c>
      <c r="AF217" s="327" t="b">
        <f t="shared" ca="1" si="22"/>
        <v>1</v>
      </c>
      <c r="AG217" s="284">
        <f ca="1">Table17[[#This Row],[Required Resolution Date]]-$AA$1</f>
        <v>-40990</v>
      </c>
      <c r="AH217" s="327" t="b">
        <f t="shared" ca="1" si="23"/>
        <v>0</v>
      </c>
      <c r="AI217" s="327" t="b">
        <f>OR(Table17[[#This Row],[Priority]]="04. High",Table17[[#This Row],[Priority]]="05. Critical",Table17[[#This Row],[Priority]]="03. Moderate")</f>
        <v>0</v>
      </c>
      <c r="AJ217" s="185"/>
      <c r="AK217" s="185"/>
      <c r="AL217" s="185"/>
      <c r="AM217" s="185"/>
      <c r="AN217" s="185"/>
      <c r="AO217" s="185"/>
      <c r="AP217" s="185"/>
      <c r="AQ217" s="185"/>
      <c r="AR217" s="185"/>
      <c r="AS217" s="185"/>
      <c r="AT217" s="185"/>
      <c r="AU217" s="185"/>
      <c r="AV217" s="185"/>
      <c r="AW217" s="185"/>
      <c r="AX217" s="185"/>
      <c r="AY217" s="185"/>
      <c r="AZ217" s="185"/>
      <c r="BA217" s="185"/>
      <c r="BB217" s="185"/>
      <c r="BC217" s="185"/>
      <c r="BD217" s="185"/>
      <c r="BE217" s="185"/>
      <c r="BF217" s="185"/>
      <c r="BG217" s="185"/>
      <c r="BH217" s="185"/>
      <c r="BI217" s="185"/>
      <c r="BJ217" s="185"/>
      <c r="BK217" s="185"/>
      <c r="BL217" s="185"/>
      <c r="BM217" s="185"/>
      <c r="BN217" s="185"/>
      <c r="BO217" s="185"/>
      <c r="BP217" s="185"/>
      <c r="BQ217" s="185"/>
      <c r="BR217" s="185"/>
      <c r="BS217" s="185"/>
      <c r="BT217" s="185"/>
      <c r="BU217" s="185"/>
      <c r="BV217" s="185"/>
      <c r="BW217" s="185"/>
      <c r="BX217" s="185"/>
      <c r="BY217" s="185"/>
      <c r="BZ217" s="185"/>
      <c r="CA217" s="185"/>
      <c r="CB217" s="185"/>
      <c r="CC217" s="185"/>
      <c r="CD217" s="185"/>
      <c r="CE217" s="185"/>
      <c r="CF217" s="185"/>
      <c r="CG217" s="185"/>
      <c r="CH217" s="185"/>
      <c r="CI217" s="185"/>
      <c r="CJ217" s="185"/>
      <c r="CK217" s="185"/>
      <c r="CL217" s="185"/>
      <c r="CM217" s="185"/>
      <c r="CN217" s="185"/>
      <c r="CO217" s="185"/>
      <c r="CP217" s="185"/>
      <c r="CQ217" s="185"/>
      <c r="CR217" s="185"/>
      <c r="CS217" s="185"/>
      <c r="CT217" s="185"/>
      <c r="CU217" s="185"/>
      <c r="CV217" s="185"/>
      <c r="CW217" s="185"/>
      <c r="CX217" s="185"/>
      <c r="CY217" s="185"/>
      <c r="CZ217" s="185"/>
      <c r="DA217" s="185"/>
      <c r="DB217" s="185"/>
      <c r="DC217" s="185"/>
      <c r="DD217" s="185"/>
      <c r="DE217" s="185"/>
      <c r="DF217" s="185"/>
      <c r="DG217" s="185"/>
      <c r="DH217" s="185"/>
      <c r="DI217" s="185"/>
      <c r="DJ217" s="185"/>
      <c r="DK217" s="185"/>
      <c r="DL217" s="185"/>
      <c r="DM217" s="185"/>
      <c r="DN217" s="185"/>
      <c r="DO217" s="185"/>
      <c r="DP217" s="185"/>
      <c r="DQ217" s="185"/>
      <c r="DR217" s="185"/>
      <c r="DS217" s="185"/>
      <c r="DT217" s="185"/>
      <c r="DU217" s="185"/>
      <c r="DV217" s="185"/>
      <c r="DW217" s="185"/>
      <c r="DX217" s="185"/>
      <c r="DY217" s="185"/>
      <c r="DZ217" s="185"/>
      <c r="EA217" s="185"/>
      <c r="EB217" s="185"/>
      <c r="EC217" s="185"/>
      <c r="ED217" s="185"/>
      <c r="EE217" s="185"/>
      <c r="EF217" s="185"/>
      <c r="EG217" s="185"/>
      <c r="EH217" s="185"/>
      <c r="EI217" s="185"/>
      <c r="EJ217" s="185"/>
      <c r="EK217" s="185"/>
      <c r="EL217" s="185"/>
      <c r="EM217" s="185"/>
      <c r="EN217" s="185"/>
      <c r="EO217" s="185"/>
      <c r="EP217" s="185"/>
      <c r="EQ217" s="185"/>
      <c r="ER217" s="185"/>
      <c r="ES217" s="185"/>
      <c r="ET217" s="185"/>
      <c r="EU217" s="185"/>
      <c r="EV217" s="185"/>
      <c r="EW217" s="185"/>
      <c r="EX217" s="185"/>
      <c r="EY217" s="185"/>
      <c r="EZ217" s="185"/>
      <c r="FA217" s="185"/>
      <c r="FB217" s="185"/>
      <c r="FC217" s="185"/>
      <c r="FD217" s="185"/>
      <c r="FE217" s="185"/>
      <c r="FF217" s="185"/>
      <c r="FG217" s="185"/>
      <c r="FH217" s="185"/>
      <c r="FI217" s="185"/>
      <c r="FJ217" s="185"/>
      <c r="FK217" s="185"/>
    </row>
    <row r="218" spans="1:167" s="186" customFormat="1">
      <c r="A218" s="198"/>
      <c r="B218" s="178"/>
      <c r="C218" s="141"/>
      <c r="D218" s="140"/>
      <c r="E218" s="141"/>
      <c r="F218" s="198"/>
      <c r="G218" s="141"/>
      <c r="H218" s="141"/>
      <c r="I218" s="141"/>
      <c r="J218" s="141"/>
      <c r="K218" s="141"/>
      <c r="L218" s="333"/>
      <c r="M218" s="339"/>
      <c r="N218" s="191"/>
      <c r="O218" s="337"/>
      <c r="P218" s="339"/>
      <c r="Q218" s="179"/>
      <c r="R218" s="180"/>
      <c r="S218" s="181"/>
      <c r="T218" s="182"/>
      <c r="U218" s="141"/>
      <c r="V218" s="182"/>
      <c r="W218" s="183"/>
      <c r="X218" s="185"/>
      <c r="Y218" s="176" t="str">
        <f>IF(Table17[[#This Row],[Required Resolution Date]]="","FALSE",IF($AA$1&gt;Table17[[#This Row],[Required Resolution Date]],"TRUE","FALSE"))</f>
        <v>FALSE</v>
      </c>
      <c r="Z218" s="175">
        <f t="shared" si="24"/>
        <v>0</v>
      </c>
      <c r="AA218" s="185"/>
      <c r="AB218" s="327" t="b">
        <f>OR(Table17[[#This Row],[Priority]]="04. High",Table17[[#This Row],[Priority]]="05. Critical")</f>
        <v>0</v>
      </c>
      <c r="AC218" s="284">
        <f ca="1">$AA$1-Table17[[#This Row],[Date captured]]</f>
        <v>40990</v>
      </c>
      <c r="AD218" s="327" t="b">
        <f t="shared" ca="1" si="20"/>
        <v>0</v>
      </c>
      <c r="AE218" s="327" t="b">
        <f t="shared" ca="1" si="21"/>
        <v>0</v>
      </c>
      <c r="AF218" s="327" t="b">
        <f t="shared" ca="1" si="22"/>
        <v>1</v>
      </c>
      <c r="AG218" s="284">
        <f ca="1">Table17[[#This Row],[Required Resolution Date]]-$AA$1</f>
        <v>-40990</v>
      </c>
      <c r="AH218" s="327" t="b">
        <f t="shared" ca="1" si="23"/>
        <v>0</v>
      </c>
      <c r="AI218" s="327" t="b">
        <f>OR(Table17[[#This Row],[Priority]]="04. High",Table17[[#This Row],[Priority]]="05. Critical",Table17[[#This Row],[Priority]]="03. Moderate")</f>
        <v>0</v>
      </c>
      <c r="AJ218" s="185"/>
      <c r="AK218" s="185"/>
      <c r="AL218" s="185"/>
      <c r="AM218" s="185"/>
      <c r="AN218" s="185"/>
      <c r="AO218" s="185"/>
      <c r="AP218" s="185"/>
      <c r="AQ218" s="185"/>
      <c r="AR218" s="185"/>
      <c r="AS218" s="185"/>
      <c r="AT218" s="185"/>
      <c r="AU218" s="185"/>
      <c r="AV218" s="185"/>
      <c r="AW218" s="185"/>
      <c r="AX218" s="185"/>
      <c r="AY218" s="185"/>
      <c r="AZ218" s="185"/>
      <c r="BA218" s="185"/>
      <c r="BB218" s="185"/>
      <c r="BC218" s="185"/>
      <c r="BD218" s="185"/>
      <c r="BE218" s="185"/>
      <c r="BF218" s="185"/>
      <c r="BG218" s="185"/>
      <c r="BH218" s="185"/>
      <c r="BI218" s="185"/>
      <c r="BJ218" s="185"/>
      <c r="BK218" s="185"/>
      <c r="BL218" s="185"/>
      <c r="BM218" s="185"/>
      <c r="BN218" s="185"/>
      <c r="BO218" s="185"/>
      <c r="BP218" s="185"/>
      <c r="BQ218" s="185"/>
      <c r="BR218" s="185"/>
      <c r="BS218" s="185"/>
      <c r="BT218" s="185"/>
      <c r="BU218" s="185"/>
      <c r="BV218" s="185"/>
      <c r="BW218" s="185"/>
      <c r="BX218" s="185"/>
      <c r="BY218" s="185"/>
      <c r="BZ218" s="185"/>
      <c r="CA218" s="185"/>
      <c r="CB218" s="185"/>
      <c r="CC218" s="185"/>
      <c r="CD218" s="185"/>
      <c r="CE218" s="185"/>
      <c r="CF218" s="185"/>
      <c r="CG218" s="185"/>
      <c r="CH218" s="185"/>
      <c r="CI218" s="185"/>
      <c r="CJ218" s="185"/>
      <c r="CK218" s="185"/>
      <c r="CL218" s="185"/>
      <c r="CM218" s="185"/>
      <c r="CN218" s="185"/>
      <c r="CO218" s="185"/>
      <c r="CP218" s="185"/>
      <c r="CQ218" s="185"/>
      <c r="CR218" s="185"/>
      <c r="CS218" s="185"/>
      <c r="CT218" s="185"/>
      <c r="CU218" s="185"/>
      <c r="CV218" s="185"/>
      <c r="CW218" s="185"/>
      <c r="CX218" s="185"/>
      <c r="CY218" s="185"/>
      <c r="CZ218" s="185"/>
      <c r="DA218" s="185"/>
      <c r="DB218" s="185"/>
      <c r="DC218" s="185"/>
      <c r="DD218" s="185"/>
      <c r="DE218" s="185"/>
      <c r="DF218" s="185"/>
      <c r="DG218" s="185"/>
      <c r="DH218" s="185"/>
      <c r="DI218" s="185"/>
      <c r="DJ218" s="185"/>
      <c r="DK218" s="185"/>
      <c r="DL218" s="185"/>
      <c r="DM218" s="185"/>
      <c r="DN218" s="185"/>
      <c r="DO218" s="185"/>
      <c r="DP218" s="185"/>
      <c r="DQ218" s="185"/>
      <c r="DR218" s="185"/>
      <c r="DS218" s="185"/>
      <c r="DT218" s="185"/>
      <c r="DU218" s="185"/>
      <c r="DV218" s="185"/>
      <c r="DW218" s="185"/>
      <c r="DX218" s="185"/>
      <c r="DY218" s="185"/>
      <c r="DZ218" s="185"/>
      <c r="EA218" s="185"/>
      <c r="EB218" s="185"/>
      <c r="EC218" s="185"/>
      <c r="ED218" s="185"/>
      <c r="EE218" s="185"/>
      <c r="EF218" s="185"/>
      <c r="EG218" s="185"/>
      <c r="EH218" s="185"/>
      <c r="EI218" s="185"/>
      <c r="EJ218" s="185"/>
      <c r="EK218" s="185"/>
      <c r="EL218" s="185"/>
      <c r="EM218" s="185"/>
      <c r="EN218" s="185"/>
      <c r="EO218" s="185"/>
      <c r="EP218" s="185"/>
      <c r="EQ218" s="185"/>
      <c r="ER218" s="185"/>
      <c r="ES218" s="185"/>
      <c r="ET218" s="185"/>
      <c r="EU218" s="185"/>
      <c r="EV218" s="185"/>
      <c r="EW218" s="185"/>
      <c r="EX218" s="185"/>
      <c r="EY218" s="185"/>
      <c r="EZ218" s="185"/>
      <c r="FA218" s="185"/>
      <c r="FB218" s="185"/>
      <c r="FC218" s="185"/>
      <c r="FD218" s="185"/>
      <c r="FE218" s="185"/>
      <c r="FF218" s="185"/>
      <c r="FG218" s="185"/>
      <c r="FH218" s="185"/>
      <c r="FI218" s="185"/>
      <c r="FJ218" s="185"/>
      <c r="FK218" s="185"/>
    </row>
    <row r="219" spans="1:167" s="186" customFormat="1">
      <c r="A219" s="198"/>
      <c r="B219" s="178"/>
      <c r="C219" s="141"/>
      <c r="D219" s="140"/>
      <c r="E219" s="141"/>
      <c r="F219" s="198"/>
      <c r="G219" s="141"/>
      <c r="H219" s="141"/>
      <c r="I219" s="141"/>
      <c r="J219" s="141"/>
      <c r="K219" s="141"/>
      <c r="L219" s="333"/>
      <c r="M219" s="339"/>
      <c r="N219" s="191"/>
      <c r="O219" s="337"/>
      <c r="P219" s="339"/>
      <c r="Q219" s="179"/>
      <c r="R219" s="180"/>
      <c r="S219" s="181"/>
      <c r="T219" s="182"/>
      <c r="U219" s="141"/>
      <c r="V219" s="182"/>
      <c r="W219" s="183"/>
      <c r="X219" s="185"/>
      <c r="Y219" s="176" t="str">
        <f>IF(Table17[[#This Row],[Required Resolution Date]]="","FALSE",IF($AA$1&gt;Table17[[#This Row],[Required Resolution Date]],"TRUE","FALSE"))</f>
        <v>FALSE</v>
      </c>
      <c r="Z219" s="175">
        <f t="shared" si="24"/>
        <v>0</v>
      </c>
      <c r="AA219" s="185"/>
      <c r="AB219" s="327" t="b">
        <f>OR(Table17[[#This Row],[Priority]]="04. High",Table17[[#This Row],[Priority]]="05. Critical")</f>
        <v>0</v>
      </c>
      <c r="AC219" s="284">
        <f ca="1">$AA$1-Table17[[#This Row],[Date captured]]</f>
        <v>40990</v>
      </c>
      <c r="AD219" s="327" t="b">
        <f t="shared" ca="1" si="20"/>
        <v>0</v>
      </c>
      <c r="AE219" s="327" t="b">
        <f t="shared" ca="1" si="21"/>
        <v>0</v>
      </c>
      <c r="AF219" s="327" t="b">
        <f t="shared" ca="1" si="22"/>
        <v>1</v>
      </c>
      <c r="AG219" s="284">
        <f ca="1">Table17[[#This Row],[Required Resolution Date]]-$AA$1</f>
        <v>-40990</v>
      </c>
      <c r="AH219" s="327" t="b">
        <f t="shared" ca="1" si="23"/>
        <v>0</v>
      </c>
      <c r="AI219" s="327" t="b">
        <f>OR(Table17[[#This Row],[Priority]]="04. High",Table17[[#This Row],[Priority]]="05. Critical",Table17[[#This Row],[Priority]]="03. Moderate")</f>
        <v>0</v>
      </c>
      <c r="AJ219" s="185"/>
      <c r="AK219" s="185"/>
      <c r="AL219" s="185"/>
      <c r="AM219" s="185"/>
      <c r="AN219" s="185"/>
      <c r="AO219" s="185"/>
      <c r="AP219" s="185"/>
      <c r="AQ219" s="185"/>
      <c r="AR219" s="185"/>
      <c r="AS219" s="185"/>
      <c r="AT219" s="185"/>
      <c r="AU219" s="185"/>
      <c r="AV219" s="185"/>
      <c r="AW219" s="185"/>
      <c r="AX219" s="185"/>
      <c r="AY219" s="185"/>
      <c r="AZ219" s="185"/>
      <c r="BA219" s="185"/>
      <c r="BB219" s="185"/>
      <c r="BC219" s="185"/>
      <c r="BD219" s="185"/>
      <c r="BE219" s="185"/>
      <c r="BF219" s="185"/>
      <c r="BG219" s="185"/>
      <c r="BH219" s="185"/>
      <c r="BI219" s="185"/>
      <c r="BJ219" s="185"/>
      <c r="BK219" s="185"/>
      <c r="BL219" s="185"/>
      <c r="BM219" s="185"/>
      <c r="BN219" s="185"/>
      <c r="BO219" s="185"/>
      <c r="BP219" s="185"/>
      <c r="BQ219" s="185"/>
      <c r="BR219" s="185"/>
      <c r="BS219" s="185"/>
      <c r="BT219" s="185"/>
      <c r="BU219" s="185"/>
      <c r="BV219" s="185"/>
      <c r="BW219" s="185"/>
      <c r="BX219" s="185"/>
      <c r="BY219" s="185"/>
      <c r="BZ219" s="185"/>
      <c r="CA219" s="185"/>
      <c r="CB219" s="185"/>
      <c r="CC219" s="185"/>
      <c r="CD219" s="185"/>
      <c r="CE219" s="185"/>
      <c r="CF219" s="185"/>
      <c r="CG219" s="185"/>
      <c r="CH219" s="185"/>
      <c r="CI219" s="185"/>
      <c r="CJ219" s="185"/>
      <c r="CK219" s="185"/>
      <c r="CL219" s="185"/>
      <c r="CM219" s="185"/>
      <c r="CN219" s="185"/>
      <c r="CO219" s="185"/>
      <c r="CP219" s="185"/>
      <c r="CQ219" s="185"/>
      <c r="CR219" s="185"/>
      <c r="CS219" s="185"/>
      <c r="CT219" s="185"/>
      <c r="CU219" s="185"/>
      <c r="CV219" s="185"/>
      <c r="CW219" s="185"/>
      <c r="CX219" s="185"/>
      <c r="CY219" s="185"/>
      <c r="CZ219" s="185"/>
      <c r="DA219" s="185"/>
      <c r="DB219" s="185"/>
      <c r="DC219" s="185"/>
      <c r="DD219" s="185"/>
      <c r="DE219" s="185"/>
      <c r="DF219" s="185"/>
      <c r="DG219" s="185"/>
      <c r="DH219" s="185"/>
      <c r="DI219" s="185"/>
      <c r="DJ219" s="185"/>
      <c r="DK219" s="185"/>
      <c r="DL219" s="185"/>
      <c r="DM219" s="185"/>
      <c r="DN219" s="185"/>
      <c r="DO219" s="185"/>
      <c r="DP219" s="185"/>
      <c r="DQ219" s="185"/>
      <c r="DR219" s="185"/>
      <c r="DS219" s="185"/>
      <c r="DT219" s="185"/>
      <c r="DU219" s="185"/>
      <c r="DV219" s="185"/>
      <c r="DW219" s="185"/>
      <c r="DX219" s="185"/>
      <c r="DY219" s="185"/>
      <c r="DZ219" s="185"/>
      <c r="EA219" s="185"/>
      <c r="EB219" s="185"/>
      <c r="EC219" s="185"/>
      <c r="ED219" s="185"/>
      <c r="EE219" s="185"/>
      <c r="EF219" s="185"/>
      <c r="EG219" s="185"/>
      <c r="EH219" s="185"/>
      <c r="EI219" s="185"/>
      <c r="EJ219" s="185"/>
      <c r="EK219" s="185"/>
      <c r="EL219" s="185"/>
      <c r="EM219" s="185"/>
      <c r="EN219" s="185"/>
      <c r="EO219" s="185"/>
      <c r="EP219" s="185"/>
      <c r="EQ219" s="185"/>
      <c r="ER219" s="185"/>
      <c r="ES219" s="185"/>
      <c r="ET219" s="185"/>
      <c r="EU219" s="185"/>
      <c r="EV219" s="185"/>
      <c r="EW219" s="185"/>
      <c r="EX219" s="185"/>
      <c r="EY219" s="185"/>
      <c r="EZ219" s="185"/>
      <c r="FA219" s="185"/>
      <c r="FB219" s="185"/>
      <c r="FC219" s="185"/>
      <c r="FD219" s="185"/>
      <c r="FE219" s="185"/>
      <c r="FF219" s="185"/>
      <c r="FG219" s="185"/>
      <c r="FH219" s="185"/>
      <c r="FI219" s="185"/>
      <c r="FJ219" s="185"/>
      <c r="FK219" s="185"/>
    </row>
    <row r="220" spans="1:167" s="186" customFormat="1">
      <c r="A220" s="198"/>
      <c r="B220" s="178"/>
      <c r="C220" s="141"/>
      <c r="D220" s="140"/>
      <c r="E220" s="141"/>
      <c r="F220" s="198"/>
      <c r="G220" s="141"/>
      <c r="H220" s="141"/>
      <c r="I220" s="141"/>
      <c r="J220" s="141"/>
      <c r="K220" s="141"/>
      <c r="L220" s="333"/>
      <c r="M220" s="339"/>
      <c r="N220" s="191"/>
      <c r="O220" s="337"/>
      <c r="P220" s="339"/>
      <c r="Q220" s="179"/>
      <c r="R220" s="180"/>
      <c r="S220" s="181"/>
      <c r="T220" s="182"/>
      <c r="U220" s="141"/>
      <c r="V220" s="182"/>
      <c r="W220" s="183"/>
      <c r="X220" s="185"/>
      <c r="Y220" s="176" t="str">
        <f>IF(Table17[[#This Row],[Required Resolution Date]]="","FALSE",IF($AA$1&gt;Table17[[#This Row],[Required Resolution Date]],"TRUE","FALSE"))</f>
        <v>FALSE</v>
      </c>
      <c r="Z220" s="175">
        <f t="shared" si="24"/>
        <v>0</v>
      </c>
      <c r="AA220" s="185"/>
      <c r="AB220" s="327" t="b">
        <f>OR(Table17[[#This Row],[Priority]]="04. High",Table17[[#This Row],[Priority]]="05. Critical")</f>
        <v>0</v>
      </c>
      <c r="AC220" s="284">
        <f ca="1">$AA$1-Table17[[#This Row],[Date captured]]</f>
        <v>40990</v>
      </c>
      <c r="AD220" s="327" t="b">
        <f t="shared" ca="1" si="20"/>
        <v>0</v>
      </c>
      <c r="AE220" s="327" t="b">
        <f t="shared" ca="1" si="21"/>
        <v>0</v>
      </c>
      <c r="AF220" s="327" t="b">
        <f t="shared" ca="1" si="22"/>
        <v>1</v>
      </c>
      <c r="AG220" s="284">
        <f ca="1">Table17[[#This Row],[Required Resolution Date]]-$AA$1</f>
        <v>-40990</v>
      </c>
      <c r="AH220" s="327" t="b">
        <f t="shared" ca="1" si="23"/>
        <v>0</v>
      </c>
      <c r="AI220" s="327" t="b">
        <f>OR(Table17[[#This Row],[Priority]]="04. High",Table17[[#This Row],[Priority]]="05. Critical",Table17[[#This Row],[Priority]]="03. Moderate")</f>
        <v>0</v>
      </c>
      <c r="AJ220" s="185"/>
      <c r="AK220" s="185"/>
      <c r="AL220" s="185"/>
      <c r="AM220" s="185"/>
      <c r="AN220" s="185"/>
      <c r="AO220" s="185"/>
      <c r="AP220" s="185"/>
      <c r="AQ220" s="185"/>
      <c r="AR220" s="185"/>
      <c r="AS220" s="185"/>
      <c r="AT220" s="185"/>
      <c r="AU220" s="185"/>
      <c r="AV220" s="185"/>
      <c r="AW220" s="185"/>
      <c r="AX220" s="185"/>
      <c r="AY220" s="185"/>
      <c r="AZ220" s="185"/>
      <c r="BA220" s="185"/>
      <c r="BB220" s="185"/>
      <c r="BC220" s="185"/>
      <c r="BD220" s="185"/>
      <c r="BE220" s="185"/>
      <c r="BF220" s="185"/>
      <c r="BG220" s="185"/>
      <c r="BH220" s="185"/>
      <c r="BI220" s="185"/>
      <c r="BJ220" s="185"/>
      <c r="BK220" s="185"/>
      <c r="BL220" s="185"/>
      <c r="BM220" s="185"/>
      <c r="BN220" s="185"/>
      <c r="BO220" s="185"/>
      <c r="BP220" s="185"/>
      <c r="BQ220" s="185"/>
      <c r="BR220" s="185"/>
      <c r="BS220" s="185"/>
      <c r="BT220" s="185"/>
      <c r="BU220" s="185"/>
      <c r="BV220" s="185"/>
      <c r="BW220" s="185"/>
      <c r="BX220" s="185"/>
      <c r="BY220" s="185"/>
      <c r="BZ220" s="185"/>
      <c r="CA220" s="185"/>
      <c r="CB220" s="185"/>
      <c r="CC220" s="185"/>
      <c r="CD220" s="185"/>
      <c r="CE220" s="185"/>
      <c r="CF220" s="185"/>
      <c r="CG220" s="185"/>
      <c r="CH220" s="185"/>
      <c r="CI220" s="185"/>
      <c r="CJ220" s="185"/>
      <c r="CK220" s="185"/>
      <c r="CL220" s="185"/>
      <c r="CM220" s="185"/>
      <c r="CN220" s="185"/>
      <c r="CO220" s="185"/>
      <c r="CP220" s="185"/>
      <c r="CQ220" s="185"/>
      <c r="CR220" s="185"/>
      <c r="CS220" s="185"/>
      <c r="CT220" s="185"/>
      <c r="CU220" s="185"/>
      <c r="CV220" s="185"/>
      <c r="CW220" s="185"/>
      <c r="CX220" s="185"/>
      <c r="CY220" s="185"/>
      <c r="CZ220" s="185"/>
      <c r="DA220" s="185"/>
      <c r="DB220" s="185"/>
      <c r="DC220" s="185"/>
      <c r="DD220" s="185"/>
      <c r="DE220" s="185"/>
      <c r="DF220" s="185"/>
      <c r="DG220" s="185"/>
      <c r="DH220" s="185"/>
      <c r="DI220" s="185"/>
      <c r="DJ220" s="185"/>
      <c r="DK220" s="185"/>
      <c r="DL220" s="185"/>
      <c r="DM220" s="185"/>
      <c r="DN220" s="185"/>
      <c r="DO220" s="185"/>
      <c r="DP220" s="185"/>
      <c r="DQ220" s="185"/>
      <c r="DR220" s="185"/>
      <c r="DS220" s="185"/>
      <c r="DT220" s="185"/>
      <c r="DU220" s="185"/>
      <c r="DV220" s="185"/>
      <c r="DW220" s="185"/>
      <c r="DX220" s="185"/>
      <c r="DY220" s="185"/>
      <c r="DZ220" s="185"/>
      <c r="EA220" s="185"/>
      <c r="EB220" s="185"/>
      <c r="EC220" s="185"/>
      <c r="ED220" s="185"/>
      <c r="EE220" s="185"/>
      <c r="EF220" s="185"/>
      <c r="EG220" s="185"/>
      <c r="EH220" s="185"/>
      <c r="EI220" s="185"/>
      <c r="EJ220" s="185"/>
      <c r="EK220" s="185"/>
      <c r="EL220" s="185"/>
      <c r="EM220" s="185"/>
      <c r="EN220" s="185"/>
      <c r="EO220" s="185"/>
      <c r="EP220" s="185"/>
      <c r="EQ220" s="185"/>
      <c r="ER220" s="185"/>
      <c r="ES220" s="185"/>
      <c r="ET220" s="185"/>
      <c r="EU220" s="185"/>
      <c r="EV220" s="185"/>
      <c r="EW220" s="185"/>
      <c r="EX220" s="185"/>
      <c r="EY220" s="185"/>
      <c r="EZ220" s="185"/>
      <c r="FA220" s="185"/>
      <c r="FB220" s="185"/>
      <c r="FC220" s="185"/>
      <c r="FD220" s="185"/>
      <c r="FE220" s="185"/>
      <c r="FF220" s="185"/>
      <c r="FG220" s="185"/>
      <c r="FH220" s="185"/>
      <c r="FI220" s="185"/>
      <c r="FJ220" s="185"/>
      <c r="FK220" s="185"/>
    </row>
    <row r="221" spans="1:167" s="186" customFormat="1">
      <c r="A221" s="198"/>
      <c r="B221" s="178"/>
      <c r="C221" s="141"/>
      <c r="D221" s="140"/>
      <c r="E221" s="141"/>
      <c r="F221" s="198"/>
      <c r="G221" s="141"/>
      <c r="H221" s="141"/>
      <c r="I221" s="141"/>
      <c r="J221" s="141"/>
      <c r="K221" s="141"/>
      <c r="L221" s="333"/>
      <c r="M221" s="339"/>
      <c r="N221" s="191"/>
      <c r="O221" s="337"/>
      <c r="P221" s="339"/>
      <c r="Q221" s="179"/>
      <c r="R221" s="180"/>
      <c r="S221" s="181"/>
      <c r="T221" s="182"/>
      <c r="U221" s="141"/>
      <c r="V221" s="182"/>
      <c r="W221" s="183"/>
      <c r="X221" s="185"/>
      <c r="Y221" s="176" t="str">
        <f>IF(Table17[[#This Row],[Required Resolution Date]]="","FALSE",IF($AA$1&gt;Table17[[#This Row],[Required Resolution Date]],"TRUE","FALSE"))</f>
        <v>FALSE</v>
      </c>
      <c r="Z221" s="175">
        <f t="shared" si="24"/>
        <v>0</v>
      </c>
      <c r="AA221" s="185"/>
      <c r="AB221" s="327" t="b">
        <f>OR(Table17[[#This Row],[Priority]]="04. High",Table17[[#This Row],[Priority]]="05. Critical")</f>
        <v>0</v>
      </c>
      <c r="AC221" s="284">
        <f ca="1">$AA$1-Table17[[#This Row],[Date captured]]</f>
        <v>40990</v>
      </c>
      <c r="AD221" s="327" t="b">
        <f t="shared" ca="1" si="20"/>
        <v>0</v>
      </c>
      <c r="AE221" s="327" t="b">
        <f t="shared" ca="1" si="21"/>
        <v>0</v>
      </c>
      <c r="AF221" s="327" t="b">
        <f t="shared" ca="1" si="22"/>
        <v>1</v>
      </c>
      <c r="AG221" s="284">
        <f ca="1">Table17[[#This Row],[Required Resolution Date]]-$AA$1</f>
        <v>-40990</v>
      </c>
      <c r="AH221" s="327" t="b">
        <f t="shared" ca="1" si="23"/>
        <v>0</v>
      </c>
      <c r="AI221" s="327" t="b">
        <f>OR(Table17[[#This Row],[Priority]]="04. High",Table17[[#This Row],[Priority]]="05. Critical",Table17[[#This Row],[Priority]]="03. Moderate")</f>
        <v>0</v>
      </c>
      <c r="AJ221" s="185"/>
      <c r="AK221" s="185"/>
      <c r="AL221" s="185"/>
      <c r="AM221" s="185"/>
      <c r="AN221" s="185"/>
      <c r="AO221" s="185"/>
      <c r="AP221" s="185"/>
      <c r="AQ221" s="185"/>
      <c r="AR221" s="185"/>
      <c r="AS221" s="185"/>
      <c r="AT221" s="185"/>
      <c r="AU221" s="185"/>
      <c r="AV221" s="185"/>
      <c r="AW221" s="185"/>
      <c r="AX221" s="185"/>
      <c r="AY221" s="185"/>
      <c r="AZ221" s="185"/>
      <c r="BA221" s="185"/>
      <c r="BB221" s="185"/>
      <c r="BC221" s="185"/>
      <c r="BD221" s="185"/>
      <c r="BE221" s="185"/>
      <c r="BF221" s="185"/>
      <c r="BG221" s="185"/>
      <c r="BH221" s="185"/>
      <c r="BI221" s="185"/>
      <c r="BJ221" s="185"/>
      <c r="BK221" s="185"/>
      <c r="BL221" s="185"/>
      <c r="BM221" s="185"/>
      <c r="BN221" s="185"/>
      <c r="BO221" s="185"/>
      <c r="BP221" s="185"/>
      <c r="BQ221" s="185"/>
      <c r="BR221" s="185"/>
      <c r="BS221" s="185"/>
      <c r="BT221" s="185"/>
      <c r="BU221" s="185"/>
      <c r="BV221" s="185"/>
      <c r="BW221" s="185"/>
      <c r="BX221" s="185"/>
      <c r="BY221" s="185"/>
      <c r="BZ221" s="185"/>
      <c r="CA221" s="185"/>
      <c r="CB221" s="185"/>
      <c r="CC221" s="185"/>
      <c r="CD221" s="185"/>
      <c r="CE221" s="185"/>
      <c r="CF221" s="185"/>
      <c r="CG221" s="185"/>
      <c r="CH221" s="185"/>
      <c r="CI221" s="185"/>
      <c r="CJ221" s="185"/>
      <c r="CK221" s="185"/>
      <c r="CL221" s="185"/>
      <c r="CM221" s="185"/>
      <c r="CN221" s="185"/>
      <c r="CO221" s="185"/>
      <c r="CP221" s="185"/>
      <c r="CQ221" s="185"/>
      <c r="CR221" s="185"/>
      <c r="CS221" s="185"/>
      <c r="CT221" s="185"/>
      <c r="CU221" s="185"/>
      <c r="CV221" s="185"/>
      <c r="CW221" s="185"/>
      <c r="CX221" s="185"/>
      <c r="CY221" s="185"/>
      <c r="CZ221" s="185"/>
      <c r="DA221" s="185"/>
      <c r="DB221" s="185"/>
      <c r="DC221" s="185"/>
      <c r="DD221" s="185"/>
      <c r="DE221" s="185"/>
      <c r="DF221" s="185"/>
      <c r="DG221" s="185"/>
      <c r="DH221" s="185"/>
      <c r="DI221" s="185"/>
      <c r="DJ221" s="185"/>
      <c r="DK221" s="185"/>
      <c r="DL221" s="185"/>
      <c r="DM221" s="185"/>
      <c r="DN221" s="185"/>
      <c r="DO221" s="185"/>
      <c r="DP221" s="185"/>
      <c r="DQ221" s="185"/>
      <c r="DR221" s="185"/>
      <c r="DS221" s="185"/>
      <c r="DT221" s="185"/>
      <c r="DU221" s="185"/>
      <c r="DV221" s="185"/>
      <c r="DW221" s="185"/>
      <c r="DX221" s="185"/>
      <c r="DY221" s="185"/>
      <c r="DZ221" s="185"/>
      <c r="EA221" s="185"/>
      <c r="EB221" s="185"/>
      <c r="EC221" s="185"/>
      <c r="ED221" s="185"/>
      <c r="EE221" s="185"/>
      <c r="EF221" s="185"/>
      <c r="EG221" s="185"/>
      <c r="EH221" s="185"/>
      <c r="EI221" s="185"/>
      <c r="EJ221" s="185"/>
      <c r="EK221" s="185"/>
      <c r="EL221" s="185"/>
      <c r="EM221" s="185"/>
      <c r="EN221" s="185"/>
      <c r="EO221" s="185"/>
      <c r="EP221" s="185"/>
      <c r="EQ221" s="185"/>
      <c r="ER221" s="185"/>
      <c r="ES221" s="185"/>
      <c r="ET221" s="185"/>
      <c r="EU221" s="185"/>
      <c r="EV221" s="185"/>
      <c r="EW221" s="185"/>
      <c r="EX221" s="185"/>
      <c r="EY221" s="185"/>
      <c r="EZ221" s="185"/>
      <c r="FA221" s="185"/>
      <c r="FB221" s="185"/>
      <c r="FC221" s="185"/>
      <c r="FD221" s="185"/>
      <c r="FE221" s="185"/>
      <c r="FF221" s="185"/>
      <c r="FG221" s="185"/>
      <c r="FH221" s="185"/>
      <c r="FI221" s="185"/>
      <c r="FJ221" s="185"/>
      <c r="FK221" s="185"/>
    </row>
    <row r="222" spans="1:167" s="186" customFormat="1">
      <c r="A222" s="198"/>
      <c r="B222" s="178"/>
      <c r="C222" s="141"/>
      <c r="D222" s="140"/>
      <c r="E222" s="141"/>
      <c r="F222" s="198"/>
      <c r="G222" s="141"/>
      <c r="H222" s="141"/>
      <c r="I222" s="141"/>
      <c r="J222" s="141"/>
      <c r="K222" s="141"/>
      <c r="L222" s="333"/>
      <c r="M222" s="339"/>
      <c r="N222" s="191"/>
      <c r="O222" s="337"/>
      <c r="P222" s="339"/>
      <c r="Q222" s="179"/>
      <c r="R222" s="180"/>
      <c r="S222" s="181"/>
      <c r="T222" s="182"/>
      <c r="U222" s="141"/>
      <c r="V222" s="182"/>
      <c r="W222" s="183"/>
      <c r="X222" s="185"/>
      <c r="Y222" s="176" t="str">
        <f>IF(Table17[[#This Row],[Required Resolution Date]]="","FALSE",IF($AA$1&gt;Table17[[#This Row],[Required Resolution Date]],"TRUE","FALSE"))</f>
        <v>FALSE</v>
      </c>
      <c r="Z222" s="175">
        <f t="shared" si="24"/>
        <v>0</v>
      </c>
      <c r="AA222" s="185"/>
      <c r="AB222" s="327" t="b">
        <f>OR(Table17[[#This Row],[Priority]]="04. High",Table17[[#This Row],[Priority]]="05. Critical")</f>
        <v>0</v>
      </c>
      <c r="AC222" s="284">
        <f ca="1">$AA$1-Table17[[#This Row],[Date captured]]</f>
        <v>40990</v>
      </c>
      <c r="AD222" s="327" t="b">
        <f t="shared" ca="1" si="20"/>
        <v>0</v>
      </c>
      <c r="AE222" s="327" t="b">
        <f t="shared" ca="1" si="21"/>
        <v>0</v>
      </c>
      <c r="AF222" s="327" t="b">
        <f t="shared" ca="1" si="22"/>
        <v>1</v>
      </c>
      <c r="AG222" s="284">
        <f ca="1">Table17[[#This Row],[Required Resolution Date]]-$AA$1</f>
        <v>-40990</v>
      </c>
      <c r="AH222" s="327" t="b">
        <f t="shared" ca="1" si="23"/>
        <v>0</v>
      </c>
      <c r="AI222" s="327" t="b">
        <f>OR(Table17[[#This Row],[Priority]]="04. High",Table17[[#This Row],[Priority]]="05. Critical",Table17[[#This Row],[Priority]]="03. Moderate")</f>
        <v>0</v>
      </c>
      <c r="AJ222" s="185"/>
      <c r="AK222" s="185"/>
      <c r="AL222" s="185"/>
      <c r="AM222" s="185"/>
      <c r="AN222" s="185"/>
      <c r="AO222" s="185"/>
      <c r="AP222" s="185"/>
      <c r="AQ222" s="185"/>
      <c r="AR222" s="185"/>
      <c r="AS222" s="185"/>
      <c r="AT222" s="185"/>
      <c r="AU222" s="185"/>
      <c r="AV222" s="185"/>
      <c r="AW222" s="185"/>
      <c r="AX222" s="185"/>
      <c r="AY222" s="185"/>
      <c r="AZ222" s="185"/>
      <c r="BA222" s="185"/>
      <c r="BB222" s="185"/>
      <c r="BC222" s="185"/>
      <c r="BD222" s="185"/>
      <c r="BE222" s="185"/>
      <c r="BF222" s="185"/>
      <c r="BG222" s="185"/>
      <c r="BH222" s="185"/>
      <c r="BI222" s="185"/>
      <c r="BJ222" s="185"/>
      <c r="BK222" s="185"/>
      <c r="BL222" s="185"/>
      <c r="BM222" s="185"/>
      <c r="BN222" s="185"/>
      <c r="BO222" s="185"/>
      <c r="BP222" s="185"/>
      <c r="BQ222" s="185"/>
      <c r="BR222" s="185"/>
      <c r="BS222" s="185"/>
      <c r="BT222" s="185"/>
      <c r="BU222" s="185"/>
      <c r="BV222" s="185"/>
      <c r="BW222" s="185"/>
      <c r="BX222" s="185"/>
      <c r="BY222" s="185"/>
      <c r="BZ222" s="185"/>
      <c r="CA222" s="185"/>
      <c r="CB222" s="185"/>
      <c r="CC222" s="185"/>
      <c r="CD222" s="185"/>
      <c r="CE222" s="185"/>
      <c r="CF222" s="185"/>
      <c r="CG222" s="185"/>
      <c r="CH222" s="185"/>
      <c r="CI222" s="185"/>
      <c r="CJ222" s="185"/>
      <c r="CK222" s="185"/>
      <c r="CL222" s="185"/>
      <c r="CM222" s="185"/>
      <c r="CN222" s="185"/>
      <c r="CO222" s="185"/>
      <c r="CP222" s="185"/>
      <c r="CQ222" s="185"/>
      <c r="CR222" s="185"/>
      <c r="CS222" s="185"/>
      <c r="CT222" s="185"/>
      <c r="CU222" s="185"/>
      <c r="CV222" s="185"/>
      <c r="CW222" s="185"/>
      <c r="CX222" s="185"/>
      <c r="CY222" s="185"/>
      <c r="CZ222" s="185"/>
      <c r="DA222" s="185"/>
      <c r="DB222" s="185"/>
      <c r="DC222" s="185"/>
      <c r="DD222" s="185"/>
      <c r="DE222" s="185"/>
      <c r="DF222" s="185"/>
      <c r="DG222" s="185"/>
      <c r="DH222" s="185"/>
      <c r="DI222" s="185"/>
      <c r="DJ222" s="185"/>
      <c r="DK222" s="185"/>
      <c r="DL222" s="185"/>
      <c r="DM222" s="185"/>
      <c r="DN222" s="185"/>
      <c r="DO222" s="185"/>
      <c r="DP222" s="185"/>
      <c r="DQ222" s="185"/>
      <c r="DR222" s="185"/>
      <c r="DS222" s="185"/>
      <c r="DT222" s="185"/>
      <c r="DU222" s="185"/>
      <c r="DV222" s="185"/>
      <c r="DW222" s="185"/>
      <c r="DX222" s="185"/>
      <c r="DY222" s="185"/>
      <c r="DZ222" s="185"/>
      <c r="EA222" s="185"/>
      <c r="EB222" s="185"/>
      <c r="EC222" s="185"/>
      <c r="ED222" s="185"/>
      <c r="EE222" s="185"/>
      <c r="EF222" s="185"/>
      <c r="EG222" s="185"/>
      <c r="EH222" s="185"/>
      <c r="EI222" s="185"/>
      <c r="EJ222" s="185"/>
      <c r="EK222" s="185"/>
      <c r="EL222" s="185"/>
      <c r="EM222" s="185"/>
      <c r="EN222" s="185"/>
      <c r="EO222" s="185"/>
      <c r="EP222" s="185"/>
      <c r="EQ222" s="185"/>
      <c r="ER222" s="185"/>
      <c r="ES222" s="185"/>
      <c r="ET222" s="185"/>
      <c r="EU222" s="185"/>
      <c r="EV222" s="185"/>
      <c r="EW222" s="185"/>
      <c r="EX222" s="185"/>
      <c r="EY222" s="185"/>
      <c r="EZ222" s="185"/>
      <c r="FA222" s="185"/>
      <c r="FB222" s="185"/>
      <c r="FC222" s="185"/>
      <c r="FD222" s="185"/>
      <c r="FE222" s="185"/>
      <c r="FF222" s="185"/>
      <c r="FG222" s="185"/>
      <c r="FH222" s="185"/>
      <c r="FI222" s="185"/>
      <c r="FJ222" s="185"/>
      <c r="FK222" s="185"/>
    </row>
    <row r="223" spans="1:167" s="186" customFormat="1">
      <c r="A223" s="198"/>
      <c r="B223" s="178"/>
      <c r="C223" s="141"/>
      <c r="D223" s="140"/>
      <c r="E223" s="141"/>
      <c r="F223" s="198"/>
      <c r="G223" s="141"/>
      <c r="H223" s="141"/>
      <c r="I223" s="141"/>
      <c r="J223" s="141"/>
      <c r="K223" s="141"/>
      <c r="L223" s="333"/>
      <c r="M223" s="339"/>
      <c r="N223" s="191"/>
      <c r="O223" s="337"/>
      <c r="P223" s="339"/>
      <c r="Q223" s="179"/>
      <c r="R223" s="180"/>
      <c r="S223" s="181"/>
      <c r="T223" s="182"/>
      <c r="U223" s="141"/>
      <c r="V223" s="182"/>
      <c r="W223" s="183"/>
      <c r="X223" s="185"/>
      <c r="Y223" s="176" t="str">
        <f>IF(Table17[[#This Row],[Required Resolution Date]]="","FALSE",IF($AA$1&gt;Table17[[#This Row],[Required Resolution Date]],"TRUE","FALSE"))</f>
        <v>FALSE</v>
      </c>
      <c r="Z223" s="175">
        <f t="shared" si="24"/>
        <v>0</v>
      </c>
      <c r="AA223" s="185"/>
      <c r="AB223" s="327" t="b">
        <f>OR(Table17[[#This Row],[Priority]]="04. High",Table17[[#This Row],[Priority]]="05. Critical")</f>
        <v>0</v>
      </c>
      <c r="AC223" s="284">
        <f ca="1">$AA$1-Table17[[#This Row],[Date captured]]</f>
        <v>40990</v>
      </c>
      <c r="AD223" s="327" t="b">
        <f t="shared" ca="1" si="20"/>
        <v>0</v>
      </c>
      <c r="AE223" s="327" t="b">
        <f t="shared" ca="1" si="21"/>
        <v>0</v>
      </c>
      <c r="AF223" s="327" t="b">
        <f t="shared" ca="1" si="22"/>
        <v>1</v>
      </c>
      <c r="AG223" s="284">
        <f ca="1">Table17[[#This Row],[Required Resolution Date]]-$AA$1</f>
        <v>-40990</v>
      </c>
      <c r="AH223" s="327" t="b">
        <f t="shared" ca="1" si="23"/>
        <v>0</v>
      </c>
      <c r="AI223" s="327" t="b">
        <f>OR(Table17[[#This Row],[Priority]]="04. High",Table17[[#This Row],[Priority]]="05. Critical",Table17[[#This Row],[Priority]]="03. Moderate")</f>
        <v>0</v>
      </c>
      <c r="AJ223" s="185"/>
      <c r="AK223" s="185"/>
      <c r="AL223" s="185"/>
      <c r="AM223" s="185"/>
      <c r="AN223" s="185"/>
      <c r="AO223" s="185"/>
      <c r="AP223" s="185"/>
      <c r="AQ223" s="185"/>
      <c r="AR223" s="185"/>
      <c r="AS223" s="185"/>
      <c r="AT223" s="185"/>
      <c r="AU223" s="185"/>
      <c r="AV223" s="185"/>
      <c r="AW223" s="185"/>
      <c r="AX223" s="185"/>
      <c r="AY223" s="185"/>
      <c r="AZ223" s="185"/>
      <c r="BA223" s="185"/>
      <c r="BB223" s="185"/>
      <c r="BC223" s="185"/>
      <c r="BD223" s="185"/>
      <c r="BE223" s="185"/>
      <c r="BF223" s="185"/>
      <c r="BG223" s="185"/>
      <c r="BH223" s="185"/>
      <c r="BI223" s="185"/>
      <c r="BJ223" s="185"/>
      <c r="BK223" s="185"/>
      <c r="BL223" s="185"/>
      <c r="BM223" s="185"/>
      <c r="BN223" s="185"/>
      <c r="BO223" s="185"/>
      <c r="BP223" s="185"/>
      <c r="BQ223" s="185"/>
      <c r="BR223" s="185"/>
      <c r="BS223" s="185"/>
      <c r="BT223" s="185"/>
      <c r="BU223" s="185"/>
      <c r="BV223" s="185"/>
      <c r="BW223" s="185"/>
      <c r="BX223" s="185"/>
      <c r="BY223" s="185"/>
      <c r="BZ223" s="185"/>
      <c r="CA223" s="185"/>
      <c r="CB223" s="185"/>
      <c r="CC223" s="185"/>
      <c r="CD223" s="185"/>
      <c r="CE223" s="185"/>
      <c r="CF223" s="185"/>
      <c r="CG223" s="185"/>
      <c r="CH223" s="185"/>
      <c r="CI223" s="185"/>
      <c r="CJ223" s="185"/>
      <c r="CK223" s="185"/>
      <c r="CL223" s="185"/>
      <c r="CM223" s="185"/>
      <c r="CN223" s="185"/>
      <c r="CO223" s="185"/>
      <c r="CP223" s="185"/>
      <c r="CQ223" s="185"/>
      <c r="CR223" s="185"/>
      <c r="CS223" s="185"/>
      <c r="CT223" s="185"/>
      <c r="CU223" s="185"/>
      <c r="CV223" s="185"/>
      <c r="CW223" s="185"/>
      <c r="CX223" s="185"/>
      <c r="CY223" s="185"/>
      <c r="CZ223" s="185"/>
      <c r="DA223" s="185"/>
      <c r="DB223" s="185"/>
      <c r="DC223" s="185"/>
      <c r="DD223" s="185"/>
      <c r="DE223" s="185"/>
      <c r="DF223" s="185"/>
      <c r="DG223" s="185"/>
      <c r="DH223" s="185"/>
      <c r="DI223" s="185"/>
      <c r="DJ223" s="185"/>
      <c r="DK223" s="185"/>
      <c r="DL223" s="185"/>
      <c r="DM223" s="185"/>
      <c r="DN223" s="185"/>
      <c r="DO223" s="185"/>
      <c r="DP223" s="185"/>
      <c r="DQ223" s="185"/>
      <c r="DR223" s="185"/>
      <c r="DS223" s="185"/>
      <c r="DT223" s="185"/>
      <c r="DU223" s="185"/>
      <c r="DV223" s="185"/>
      <c r="DW223" s="185"/>
      <c r="DX223" s="185"/>
      <c r="DY223" s="185"/>
      <c r="DZ223" s="185"/>
      <c r="EA223" s="185"/>
      <c r="EB223" s="185"/>
      <c r="EC223" s="185"/>
      <c r="ED223" s="185"/>
      <c r="EE223" s="185"/>
      <c r="EF223" s="185"/>
      <c r="EG223" s="185"/>
      <c r="EH223" s="185"/>
      <c r="EI223" s="185"/>
      <c r="EJ223" s="185"/>
      <c r="EK223" s="185"/>
      <c r="EL223" s="185"/>
      <c r="EM223" s="185"/>
      <c r="EN223" s="185"/>
      <c r="EO223" s="185"/>
      <c r="EP223" s="185"/>
      <c r="EQ223" s="185"/>
      <c r="ER223" s="185"/>
      <c r="ES223" s="185"/>
      <c r="ET223" s="185"/>
      <c r="EU223" s="185"/>
      <c r="EV223" s="185"/>
      <c r="EW223" s="185"/>
      <c r="EX223" s="185"/>
      <c r="EY223" s="185"/>
      <c r="EZ223" s="185"/>
      <c r="FA223" s="185"/>
      <c r="FB223" s="185"/>
      <c r="FC223" s="185"/>
      <c r="FD223" s="185"/>
      <c r="FE223" s="185"/>
      <c r="FF223" s="185"/>
      <c r="FG223" s="185"/>
      <c r="FH223" s="185"/>
      <c r="FI223" s="185"/>
      <c r="FJ223" s="185"/>
      <c r="FK223" s="185"/>
    </row>
    <row r="224" spans="1:167" s="186" customFormat="1">
      <c r="A224" s="198"/>
      <c r="B224" s="178"/>
      <c r="C224" s="141"/>
      <c r="D224" s="140"/>
      <c r="E224" s="141"/>
      <c r="F224" s="198"/>
      <c r="G224" s="141"/>
      <c r="H224" s="141"/>
      <c r="I224" s="141"/>
      <c r="J224" s="141"/>
      <c r="K224" s="141"/>
      <c r="L224" s="333"/>
      <c r="M224" s="339"/>
      <c r="N224" s="191"/>
      <c r="O224" s="337"/>
      <c r="P224" s="339"/>
      <c r="Q224" s="179"/>
      <c r="R224" s="180"/>
      <c r="S224" s="181"/>
      <c r="T224" s="182"/>
      <c r="U224" s="141"/>
      <c r="V224" s="182"/>
      <c r="W224" s="183"/>
      <c r="X224" s="185"/>
      <c r="Y224" s="176" t="str">
        <f>IF(Table17[[#This Row],[Required Resolution Date]]="","FALSE",IF($AA$1&gt;Table17[[#This Row],[Required Resolution Date]],"TRUE","FALSE"))</f>
        <v>FALSE</v>
      </c>
      <c r="Z224" s="175">
        <f t="shared" si="24"/>
        <v>0</v>
      </c>
      <c r="AA224" s="185"/>
      <c r="AB224" s="327" t="b">
        <f>OR(Table17[[#This Row],[Priority]]="04. High",Table17[[#This Row],[Priority]]="05. Critical")</f>
        <v>0</v>
      </c>
      <c r="AC224" s="284">
        <f ca="1">$AA$1-Table17[[#This Row],[Date captured]]</f>
        <v>40990</v>
      </c>
      <c r="AD224" s="327" t="b">
        <f t="shared" ca="1" si="20"/>
        <v>0</v>
      </c>
      <c r="AE224" s="327" t="b">
        <f t="shared" ca="1" si="21"/>
        <v>0</v>
      </c>
      <c r="AF224" s="327" t="b">
        <f t="shared" ca="1" si="22"/>
        <v>1</v>
      </c>
      <c r="AG224" s="284">
        <f ca="1">Table17[[#This Row],[Required Resolution Date]]-$AA$1</f>
        <v>-40990</v>
      </c>
      <c r="AH224" s="327" t="b">
        <f t="shared" ca="1" si="23"/>
        <v>0</v>
      </c>
      <c r="AI224" s="327" t="b">
        <f>OR(Table17[[#This Row],[Priority]]="04. High",Table17[[#This Row],[Priority]]="05. Critical",Table17[[#This Row],[Priority]]="03. Moderate")</f>
        <v>0</v>
      </c>
      <c r="AJ224" s="185"/>
      <c r="AK224" s="185"/>
      <c r="AL224" s="185"/>
      <c r="AM224" s="185"/>
      <c r="AN224" s="185"/>
      <c r="AO224" s="185"/>
      <c r="AP224" s="185"/>
      <c r="AQ224" s="185"/>
      <c r="AR224" s="185"/>
      <c r="AS224" s="185"/>
      <c r="AT224" s="185"/>
      <c r="AU224" s="185"/>
      <c r="AV224" s="185"/>
      <c r="AW224" s="185"/>
      <c r="AX224" s="185"/>
      <c r="AY224" s="185"/>
      <c r="AZ224" s="185"/>
      <c r="BA224" s="185"/>
      <c r="BB224" s="185"/>
      <c r="BC224" s="185"/>
      <c r="BD224" s="185"/>
      <c r="BE224" s="185"/>
      <c r="BF224" s="185"/>
      <c r="BG224" s="185"/>
      <c r="BH224" s="185"/>
      <c r="BI224" s="185"/>
      <c r="BJ224" s="185"/>
      <c r="BK224" s="185"/>
      <c r="BL224" s="185"/>
      <c r="BM224" s="185"/>
      <c r="BN224" s="185"/>
      <c r="BO224" s="185"/>
      <c r="BP224" s="185"/>
      <c r="BQ224" s="185"/>
      <c r="BR224" s="185"/>
      <c r="BS224" s="185"/>
      <c r="BT224" s="185"/>
      <c r="BU224" s="185"/>
      <c r="BV224" s="185"/>
      <c r="BW224" s="185"/>
      <c r="BX224" s="185"/>
      <c r="BY224" s="185"/>
      <c r="BZ224" s="185"/>
      <c r="CA224" s="185"/>
      <c r="CB224" s="185"/>
      <c r="CC224" s="185"/>
      <c r="CD224" s="185"/>
      <c r="CE224" s="185"/>
      <c r="CF224" s="185"/>
      <c r="CG224" s="185"/>
      <c r="CH224" s="185"/>
      <c r="CI224" s="185"/>
      <c r="CJ224" s="185"/>
      <c r="CK224" s="185"/>
      <c r="CL224" s="185"/>
      <c r="CM224" s="185"/>
      <c r="CN224" s="185"/>
      <c r="CO224" s="185"/>
      <c r="CP224" s="185"/>
      <c r="CQ224" s="185"/>
      <c r="CR224" s="185"/>
      <c r="CS224" s="185"/>
      <c r="CT224" s="185"/>
      <c r="CU224" s="185"/>
      <c r="CV224" s="185"/>
      <c r="CW224" s="185"/>
      <c r="CX224" s="185"/>
      <c r="CY224" s="185"/>
      <c r="CZ224" s="185"/>
      <c r="DA224" s="185"/>
      <c r="DB224" s="185"/>
      <c r="DC224" s="185"/>
      <c r="DD224" s="185"/>
      <c r="DE224" s="185"/>
      <c r="DF224" s="185"/>
      <c r="DG224" s="185"/>
      <c r="DH224" s="185"/>
      <c r="DI224" s="185"/>
      <c r="DJ224" s="185"/>
      <c r="DK224" s="185"/>
      <c r="DL224" s="185"/>
      <c r="DM224" s="185"/>
      <c r="DN224" s="185"/>
      <c r="DO224" s="185"/>
      <c r="DP224" s="185"/>
      <c r="DQ224" s="185"/>
      <c r="DR224" s="185"/>
      <c r="DS224" s="185"/>
      <c r="DT224" s="185"/>
      <c r="DU224" s="185"/>
      <c r="DV224" s="185"/>
      <c r="DW224" s="185"/>
      <c r="DX224" s="185"/>
      <c r="DY224" s="185"/>
      <c r="DZ224" s="185"/>
      <c r="EA224" s="185"/>
      <c r="EB224" s="185"/>
      <c r="EC224" s="185"/>
      <c r="ED224" s="185"/>
      <c r="EE224" s="185"/>
      <c r="EF224" s="185"/>
      <c r="EG224" s="185"/>
      <c r="EH224" s="185"/>
      <c r="EI224" s="185"/>
      <c r="EJ224" s="185"/>
      <c r="EK224" s="185"/>
      <c r="EL224" s="185"/>
      <c r="EM224" s="185"/>
      <c r="EN224" s="185"/>
      <c r="EO224" s="185"/>
      <c r="EP224" s="185"/>
      <c r="EQ224" s="185"/>
      <c r="ER224" s="185"/>
      <c r="ES224" s="185"/>
      <c r="ET224" s="185"/>
      <c r="EU224" s="185"/>
      <c r="EV224" s="185"/>
      <c r="EW224" s="185"/>
      <c r="EX224" s="185"/>
      <c r="EY224" s="185"/>
      <c r="EZ224" s="185"/>
      <c r="FA224" s="185"/>
      <c r="FB224" s="185"/>
      <c r="FC224" s="185"/>
      <c r="FD224" s="185"/>
      <c r="FE224" s="185"/>
      <c r="FF224" s="185"/>
      <c r="FG224" s="185"/>
      <c r="FH224" s="185"/>
      <c r="FI224" s="185"/>
      <c r="FJ224" s="185"/>
      <c r="FK224" s="185"/>
    </row>
    <row r="225" spans="1:171" s="186" customFormat="1">
      <c r="A225" s="198"/>
      <c r="B225" s="178"/>
      <c r="C225" s="141"/>
      <c r="D225" s="140"/>
      <c r="E225" s="141"/>
      <c r="F225" s="198"/>
      <c r="G225" s="141"/>
      <c r="H225" s="141"/>
      <c r="I225" s="141"/>
      <c r="J225" s="141"/>
      <c r="K225" s="141"/>
      <c r="L225" s="333"/>
      <c r="M225" s="339"/>
      <c r="N225" s="191"/>
      <c r="O225" s="337"/>
      <c r="P225" s="339"/>
      <c r="Q225" s="179"/>
      <c r="R225" s="180"/>
      <c r="S225" s="181"/>
      <c r="T225" s="182"/>
      <c r="U225" s="141"/>
      <c r="V225" s="182"/>
      <c r="W225" s="183"/>
      <c r="X225" s="185"/>
      <c r="Y225" s="176" t="str">
        <f>IF(Table17[[#This Row],[Required Resolution Date]]="","FALSE",IF($AA$1&gt;Table17[[#This Row],[Required Resolution Date]],"TRUE","FALSE"))</f>
        <v>FALSE</v>
      </c>
      <c r="Z225" s="175">
        <f t="shared" si="24"/>
        <v>0</v>
      </c>
      <c r="AA225" s="185"/>
      <c r="AB225" s="327" t="b">
        <f>OR(Table17[[#This Row],[Priority]]="04. High",Table17[[#This Row],[Priority]]="05. Critical")</f>
        <v>0</v>
      </c>
      <c r="AC225" s="284">
        <f ca="1">$AA$1-Table17[[#This Row],[Date captured]]</f>
        <v>40990</v>
      </c>
      <c r="AD225" s="327" t="b">
        <f t="shared" ca="1" si="20"/>
        <v>0</v>
      </c>
      <c r="AE225" s="327" t="b">
        <f t="shared" ca="1" si="21"/>
        <v>0</v>
      </c>
      <c r="AF225" s="327" t="b">
        <f t="shared" ca="1" si="22"/>
        <v>1</v>
      </c>
      <c r="AG225" s="284">
        <f ca="1">Table17[[#This Row],[Required Resolution Date]]-$AA$1</f>
        <v>-40990</v>
      </c>
      <c r="AH225" s="327" t="b">
        <f t="shared" ca="1" si="23"/>
        <v>0</v>
      </c>
      <c r="AI225" s="327" t="b">
        <f>OR(Table17[[#This Row],[Priority]]="04. High",Table17[[#This Row],[Priority]]="05. Critical",Table17[[#This Row],[Priority]]="03. Moderate")</f>
        <v>0</v>
      </c>
      <c r="AJ225" s="185"/>
      <c r="AK225" s="185"/>
      <c r="AL225" s="185"/>
      <c r="AM225" s="185"/>
      <c r="AN225" s="185"/>
      <c r="AO225" s="185"/>
      <c r="AP225" s="185"/>
      <c r="AQ225" s="185"/>
      <c r="AR225" s="185"/>
      <c r="AS225" s="185"/>
      <c r="AT225" s="185"/>
      <c r="AU225" s="185"/>
      <c r="AV225" s="185"/>
      <c r="AW225" s="185"/>
      <c r="AX225" s="185"/>
      <c r="AY225" s="185"/>
      <c r="AZ225" s="185"/>
      <c r="BA225" s="185"/>
      <c r="BB225" s="185"/>
      <c r="BC225" s="185"/>
      <c r="BD225" s="185"/>
      <c r="BE225" s="185"/>
      <c r="BF225" s="185"/>
      <c r="BG225" s="185"/>
      <c r="BH225" s="185"/>
      <c r="BI225" s="185"/>
      <c r="BJ225" s="185"/>
      <c r="BK225" s="185"/>
      <c r="BL225" s="185"/>
      <c r="BM225" s="185"/>
      <c r="BN225" s="185"/>
      <c r="BO225" s="185"/>
      <c r="BP225" s="185"/>
      <c r="BQ225" s="185"/>
      <c r="BR225" s="185"/>
      <c r="BS225" s="185"/>
      <c r="BT225" s="185"/>
      <c r="BU225" s="185"/>
      <c r="BV225" s="185"/>
      <c r="BW225" s="185"/>
      <c r="BX225" s="185"/>
      <c r="BY225" s="185"/>
      <c r="BZ225" s="185"/>
      <c r="CA225" s="185"/>
      <c r="CB225" s="185"/>
      <c r="CC225" s="185"/>
      <c r="CD225" s="185"/>
      <c r="CE225" s="185"/>
      <c r="CF225" s="185"/>
      <c r="CG225" s="185"/>
      <c r="CH225" s="185"/>
      <c r="CI225" s="185"/>
      <c r="CJ225" s="185"/>
      <c r="CK225" s="185"/>
      <c r="CL225" s="185"/>
      <c r="CM225" s="185"/>
      <c r="CN225" s="185"/>
      <c r="CO225" s="185"/>
      <c r="CP225" s="185"/>
      <c r="CQ225" s="185"/>
      <c r="CR225" s="185"/>
      <c r="CS225" s="185"/>
      <c r="CT225" s="185"/>
      <c r="CU225" s="185"/>
      <c r="CV225" s="185"/>
      <c r="CW225" s="185"/>
      <c r="CX225" s="185"/>
      <c r="CY225" s="185"/>
      <c r="CZ225" s="185"/>
      <c r="DA225" s="185"/>
      <c r="DB225" s="185"/>
      <c r="DC225" s="185"/>
      <c r="DD225" s="185"/>
      <c r="DE225" s="185"/>
      <c r="DF225" s="185"/>
      <c r="DG225" s="185"/>
      <c r="DH225" s="185"/>
      <c r="DI225" s="185"/>
      <c r="DJ225" s="185"/>
      <c r="DK225" s="185"/>
      <c r="DL225" s="185"/>
      <c r="DM225" s="185"/>
      <c r="DN225" s="185"/>
      <c r="DO225" s="185"/>
      <c r="DP225" s="185"/>
      <c r="DQ225" s="185"/>
      <c r="DR225" s="185"/>
      <c r="DS225" s="185"/>
      <c r="DT225" s="185"/>
      <c r="DU225" s="185"/>
      <c r="DV225" s="185"/>
      <c r="DW225" s="185"/>
      <c r="DX225" s="185"/>
      <c r="DY225" s="185"/>
      <c r="DZ225" s="185"/>
      <c r="EA225" s="185"/>
      <c r="EB225" s="185"/>
      <c r="EC225" s="185"/>
      <c r="ED225" s="185"/>
      <c r="EE225" s="185"/>
      <c r="EF225" s="185"/>
      <c r="EG225" s="185"/>
      <c r="EH225" s="185"/>
      <c r="EI225" s="185"/>
      <c r="EJ225" s="185"/>
      <c r="EK225" s="185"/>
      <c r="EL225" s="185"/>
      <c r="EM225" s="185"/>
      <c r="EN225" s="185"/>
      <c r="EO225" s="185"/>
      <c r="EP225" s="185"/>
      <c r="EQ225" s="185"/>
      <c r="ER225" s="185"/>
      <c r="ES225" s="185"/>
      <c r="ET225" s="185"/>
      <c r="EU225" s="185"/>
      <c r="EV225" s="185"/>
      <c r="EW225" s="185"/>
      <c r="EX225" s="185"/>
      <c r="EY225" s="185"/>
      <c r="EZ225" s="185"/>
      <c r="FA225" s="185"/>
      <c r="FB225" s="185"/>
      <c r="FC225" s="185"/>
      <c r="FD225" s="185"/>
      <c r="FE225" s="185"/>
      <c r="FF225" s="185"/>
      <c r="FG225" s="185"/>
      <c r="FH225" s="185"/>
      <c r="FI225" s="185"/>
      <c r="FJ225" s="185"/>
      <c r="FK225" s="185"/>
    </row>
    <row r="226" spans="1:171" s="186" customFormat="1">
      <c r="A226" s="198"/>
      <c r="B226" s="178"/>
      <c r="C226" s="141"/>
      <c r="D226" s="140"/>
      <c r="E226" s="141"/>
      <c r="F226" s="198"/>
      <c r="G226" s="141"/>
      <c r="H226" s="141"/>
      <c r="I226" s="141"/>
      <c r="J226" s="141"/>
      <c r="K226" s="141"/>
      <c r="L226" s="333"/>
      <c r="M226" s="339"/>
      <c r="N226" s="191"/>
      <c r="O226" s="337"/>
      <c r="P226" s="339"/>
      <c r="Q226" s="179"/>
      <c r="R226" s="180"/>
      <c r="S226" s="181"/>
      <c r="T226" s="182"/>
      <c r="U226" s="141"/>
      <c r="V226" s="182"/>
      <c r="W226" s="183"/>
      <c r="X226" s="185"/>
      <c r="Y226" s="176" t="str">
        <f>IF(Table17[[#This Row],[Required Resolution Date]]="","FALSE",IF($AA$1&gt;Table17[[#This Row],[Required Resolution Date]],"TRUE","FALSE"))</f>
        <v>FALSE</v>
      </c>
      <c r="Z226" s="175">
        <f t="shared" si="24"/>
        <v>0</v>
      </c>
      <c r="AA226" s="185"/>
      <c r="AB226" s="327" t="b">
        <f>OR(Table17[[#This Row],[Priority]]="04. High",Table17[[#This Row],[Priority]]="05. Critical")</f>
        <v>0</v>
      </c>
      <c r="AC226" s="284">
        <f ca="1">$AA$1-Table17[[#This Row],[Date captured]]</f>
        <v>40990</v>
      </c>
      <c r="AD226" s="327" t="b">
        <f t="shared" ca="1" si="20"/>
        <v>0</v>
      </c>
      <c r="AE226" s="327" t="b">
        <f t="shared" ca="1" si="21"/>
        <v>0</v>
      </c>
      <c r="AF226" s="327" t="b">
        <f t="shared" ca="1" si="22"/>
        <v>1</v>
      </c>
      <c r="AG226" s="284">
        <f ca="1">Table17[[#This Row],[Required Resolution Date]]-$AA$1</f>
        <v>-40990</v>
      </c>
      <c r="AH226" s="327" t="b">
        <f t="shared" ca="1" si="23"/>
        <v>0</v>
      </c>
      <c r="AI226" s="327" t="b">
        <f>OR(Table17[[#This Row],[Priority]]="04. High",Table17[[#This Row],[Priority]]="05. Critical",Table17[[#This Row],[Priority]]="03. Moderate")</f>
        <v>0</v>
      </c>
      <c r="AJ226" s="185"/>
      <c r="AK226" s="185"/>
      <c r="AL226" s="185"/>
      <c r="AM226" s="185"/>
      <c r="AN226" s="185"/>
      <c r="AO226" s="185"/>
      <c r="AP226" s="185"/>
      <c r="AQ226" s="185"/>
      <c r="AR226" s="185"/>
      <c r="AS226" s="185"/>
      <c r="AT226" s="185"/>
      <c r="AU226" s="185"/>
      <c r="AV226" s="185"/>
      <c r="AW226" s="185"/>
      <c r="AX226" s="185"/>
      <c r="AY226" s="185"/>
      <c r="AZ226" s="185"/>
      <c r="BA226" s="185"/>
      <c r="BB226" s="185"/>
      <c r="BC226" s="185"/>
      <c r="BD226" s="185"/>
      <c r="BE226" s="185"/>
      <c r="BF226" s="185"/>
      <c r="BG226" s="185"/>
      <c r="BH226" s="185"/>
      <c r="BI226" s="185"/>
      <c r="BJ226" s="185"/>
      <c r="BK226" s="185"/>
      <c r="BL226" s="185"/>
      <c r="BM226" s="185"/>
      <c r="BN226" s="185"/>
      <c r="BO226" s="185"/>
      <c r="BP226" s="185"/>
      <c r="BQ226" s="185"/>
      <c r="BR226" s="185"/>
      <c r="BS226" s="185"/>
      <c r="BT226" s="185"/>
      <c r="BU226" s="185"/>
      <c r="BV226" s="185"/>
      <c r="BW226" s="185"/>
      <c r="BX226" s="185"/>
      <c r="BY226" s="185"/>
      <c r="BZ226" s="185"/>
      <c r="CA226" s="185"/>
      <c r="CB226" s="185"/>
      <c r="CC226" s="185"/>
      <c r="CD226" s="185"/>
      <c r="CE226" s="185"/>
      <c r="CF226" s="185"/>
      <c r="CG226" s="185"/>
      <c r="CH226" s="185"/>
      <c r="CI226" s="185"/>
      <c r="CJ226" s="185"/>
      <c r="CK226" s="185"/>
      <c r="CL226" s="185"/>
      <c r="CM226" s="185"/>
      <c r="CN226" s="185"/>
      <c r="CO226" s="185"/>
      <c r="CP226" s="185"/>
      <c r="CQ226" s="185"/>
      <c r="CR226" s="185"/>
      <c r="CS226" s="185"/>
      <c r="CT226" s="185"/>
      <c r="CU226" s="185"/>
      <c r="CV226" s="185"/>
      <c r="CW226" s="185"/>
      <c r="CX226" s="185"/>
      <c r="CY226" s="185"/>
      <c r="CZ226" s="185"/>
      <c r="DA226" s="185"/>
      <c r="DB226" s="185"/>
      <c r="DC226" s="185"/>
      <c r="DD226" s="185"/>
      <c r="DE226" s="185"/>
      <c r="DF226" s="185"/>
      <c r="DG226" s="185"/>
      <c r="DH226" s="185"/>
      <c r="DI226" s="185"/>
      <c r="DJ226" s="185"/>
      <c r="DK226" s="185"/>
      <c r="DL226" s="185"/>
      <c r="DM226" s="185"/>
      <c r="DN226" s="185"/>
      <c r="DO226" s="185"/>
      <c r="DP226" s="185"/>
      <c r="DQ226" s="185"/>
      <c r="DR226" s="185"/>
      <c r="DS226" s="185"/>
      <c r="DT226" s="185"/>
      <c r="DU226" s="185"/>
      <c r="DV226" s="185"/>
      <c r="DW226" s="185"/>
      <c r="DX226" s="185"/>
      <c r="DY226" s="185"/>
      <c r="DZ226" s="185"/>
      <c r="EA226" s="185"/>
      <c r="EB226" s="185"/>
      <c r="EC226" s="185"/>
      <c r="ED226" s="185"/>
      <c r="EE226" s="185"/>
      <c r="EF226" s="185"/>
      <c r="EG226" s="185"/>
      <c r="EH226" s="185"/>
      <c r="EI226" s="185"/>
      <c r="EJ226" s="185"/>
      <c r="EK226" s="185"/>
      <c r="EL226" s="185"/>
      <c r="EM226" s="185"/>
      <c r="EN226" s="185"/>
      <c r="EO226" s="185"/>
      <c r="EP226" s="185"/>
      <c r="EQ226" s="185"/>
      <c r="ER226" s="185"/>
      <c r="ES226" s="185"/>
      <c r="ET226" s="185"/>
      <c r="EU226" s="185"/>
      <c r="EV226" s="185"/>
      <c r="EW226" s="185"/>
      <c r="EX226" s="185"/>
      <c r="EY226" s="185"/>
      <c r="EZ226" s="185"/>
      <c r="FA226" s="185"/>
      <c r="FB226" s="185"/>
      <c r="FC226" s="185"/>
      <c r="FD226" s="185"/>
      <c r="FE226" s="185"/>
      <c r="FF226" s="185"/>
      <c r="FG226" s="185"/>
      <c r="FH226" s="185"/>
      <c r="FI226" s="185"/>
      <c r="FJ226" s="185"/>
      <c r="FK226" s="185"/>
    </row>
    <row r="227" spans="1:171" s="186" customFormat="1">
      <c r="A227" s="198"/>
      <c r="B227" s="178"/>
      <c r="C227" s="141"/>
      <c r="D227" s="140"/>
      <c r="E227" s="141"/>
      <c r="F227" s="198"/>
      <c r="G227" s="141"/>
      <c r="H227" s="141"/>
      <c r="I227" s="141"/>
      <c r="J227" s="141"/>
      <c r="K227" s="141"/>
      <c r="L227" s="333"/>
      <c r="M227" s="339"/>
      <c r="N227" s="191"/>
      <c r="O227" s="337"/>
      <c r="P227" s="339"/>
      <c r="Q227" s="179"/>
      <c r="R227" s="180"/>
      <c r="S227" s="181"/>
      <c r="T227" s="182"/>
      <c r="U227" s="141"/>
      <c r="V227" s="182"/>
      <c r="W227" s="183"/>
      <c r="X227" s="185"/>
      <c r="Y227" s="176" t="str">
        <f>IF(Table17[[#This Row],[Required Resolution Date]]="","FALSE",IF($AA$1&gt;Table17[[#This Row],[Required Resolution Date]],"TRUE","FALSE"))</f>
        <v>FALSE</v>
      </c>
      <c r="Z227" s="175">
        <f t="shared" si="24"/>
        <v>0</v>
      </c>
      <c r="AA227" s="185"/>
      <c r="AB227" s="327" t="b">
        <f>OR(Table17[[#This Row],[Priority]]="04. High",Table17[[#This Row],[Priority]]="05. Critical")</f>
        <v>0</v>
      </c>
      <c r="AC227" s="284">
        <f ca="1">$AA$1-Table17[[#This Row],[Date captured]]</f>
        <v>40990</v>
      </c>
      <c r="AD227" s="327" t="b">
        <f t="shared" ca="1" si="20"/>
        <v>0</v>
      </c>
      <c r="AE227" s="327" t="b">
        <f t="shared" ca="1" si="21"/>
        <v>0</v>
      </c>
      <c r="AF227" s="327" t="b">
        <f t="shared" ca="1" si="22"/>
        <v>1</v>
      </c>
      <c r="AG227" s="284">
        <f ca="1">Table17[[#This Row],[Required Resolution Date]]-$AA$1</f>
        <v>-40990</v>
      </c>
      <c r="AH227" s="327" t="b">
        <f t="shared" ca="1" si="23"/>
        <v>0</v>
      </c>
      <c r="AI227" s="327" t="b">
        <f>OR(Table17[[#This Row],[Priority]]="04. High",Table17[[#This Row],[Priority]]="05. Critical",Table17[[#This Row],[Priority]]="03. Moderate")</f>
        <v>0</v>
      </c>
      <c r="AJ227" s="185"/>
      <c r="AK227" s="185"/>
      <c r="AL227" s="185"/>
      <c r="AM227" s="185"/>
      <c r="AN227" s="185"/>
      <c r="AO227" s="185"/>
      <c r="AP227" s="185"/>
      <c r="AQ227" s="185"/>
      <c r="AR227" s="185"/>
      <c r="AS227" s="185"/>
      <c r="AT227" s="185"/>
      <c r="AU227" s="185"/>
      <c r="AV227" s="185"/>
      <c r="AW227" s="185"/>
      <c r="AX227" s="185"/>
      <c r="AY227" s="185"/>
      <c r="AZ227" s="185"/>
      <c r="BA227" s="185"/>
      <c r="BB227" s="185"/>
      <c r="BC227" s="185"/>
      <c r="BD227" s="185"/>
      <c r="BE227" s="185"/>
      <c r="BF227" s="185"/>
      <c r="BG227" s="185"/>
      <c r="BH227" s="185"/>
      <c r="BI227" s="185"/>
      <c r="BJ227" s="185"/>
      <c r="BK227" s="185"/>
      <c r="BL227" s="185"/>
      <c r="BM227" s="185"/>
      <c r="BN227" s="185"/>
      <c r="BO227" s="185"/>
      <c r="BP227" s="185"/>
      <c r="BQ227" s="185"/>
      <c r="BR227" s="185"/>
      <c r="BS227" s="185"/>
      <c r="BT227" s="185"/>
      <c r="BU227" s="185"/>
      <c r="BV227" s="185"/>
      <c r="BW227" s="185"/>
      <c r="BX227" s="185"/>
      <c r="BY227" s="185"/>
      <c r="BZ227" s="185"/>
      <c r="CA227" s="185"/>
      <c r="CB227" s="185"/>
      <c r="CC227" s="185"/>
      <c r="CD227" s="185"/>
      <c r="CE227" s="185"/>
      <c r="CF227" s="185"/>
      <c r="CG227" s="185"/>
      <c r="CH227" s="185"/>
      <c r="CI227" s="185"/>
      <c r="CJ227" s="185"/>
      <c r="CK227" s="185"/>
      <c r="CL227" s="185"/>
      <c r="CM227" s="185"/>
      <c r="CN227" s="185"/>
      <c r="CO227" s="185"/>
      <c r="CP227" s="185"/>
      <c r="CQ227" s="185"/>
      <c r="CR227" s="185"/>
      <c r="CS227" s="185"/>
      <c r="CT227" s="185"/>
      <c r="CU227" s="185"/>
      <c r="CV227" s="185"/>
      <c r="CW227" s="185"/>
      <c r="CX227" s="185"/>
      <c r="CY227" s="185"/>
      <c r="CZ227" s="185"/>
      <c r="DA227" s="185"/>
      <c r="DB227" s="185"/>
      <c r="DC227" s="185"/>
      <c r="DD227" s="185"/>
      <c r="DE227" s="185"/>
      <c r="DF227" s="185"/>
      <c r="DG227" s="185"/>
      <c r="DH227" s="185"/>
      <c r="DI227" s="185"/>
      <c r="DJ227" s="185"/>
      <c r="DK227" s="185"/>
      <c r="DL227" s="185"/>
      <c r="DM227" s="185"/>
      <c r="DN227" s="185"/>
      <c r="DO227" s="185"/>
      <c r="DP227" s="185"/>
      <c r="DQ227" s="185"/>
      <c r="DR227" s="185"/>
      <c r="DS227" s="185"/>
      <c r="DT227" s="185"/>
      <c r="DU227" s="185"/>
      <c r="DV227" s="185"/>
      <c r="DW227" s="185"/>
      <c r="DX227" s="185"/>
      <c r="DY227" s="185"/>
      <c r="DZ227" s="185"/>
      <c r="EA227" s="185"/>
      <c r="EB227" s="185"/>
      <c r="EC227" s="185"/>
      <c r="ED227" s="185"/>
      <c r="EE227" s="185"/>
      <c r="EF227" s="185"/>
      <c r="EG227" s="185"/>
      <c r="EH227" s="185"/>
      <c r="EI227" s="185"/>
      <c r="EJ227" s="185"/>
      <c r="EK227" s="185"/>
      <c r="EL227" s="185"/>
      <c r="EM227" s="185"/>
      <c r="EN227" s="185"/>
      <c r="EO227" s="185"/>
      <c r="EP227" s="185"/>
      <c r="EQ227" s="185"/>
      <c r="ER227" s="185"/>
      <c r="ES227" s="185"/>
      <c r="ET227" s="185"/>
      <c r="EU227" s="185"/>
      <c r="EV227" s="185"/>
      <c r="EW227" s="185"/>
      <c r="EX227" s="185"/>
      <c r="EY227" s="185"/>
      <c r="EZ227" s="185"/>
      <c r="FA227" s="185"/>
      <c r="FB227" s="185"/>
      <c r="FC227" s="185"/>
      <c r="FD227" s="185"/>
      <c r="FE227" s="185"/>
      <c r="FF227" s="185"/>
      <c r="FG227" s="185"/>
      <c r="FH227" s="185"/>
      <c r="FI227" s="185"/>
      <c r="FJ227" s="185"/>
      <c r="FK227" s="185"/>
    </row>
    <row r="228" spans="1:171" s="186" customFormat="1">
      <c r="A228" s="198"/>
      <c r="B228" s="178"/>
      <c r="C228" s="141"/>
      <c r="D228" s="140"/>
      <c r="E228" s="141"/>
      <c r="F228" s="198"/>
      <c r="G228" s="141"/>
      <c r="H228" s="141"/>
      <c r="I228" s="141"/>
      <c r="J228" s="141"/>
      <c r="K228" s="141"/>
      <c r="L228" s="333"/>
      <c r="M228" s="339"/>
      <c r="N228" s="191"/>
      <c r="O228" s="337"/>
      <c r="P228" s="339"/>
      <c r="Q228" s="179"/>
      <c r="R228" s="180"/>
      <c r="S228" s="181"/>
      <c r="T228" s="182"/>
      <c r="U228" s="141"/>
      <c r="V228" s="182"/>
      <c r="W228" s="183"/>
      <c r="X228" s="185"/>
      <c r="Y228" s="176" t="str">
        <f>IF(Table17[[#This Row],[Required Resolution Date]]="","FALSE",IF($AA$1&gt;Table17[[#This Row],[Required Resolution Date]],"TRUE","FALSE"))</f>
        <v>FALSE</v>
      </c>
      <c r="Z228" s="175">
        <f t="shared" si="24"/>
        <v>0</v>
      </c>
      <c r="AA228" s="185"/>
      <c r="AB228" s="327" t="b">
        <f>OR(Table17[[#This Row],[Priority]]="04. High",Table17[[#This Row],[Priority]]="05. Critical")</f>
        <v>0</v>
      </c>
      <c r="AC228" s="284">
        <f ca="1">$AA$1-Table17[[#This Row],[Date captured]]</f>
        <v>40990</v>
      </c>
      <c r="AD228" s="327" t="b">
        <f t="shared" ca="1" si="20"/>
        <v>0</v>
      </c>
      <c r="AE228" s="327" t="b">
        <f t="shared" ca="1" si="21"/>
        <v>0</v>
      </c>
      <c r="AF228" s="327" t="b">
        <f t="shared" ca="1" si="22"/>
        <v>1</v>
      </c>
      <c r="AG228" s="284">
        <f ca="1">Table17[[#This Row],[Required Resolution Date]]-$AA$1</f>
        <v>-40990</v>
      </c>
      <c r="AH228" s="327" t="b">
        <f t="shared" ca="1" si="23"/>
        <v>0</v>
      </c>
      <c r="AI228" s="327" t="b">
        <f>OR(Table17[[#This Row],[Priority]]="04. High",Table17[[#This Row],[Priority]]="05. Critical",Table17[[#This Row],[Priority]]="03. Moderate")</f>
        <v>0</v>
      </c>
      <c r="AJ228" s="185"/>
      <c r="AK228" s="185"/>
      <c r="AL228" s="185"/>
      <c r="AM228" s="185"/>
      <c r="AN228" s="185"/>
      <c r="AO228" s="185"/>
      <c r="AP228" s="185"/>
      <c r="AQ228" s="185"/>
      <c r="AR228" s="185"/>
      <c r="AS228" s="185"/>
      <c r="AT228" s="185"/>
      <c r="AU228" s="185"/>
      <c r="AV228" s="185"/>
      <c r="AW228" s="185"/>
      <c r="AX228" s="185"/>
      <c r="AY228" s="185"/>
      <c r="AZ228" s="185"/>
      <c r="BA228" s="185"/>
      <c r="BB228" s="185"/>
      <c r="BC228" s="185"/>
      <c r="BD228" s="185"/>
      <c r="BE228" s="185"/>
      <c r="BF228" s="185"/>
      <c r="BG228" s="185"/>
      <c r="BH228" s="185"/>
      <c r="BI228" s="185"/>
      <c r="BJ228" s="185"/>
      <c r="BK228" s="185"/>
      <c r="BL228" s="185"/>
      <c r="BM228" s="185"/>
      <c r="BN228" s="185"/>
      <c r="BO228" s="185"/>
      <c r="BP228" s="185"/>
      <c r="BQ228" s="185"/>
      <c r="BR228" s="185"/>
      <c r="BS228" s="185"/>
      <c r="BT228" s="185"/>
      <c r="BU228" s="185"/>
      <c r="BV228" s="185"/>
      <c r="BW228" s="185"/>
      <c r="BX228" s="185"/>
      <c r="BY228" s="185"/>
      <c r="BZ228" s="185"/>
      <c r="CA228" s="185"/>
      <c r="CB228" s="185"/>
      <c r="CC228" s="185"/>
      <c r="CD228" s="185"/>
      <c r="CE228" s="185"/>
      <c r="CF228" s="185"/>
      <c r="CG228" s="185"/>
      <c r="CH228" s="185"/>
      <c r="CI228" s="185"/>
      <c r="CJ228" s="185"/>
      <c r="CK228" s="185"/>
      <c r="CL228" s="185"/>
      <c r="CM228" s="185"/>
      <c r="CN228" s="185"/>
      <c r="CO228" s="185"/>
      <c r="CP228" s="185"/>
      <c r="CQ228" s="185"/>
      <c r="CR228" s="185"/>
      <c r="CS228" s="185"/>
      <c r="CT228" s="185"/>
      <c r="CU228" s="185"/>
      <c r="CV228" s="185"/>
      <c r="CW228" s="185"/>
      <c r="CX228" s="185"/>
      <c r="CY228" s="185"/>
      <c r="CZ228" s="185"/>
      <c r="DA228" s="185"/>
      <c r="DB228" s="185"/>
      <c r="DC228" s="185"/>
      <c r="DD228" s="185"/>
      <c r="DE228" s="185"/>
      <c r="DF228" s="185"/>
      <c r="DG228" s="185"/>
      <c r="DH228" s="185"/>
      <c r="DI228" s="185"/>
      <c r="DJ228" s="185"/>
      <c r="DK228" s="185"/>
      <c r="DL228" s="185"/>
      <c r="DM228" s="185"/>
      <c r="DN228" s="185"/>
      <c r="DO228" s="185"/>
      <c r="DP228" s="185"/>
      <c r="DQ228" s="185"/>
      <c r="DR228" s="185"/>
      <c r="DS228" s="185"/>
      <c r="DT228" s="185"/>
      <c r="DU228" s="185"/>
      <c r="DV228" s="185"/>
      <c r="DW228" s="185"/>
      <c r="DX228" s="185"/>
      <c r="DY228" s="185"/>
      <c r="DZ228" s="185"/>
      <c r="EA228" s="185"/>
      <c r="EB228" s="185"/>
      <c r="EC228" s="185"/>
      <c r="ED228" s="185"/>
      <c r="EE228" s="185"/>
      <c r="EF228" s="185"/>
      <c r="EG228" s="185"/>
      <c r="EH228" s="185"/>
      <c r="EI228" s="185"/>
      <c r="EJ228" s="185"/>
      <c r="EK228" s="185"/>
      <c r="EL228" s="185"/>
      <c r="EM228" s="185"/>
      <c r="EN228" s="185"/>
      <c r="EO228" s="185"/>
      <c r="EP228" s="185"/>
      <c r="EQ228" s="185"/>
      <c r="ER228" s="185"/>
      <c r="ES228" s="185"/>
      <c r="ET228" s="185"/>
      <c r="EU228" s="185"/>
      <c r="EV228" s="185"/>
      <c r="EW228" s="185"/>
      <c r="EX228" s="185"/>
      <c r="EY228" s="185"/>
      <c r="EZ228" s="185"/>
      <c r="FA228" s="185"/>
      <c r="FB228" s="185"/>
      <c r="FC228" s="185"/>
      <c r="FD228" s="185"/>
      <c r="FE228" s="185"/>
      <c r="FF228" s="185"/>
      <c r="FG228" s="185"/>
      <c r="FH228" s="185"/>
      <c r="FI228" s="185"/>
      <c r="FJ228" s="185"/>
      <c r="FK228" s="185"/>
    </row>
    <row r="229" spans="1:171" s="186" customFormat="1">
      <c r="A229" s="198"/>
      <c r="B229" s="178"/>
      <c r="C229" s="141"/>
      <c r="D229" s="140"/>
      <c r="E229" s="141"/>
      <c r="F229" s="198"/>
      <c r="G229" s="141"/>
      <c r="H229" s="141"/>
      <c r="I229" s="141"/>
      <c r="J229" s="141"/>
      <c r="K229" s="141"/>
      <c r="L229" s="333"/>
      <c r="M229" s="339"/>
      <c r="N229" s="191"/>
      <c r="O229" s="337"/>
      <c r="P229" s="339"/>
      <c r="Q229" s="179"/>
      <c r="R229" s="180"/>
      <c r="S229" s="181"/>
      <c r="T229" s="182"/>
      <c r="U229" s="141"/>
      <c r="V229" s="182"/>
      <c r="W229" s="183"/>
      <c r="X229" s="185"/>
      <c r="Y229" s="176" t="str">
        <f>IF(Table17[[#This Row],[Required Resolution Date]]="","FALSE",IF($AA$1&gt;Table17[[#This Row],[Required Resolution Date]],"TRUE","FALSE"))</f>
        <v>FALSE</v>
      </c>
      <c r="Z229" s="175">
        <f t="shared" si="24"/>
        <v>0</v>
      </c>
      <c r="AA229" s="185"/>
      <c r="AB229" s="327" t="b">
        <f>OR(Table17[[#This Row],[Priority]]="04. High",Table17[[#This Row],[Priority]]="05. Critical")</f>
        <v>0</v>
      </c>
      <c r="AC229" s="284">
        <f ca="1">$AA$1-Table17[[#This Row],[Date captured]]</f>
        <v>40990</v>
      </c>
      <c r="AD229" s="327" t="b">
        <f t="shared" ca="1" si="20"/>
        <v>0</v>
      </c>
      <c r="AE229" s="327" t="b">
        <f t="shared" ca="1" si="21"/>
        <v>0</v>
      </c>
      <c r="AF229" s="327" t="b">
        <f t="shared" ca="1" si="22"/>
        <v>1</v>
      </c>
      <c r="AG229" s="284">
        <f ca="1">Table17[[#This Row],[Required Resolution Date]]-$AA$1</f>
        <v>-40990</v>
      </c>
      <c r="AH229" s="327" t="b">
        <f t="shared" ca="1" si="23"/>
        <v>0</v>
      </c>
      <c r="AI229" s="327" t="b">
        <f>OR(Table17[[#This Row],[Priority]]="04. High",Table17[[#This Row],[Priority]]="05. Critical",Table17[[#This Row],[Priority]]="03. Moderate")</f>
        <v>0</v>
      </c>
      <c r="AJ229" s="185"/>
      <c r="AK229" s="185"/>
      <c r="AL229" s="185"/>
      <c r="AM229" s="185"/>
      <c r="AN229" s="185"/>
      <c r="AO229" s="185"/>
      <c r="AP229" s="185"/>
      <c r="AQ229" s="185"/>
      <c r="AR229" s="185"/>
      <c r="AS229" s="185"/>
      <c r="AT229" s="185"/>
      <c r="AU229" s="185"/>
      <c r="AV229" s="185"/>
      <c r="AW229" s="185"/>
      <c r="AX229" s="185"/>
      <c r="AY229" s="185"/>
      <c r="AZ229" s="185"/>
      <c r="BA229" s="185"/>
      <c r="BB229" s="185"/>
      <c r="BC229" s="185"/>
      <c r="BD229" s="185"/>
      <c r="BE229" s="185"/>
      <c r="BF229" s="185"/>
      <c r="BG229" s="185"/>
      <c r="BH229" s="185"/>
      <c r="BI229" s="185"/>
      <c r="BJ229" s="185"/>
      <c r="BK229" s="185"/>
      <c r="BL229" s="185"/>
      <c r="BM229" s="185"/>
      <c r="BN229" s="185"/>
      <c r="BO229" s="185"/>
      <c r="BP229" s="185"/>
      <c r="BQ229" s="185"/>
      <c r="BR229" s="185"/>
      <c r="BS229" s="185"/>
      <c r="BT229" s="185"/>
      <c r="BU229" s="185"/>
      <c r="BV229" s="185"/>
      <c r="BW229" s="185"/>
      <c r="BX229" s="185"/>
      <c r="BY229" s="185"/>
      <c r="BZ229" s="185"/>
      <c r="CA229" s="185"/>
      <c r="CB229" s="185"/>
      <c r="CC229" s="185"/>
      <c r="CD229" s="185"/>
      <c r="CE229" s="185"/>
      <c r="CF229" s="185"/>
      <c r="CG229" s="185"/>
      <c r="CH229" s="185"/>
      <c r="CI229" s="185"/>
      <c r="CJ229" s="185"/>
      <c r="CK229" s="185"/>
      <c r="CL229" s="185"/>
      <c r="CM229" s="185"/>
      <c r="CN229" s="185"/>
      <c r="CO229" s="185"/>
      <c r="CP229" s="185"/>
      <c r="CQ229" s="185"/>
      <c r="CR229" s="185"/>
      <c r="CS229" s="185"/>
      <c r="CT229" s="185"/>
      <c r="CU229" s="185"/>
      <c r="CV229" s="185"/>
      <c r="CW229" s="185"/>
      <c r="CX229" s="185"/>
      <c r="CY229" s="185"/>
      <c r="CZ229" s="185"/>
      <c r="DA229" s="185"/>
      <c r="DB229" s="185"/>
      <c r="DC229" s="185"/>
      <c r="DD229" s="185"/>
      <c r="DE229" s="185"/>
      <c r="DF229" s="185"/>
      <c r="DG229" s="185"/>
      <c r="DH229" s="185"/>
      <c r="DI229" s="185"/>
      <c r="DJ229" s="185"/>
      <c r="DK229" s="185"/>
      <c r="DL229" s="185"/>
      <c r="DM229" s="185"/>
      <c r="DN229" s="185"/>
      <c r="DO229" s="185"/>
      <c r="DP229" s="185"/>
      <c r="DQ229" s="185"/>
      <c r="DR229" s="185"/>
      <c r="DS229" s="185"/>
      <c r="DT229" s="185"/>
      <c r="DU229" s="185"/>
      <c r="DV229" s="185"/>
      <c r="DW229" s="185"/>
      <c r="DX229" s="185"/>
      <c r="DY229" s="185"/>
      <c r="DZ229" s="185"/>
      <c r="EA229" s="185"/>
      <c r="EB229" s="185"/>
      <c r="EC229" s="185"/>
      <c r="ED229" s="185"/>
      <c r="EE229" s="185"/>
      <c r="EF229" s="185"/>
      <c r="EG229" s="185"/>
      <c r="EH229" s="185"/>
      <c r="EI229" s="185"/>
      <c r="EJ229" s="185"/>
      <c r="EK229" s="185"/>
      <c r="EL229" s="185"/>
      <c r="EM229" s="185"/>
      <c r="EN229" s="185"/>
      <c r="EO229" s="185"/>
      <c r="EP229" s="185"/>
      <c r="EQ229" s="185"/>
      <c r="ER229" s="185"/>
      <c r="ES229" s="185"/>
      <c r="ET229" s="185"/>
      <c r="EU229" s="185"/>
      <c r="EV229" s="185"/>
      <c r="EW229" s="185"/>
      <c r="EX229" s="185"/>
      <c r="EY229" s="185"/>
      <c r="EZ229" s="185"/>
      <c r="FA229" s="185"/>
      <c r="FB229" s="185"/>
      <c r="FC229" s="185"/>
      <c r="FD229" s="185"/>
      <c r="FE229" s="185"/>
      <c r="FF229" s="185"/>
      <c r="FG229" s="185"/>
      <c r="FH229" s="185"/>
      <c r="FI229" s="185"/>
      <c r="FJ229" s="185"/>
      <c r="FK229" s="185"/>
    </row>
    <row r="230" spans="1:171" s="186" customFormat="1">
      <c r="A230" s="198"/>
      <c r="B230" s="178"/>
      <c r="C230" s="141"/>
      <c r="D230" s="140"/>
      <c r="E230" s="141"/>
      <c r="F230" s="198"/>
      <c r="G230" s="141"/>
      <c r="H230" s="141"/>
      <c r="I230" s="141"/>
      <c r="J230" s="141"/>
      <c r="K230" s="141"/>
      <c r="L230" s="333"/>
      <c r="M230" s="339"/>
      <c r="N230" s="191"/>
      <c r="O230" s="337"/>
      <c r="P230" s="339"/>
      <c r="Q230" s="179"/>
      <c r="R230" s="180"/>
      <c r="S230" s="181"/>
      <c r="T230" s="182"/>
      <c r="U230" s="141"/>
      <c r="V230" s="182"/>
      <c r="W230" s="183"/>
      <c r="X230" s="185"/>
      <c r="Y230" s="176" t="str">
        <f>IF(Table17[[#This Row],[Required Resolution Date]]="","FALSE",IF($AA$1&gt;Table17[[#This Row],[Required Resolution Date]],"TRUE","FALSE"))</f>
        <v>FALSE</v>
      </c>
      <c r="Z230" s="175">
        <f t="shared" si="24"/>
        <v>0</v>
      </c>
      <c r="AA230" s="185"/>
      <c r="AB230" s="327" t="b">
        <f>OR(Table17[[#This Row],[Priority]]="04. High",Table17[[#This Row],[Priority]]="05. Critical")</f>
        <v>0</v>
      </c>
      <c r="AC230" s="284">
        <f ca="1">$AA$1-Table17[[#This Row],[Date captured]]</f>
        <v>40990</v>
      </c>
      <c r="AD230" s="327" t="b">
        <f t="shared" ca="1" si="20"/>
        <v>0</v>
      </c>
      <c r="AE230" s="327" t="b">
        <f t="shared" ca="1" si="21"/>
        <v>0</v>
      </c>
      <c r="AF230" s="327" t="b">
        <f t="shared" ca="1" si="22"/>
        <v>1</v>
      </c>
      <c r="AG230" s="284">
        <f ca="1">Table17[[#This Row],[Required Resolution Date]]-$AA$1</f>
        <v>-40990</v>
      </c>
      <c r="AH230" s="327" t="b">
        <f t="shared" ca="1" si="23"/>
        <v>0</v>
      </c>
      <c r="AI230" s="327" t="b">
        <f>OR(Table17[[#This Row],[Priority]]="04. High",Table17[[#This Row],[Priority]]="05. Critical",Table17[[#This Row],[Priority]]="03. Moderate")</f>
        <v>0</v>
      </c>
      <c r="AJ230" s="185"/>
      <c r="AK230" s="185"/>
      <c r="AL230" s="185"/>
      <c r="AM230" s="185"/>
      <c r="AN230" s="185"/>
      <c r="AO230" s="185"/>
      <c r="AP230" s="185"/>
      <c r="AQ230" s="185"/>
      <c r="AR230" s="185"/>
      <c r="AS230" s="185"/>
      <c r="AT230" s="185"/>
      <c r="AU230" s="185"/>
      <c r="AV230" s="185"/>
      <c r="AW230" s="185"/>
      <c r="AX230" s="185"/>
      <c r="AY230" s="185"/>
      <c r="AZ230" s="185"/>
      <c r="BA230" s="185"/>
      <c r="BB230" s="185"/>
      <c r="BC230" s="185"/>
      <c r="BD230" s="185"/>
      <c r="BE230" s="185"/>
      <c r="BF230" s="185"/>
      <c r="BG230" s="185"/>
      <c r="BH230" s="185"/>
      <c r="BI230" s="185"/>
      <c r="BJ230" s="185"/>
      <c r="BK230" s="185"/>
      <c r="BL230" s="185"/>
      <c r="BM230" s="185"/>
      <c r="BN230" s="185"/>
      <c r="BO230" s="185"/>
      <c r="BP230" s="185"/>
      <c r="BQ230" s="185"/>
      <c r="BR230" s="185"/>
      <c r="BS230" s="185"/>
      <c r="BT230" s="185"/>
      <c r="BU230" s="185"/>
      <c r="BV230" s="185"/>
      <c r="BW230" s="185"/>
      <c r="BX230" s="185"/>
      <c r="BY230" s="185"/>
      <c r="BZ230" s="185"/>
      <c r="CA230" s="185"/>
      <c r="CB230" s="185"/>
      <c r="CC230" s="185"/>
      <c r="CD230" s="185"/>
      <c r="CE230" s="185"/>
      <c r="CF230" s="185"/>
      <c r="CG230" s="185"/>
      <c r="CH230" s="185"/>
      <c r="CI230" s="185"/>
      <c r="CJ230" s="185"/>
      <c r="CK230" s="185"/>
      <c r="CL230" s="185"/>
      <c r="CM230" s="185"/>
      <c r="CN230" s="185"/>
      <c r="CO230" s="185"/>
      <c r="CP230" s="185"/>
      <c r="CQ230" s="185"/>
      <c r="CR230" s="185"/>
      <c r="CS230" s="185"/>
      <c r="CT230" s="185"/>
      <c r="CU230" s="185"/>
      <c r="CV230" s="185"/>
      <c r="CW230" s="185"/>
      <c r="CX230" s="185"/>
      <c r="CY230" s="185"/>
      <c r="CZ230" s="185"/>
      <c r="DA230" s="185"/>
      <c r="DB230" s="185"/>
      <c r="DC230" s="185"/>
      <c r="DD230" s="185"/>
      <c r="DE230" s="185"/>
      <c r="DF230" s="185"/>
      <c r="DG230" s="185"/>
      <c r="DH230" s="185"/>
      <c r="DI230" s="185"/>
      <c r="DJ230" s="185"/>
      <c r="DK230" s="185"/>
      <c r="DL230" s="185"/>
      <c r="DM230" s="185"/>
      <c r="DN230" s="185"/>
      <c r="DO230" s="185"/>
      <c r="DP230" s="185"/>
      <c r="DQ230" s="185"/>
      <c r="DR230" s="185"/>
      <c r="DS230" s="185"/>
      <c r="DT230" s="185"/>
      <c r="DU230" s="185"/>
      <c r="DV230" s="185"/>
      <c r="DW230" s="185"/>
      <c r="DX230" s="185"/>
      <c r="DY230" s="185"/>
      <c r="DZ230" s="185"/>
      <c r="EA230" s="185"/>
      <c r="EB230" s="185"/>
      <c r="EC230" s="185"/>
      <c r="ED230" s="185"/>
      <c r="EE230" s="185"/>
      <c r="EF230" s="185"/>
      <c r="EG230" s="185"/>
      <c r="EH230" s="185"/>
      <c r="EI230" s="185"/>
      <c r="EJ230" s="185"/>
      <c r="EK230" s="185"/>
      <c r="EL230" s="185"/>
      <c r="EM230" s="185"/>
      <c r="EN230" s="185"/>
      <c r="EO230" s="185"/>
      <c r="EP230" s="185"/>
      <c r="EQ230" s="185"/>
      <c r="ER230" s="185"/>
      <c r="ES230" s="185"/>
      <c r="ET230" s="185"/>
      <c r="EU230" s="185"/>
      <c r="EV230" s="185"/>
      <c r="EW230" s="185"/>
      <c r="EX230" s="185"/>
      <c r="EY230" s="185"/>
      <c r="EZ230" s="185"/>
      <c r="FA230" s="185"/>
      <c r="FB230" s="185"/>
      <c r="FC230" s="185"/>
      <c r="FD230" s="185"/>
      <c r="FE230" s="185"/>
      <c r="FF230" s="185"/>
      <c r="FG230" s="185"/>
      <c r="FH230" s="185"/>
      <c r="FI230" s="185"/>
      <c r="FJ230" s="185"/>
      <c r="FK230" s="185"/>
    </row>
    <row r="231" spans="1:171" s="186" customFormat="1">
      <c r="A231" s="198"/>
      <c r="B231" s="178"/>
      <c r="C231" s="141"/>
      <c r="D231" s="140"/>
      <c r="E231" s="141"/>
      <c r="F231" s="198"/>
      <c r="G231" s="141"/>
      <c r="H231" s="141"/>
      <c r="I231" s="141"/>
      <c r="J231" s="141"/>
      <c r="K231" s="141"/>
      <c r="L231" s="333"/>
      <c r="M231" s="339"/>
      <c r="N231" s="191"/>
      <c r="O231" s="337"/>
      <c r="P231" s="339"/>
      <c r="Q231" s="179"/>
      <c r="R231" s="180"/>
      <c r="S231" s="181"/>
      <c r="T231" s="182"/>
      <c r="U231" s="141"/>
      <c r="V231" s="182"/>
      <c r="W231" s="183"/>
      <c r="X231" s="185"/>
      <c r="Y231" s="176" t="str">
        <f>IF(Table17[[#This Row],[Required Resolution Date]]="","FALSE",IF($AA$1&gt;Table17[[#This Row],[Required Resolution Date]],"TRUE","FALSE"))</f>
        <v>FALSE</v>
      </c>
      <c r="Z231" s="175">
        <f t="shared" si="24"/>
        <v>0</v>
      </c>
      <c r="AA231" s="185"/>
      <c r="AB231" s="327" t="b">
        <f>OR(Table17[[#This Row],[Priority]]="04. High",Table17[[#This Row],[Priority]]="05. Critical")</f>
        <v>0</v>
      </c>
      <c r="AC231" s="284">
        <f ca="1">$AA$1-Table17[[#This Row],[Date captured]]</f>
        <v>40990</v>
      </c>
      <c r="AD231" s="327" t="b">
        <f t="shared" ca="1" si="20"/>
        <v>0</v>
      </c>
      <c r="AE231" s="327" t="b">
        <f t="shared" ca="1" si="21"/>
        <v>0</v>
      </c>
      <c r="AF231" s="327" t="b">
        <f t="shared" ca="1" si="22"/>
        <v>1</v>
      </c>
      <c r="AG231" s="284">
        <f ca="1">Table17[[#This Row],[Required Resolution Date]]-$AA$1</f>
        <v>-40990</v>
      </c>
      <c r="AH231" s="327" t="b">
        <f t="shared" ca="1" si="23"/>
        <v>0</v>
      </c>
      <c r="AI231" s="327" t="b">
        <f>OR(Table17[[#This Row],[Priority]]="04. High",Table17[[#This Row],[Priority]]="05. Critical",Table17[[#This Row],[Priority]]="03. Moderate")</f>
        <v>0</v>
      </c>
      <c r="AJ231" s="185"/>
      <c r="AK231" s="185"/>
      <c r="AL231" s="185"/>
      <c r="AM231" s="185"/>
      <c r="AN231" s="185"/>
      <c r="AO231" s="185"/>
      <c r="AP231" s="185"/>
      <c r="AQ231" s="185"/>
      <c r="AR231" s="185"/>
      <c r="AS231" s="185"/>
      <c r="AT231" s="185"/>
      <c r="AU231" s="185"/>
      <c r="AV231" s="185"/>
      <c r="AW231" s="185"/>
      <c r="AX231" s="185"/>
      <c r="AY231" s="185"/>
      <c r="AZ231" s="185"/>
      <c r="BA231" s="185"/>
      <c r="BB231" s="185"/>
      <c r="BC231" s="185"/>
      <c r="BD231" s="185"/>
      <c r="BE231" s="185"/>
      <c r="BF231" s="185"/>
      <c r="BG231" s="185"/>
      <c r="BH231" s="185"/>
      <c r="BI231" s="185"/>
      <c r="BJ231" s="185"/>
      <c r="BK231" s="185"/>
      <c r="BL231" s="185"/>
      <c r="BM231" s="185"/>
      <c r="BN231" s="185"/>
      <c r="BO231" s="185"/>
      <c r="BP231" s="185"/>
      <c r="BQ231" s="185"/>
      <c r="BR231" s="185"/>
      <c r="BS231" s="185"/>
      <c r="BT231" s="185"/>
      <c r="BU231" s="185"/>
      <c r="BV231" s="185"/>
      <c r="BW231" s="185"/>
      <c r="BX231" s="185"/>
      <c r="BY231" s="185"/>
      <c r="BZ231" s="185"/>
      <c r="CA231" s="185"/>
      <c r="CB231" s="185"/>
      <c r="CC231" s="185"/>
      <c r="CD231" s="185"/>
      <c r="CE231" s="185"/>
      <c r="CF231" s="185"/>
      <c r="CG231" s="185"/>
      <c r="CH231" s="185"/>
      <c r="CI231" s="185"/>
      <c r="CJ231" s="185"/>
      <c r="CK231" s="185"/>
      <c r="CL231" s="185"/>
      <c r="CM231" s="185"/>
      <c r="CN231" s="185"/>
      <c r="CO231" s="185"/>
      <c r="CP231" s="185"/>
      <c r="CQ231" s="185"/>
      <c r="CR231" s="185"/>
      <c r="CS231" s="185"/>
      <c r="CT231" s="185"/>
      <c r="CU231" s="185"/>
      <c r="CV231" s="185"/>
      <c r="CW231" s="185"/>
      <c r="CX231" s="185"/>
      <c r="CY231" s="185"/>
      <c r="CZ231" s="185"/>
      <c r="DA231" s="185"/>
      <c r="DB231" s="185"/>
      <c r="DC231" s="185"/>
      <c r="DD231" s="185"/>
      <c r="DE231" s="185"/>
      <c r="DF231" s="185"/>
      <c r="DG231" s="185"/>
      <c r="DH231" s="185"/>
      <c r="DI231" s="185"/>
      <c r="DJ231" s="185"/>
      <c r="DK231" s="185"/>
      <c r="DL231" s="185"/>
      <c r="DM231" s="185"/>
      <c r="DN231" s="185"/>
      <c r="DO231" s="185"/>
      <c r="DP231" s="185"/>
      <c r="DQ231" s="185"/>
      <c r="DR231" s="185"/>
      <c r="DS231" s="185"/>
      <c r="DT231" s="185"/>
      <c r="DU231" s="185"/>
      <c r="DV231" s="185"/>
      <c r="DW231" s="185"/>
      <c r="DX231" s="185"/>
      <c r="DY231" s="185"/>
      <c r="DZ231" s="185"/>
      <c r="EA231" s="185"/>
      <c r="EB231" s="185"/>
      <c r="EC231" s="185"/>
      <c r="ED231" s="185"/>
      <c r="EE231" s="185"/>
      <c r="EF231" s="185"/>
      <c r="EG231" s="185"/>
      <c r="EH231" s="185"/>
      <c r="EI231" s="185"/>
      <c r="EJ231" s="185"/>
      <c r="EK231" s="185"/>
      <c r="EL231" s="185"/>
      <c r="EM231" s="185"/>
      <c r="EN231" s="185"/>
      <c r="EO231" s="185"/>
      <c r="EP231" s="185"/>
      <c r="EQ231" s="185"/>
      <c r="ER231" s="185"/>
      <c r="ES231" s="185"/>
      <c r="ET231" s="185"/>
      <c r="EU231" s="185"/>
      <c r="EV231" s="185"/>
      <c r="EW231" s="185"/>
      <c r="EX231" s="185"/>
      <c r="EY231" s="185"/>
      <c r="EZ231" s="185"/>
      <c r="FA231" s="185"/>
      <c r="FB231" s="185"/>
      <c r="FC231" s="185"/>
      <c r="FD231" s="185"/>
      <c r="FE231" s="185"/>
      <c r="FF231" s="185"/>
      <c r="FG231" s="185"/>
      <c r="FH231" s="185"/>
      <c r="FI231" s="185"/>
      <c r="FJ231" s="185"/>
      <c r="FK231" s="185"/>
    </row>
    <row r="232" spans="1:171" s="186" customFormat="1">
      <c r="A232" s="177"/>
      <c r="B232" s="187"/>
      <c r="C232" s="175"/>
      <c r="D232" s="175"/>
      <c r="E232" s="184"/>
      <c r="F232" s="177"/>
      <c r="G232" s="184"/>
      <c r="H232" s="184"/>
      <c r="I232" s="184"/>
      <c r="J232" s="184"/>
      <c r="K232" s="184"/>
      <c r="L232" s="196"/>
      <c r="M232" s="189"/>
      <c r="N232" s="196"/>
      <c r="O232" s="196"/>
      <c r="P232" s="189"/>
      <c r="Q232" s="187"/>
      <c r="R232" s="187"/>
      <c r="S232" s="196"/>
      <c r="T232" s="184"/>
      <c r="U232" s="184"/>
      <c r="V232" s="184"/>
      <c r="W232" s="183"/>
      <c r="X232" s="185"/>
      <c r="Y232" s="176" t="str">
        <f>IF(Table17[[#This Row],[Required Resolution Date]]="","FALSE",IF($AA$1&gt;Table17[[#This Row],[Required Resolution Date]],"TRUE","FALSE"))</f>
        <v>FALSE</v>
      </c>
      <c r="Z232" s="175">
        <f t="shared" si="24"/>
        <v>0</v>
      </c>
      <c r="AA232" s="185"/>
      <c r="AB232" s="327" t="b">
        <f>OR(Table17[[#This Row],[Priority]]="04. High",Table17[[#This Row],[Priority]]="05. Critical")</f>
        <v>0</v>
      </c>
      <c r="AC232" s="284">
        <f ca="1">$AA$1-Table17[[#This Row],[Date captured]]</f>
        <v>40990</v>
      </c>
      <c r="AD232" s="327" t="b">
        <f t="shared" ca="1" si="20"/>
        <v>0</v>
      </c>
      <c r="AE232" s="327" t="b">
        <f t="shared" ca="1" si="21"/>
        <v>0</v>
      </c>
      <c r="AF232" s="327" t="b">
        <f t="shared" ca="1" si="22"/>
        <v>1</v>
      </c>
      <c r="AG232" s="284">
        <f ca="1">Table17[[#This Row],[Required Resolution Date]]-$AA$1</f>
        <v>-40990</v>
      </c>
      <c r="AH232" s="327" t="b">
        <f t="shared" ca="1" si="23"/>
        <v>0</v>
      </c>
      <c r="AI232" s="327" t="b">
        <f>OR(Table17[[#This Row],[Priority]]="04. High",Table17[[#This Row],[Priority]]="05. Critical",Table17[[#This Row],[Priority]]="03. Moderate")</f>
        <v>0</v>
      </c>
      <c r="AJ232" s="185"/>
      <c r="AK232" s="185"/>
      <c r="AL232" s="185"/>
      <c r="AM232" s="185"/>
      <c r="AN232" s="185"/>
      <c r="AO232" s="185"/>
      <c r="AP232" s="185"/>
      <c r="AQ232" s="185"/>
      <c r="AR232" s="185"/>
      <c r="AS232" s="185"/>
      <c r="AT232" s="185"/>
      <c r="AU232" s="185"/>
      <c r="AV232" s="185"/>
      <c r="AW232" s="185"/>
      <c r="AX232" s="185"/>
      <c r="AY232" s="185"/>
      <c r="AZ232" s="185"/>
      <c r="BA232" s="185"/>
      <c r="BB232" s="185"/>
      <c r="BC232" s="185"/>
      <c r="BD232" s="185"/>
      <c r="BE232" s="185"/>
      <c r="BF232" s="185"/>
      <c r="BG232" s="185"/>
      <c r="BH232" s="185"/>
      <c r="BI232" s="185"/>
      <c r="BJ232" s="185"/>
      <c r="BK232" s="185"/>
      <c r="BL232" s="185"/>
      <c r="BM232" s="185"/>
      <c r="BN232" s="185"/>
      <c r="BO232" s="185"/>
      <c r="BP232" s="185"/>
      <c r="BQ232" s="185"/>
      <c r="BR232" s="185"/>
      <c r="BS232" s="185"/>
      <c r="BT232" s="185"/>
      <c r="BU232" s="185"/>
      <c r="BV232" s="185"/>
      <c r="BW232" s="185"/>
      <c r="BX232" s="185"/>
      <c r="BY232" s="185"/>
      <c r="BZ232" s="185"/>
      <c r="CA232" s="185"/>
      <c r="CB232" s="185"/>
      <c r="CC232" s="185"/>
      <c r="CD232" s="185"/>
      <c r="CE232" s="185"/>
      <c r="CF232" s="185"/>
      <c r="CG232" s="185"/>
      <c r="CH232" s="185"/>
      <c r="CI232" s="185"/>
      <c r="CJ232" s="185"/>
      <c r="CK232" s="185"/>
      <c r="CL232" s="185"/>
      <c r="CM232" s="185"/>
      <c r="CN232" s="185"/>
      <c r="CO232" s="185"/>
      <c r="CP232" s="185"/>
      <c r="CQ232" s="185"/>
      <c r="CR232" s="185"/>
      <c r="CS232" s="185"/>
      <c r="CT232" s="185"/>
      <c r="CU232" s="185"/>
      <c r="CV232" s="185"/>
      <c r="CW232" s="185"/>
      <c r="CX232" s="185"/>
      <c r="CY232" s="185"/>
      <c r="CZ232" s="185"/>
      <c r="DA232" s="185"/>
      <c r="DB232" s="185"/>
      <c r="DC232" s="185"/>
      <c r="DD232" s="185"/>
      <c r="DE232" s="185"/>
      <c r="DF232" s="185"/>
      <c r="DG232" s="185"/>
      <c r="DH232" s="185"/>
      <c r="DI232" s="185"/>
      <c r="DJ232" s="185"/>
      <c r="DK232" s="185"/>
      <c r="DL232" s="185"/>
      <c r="DM232" s="185"/>
      <c r="DN232" s="185"/>
      <c r="DO232" s="185"/>
      <c r="DP232" s="185"/>
      <c r="DQ232" s="185"/>
      <c r="DR232" s="185"/>
      <c r="DS232" s="185"/>
      <c r="DT232" s="185"/>
      <c r="DU232" s="185"/>
      <c r="DV232" s="185"/>
      <c r="DW232" s="185"/>
      <c r="DX232" s="185"/>
      <c r="DY232" s="185"/>
      <c r="DZ232" s="185"/>
      <c r="EA232" s="185"/>
      <c r="EB232" s="185"/>
      <c r="EC232" s="185"/>
      <c r="ED232" s="185"/>
      <c r="EE232" s="185"/>
      <c r="EF232" s="185"/>
      <c r="EG232" s="185"/>
      <c r="EH232" s="185"/>
      <c r="EI232" s="185"/>
      <c r="EJ232" s="185"/>
      <c r="EK232" s="185"/>
      <c r="EL232" s="185"/>
      <c r="EM232" s="185"/>
      <c r="EN232" s="185"/>
      <c r="EO232" s="185"/>
      <c r="EP232" s="185"/>
      <c r="EQ232" s="185"/>
      <c r="ER232" s="185"/>
      <c r="ES232" s="185"/>
      <c r="ET232" s="185"/>
      <c r="EU232" s="185"/>
      <c r="EV232" s="185"/>
      <c r="EW232" s="185"/>
      <c r="EX232" s="185"/>
      <c r="EY232" s="185"/>
      <c r="EZ232" s="185"/>
      <c r="FA232" s="185"/>
      <c r="FB232" s="185"/>
      <c r="FC232" s="185"/>
      <c r="FD232" s="185"/>
      <c r="FE232" s="185"/>
      <c r="FF232" s="185"/>
      <c r="FG232" s="185"/>
      <c r="FH232" s="185"/>
      <c r="FI232" s="185"/>
      <c r="FJ232" s="185"/>
      <c r="FK232" s="185"/>
    </row>
    <row r="233" spans="1:171" s="186" customFormat="1">
      <c r="A233" s="177"/>
      <c r="B233" s="187"/>
      <c r="C233" s="175"/>
      <c r="D233" s="175"/>
      <c r="E233" s="184"/>
      <c r="F233" s="177"/>
      <c r="G233" s="184"/>
      <c r="H233" s="184"/>
      <c r="I233" s="184"/>
      <c r="J233" s="184"/>
      <c r="K233" s="184"/>
      <c r="L233" s="196"/>
      <c r="M233" s="189"/>
      <c r="N233" s="196"/>
      <c r="O233" s="196"/>
      <c r="P233" s="189"/>
      <c r="Q233" s="187"/>
      <c r="R233" s="187"/>
      <c r="S233" s="196"/>
      <c r="T233" s="184"/>
      <c r="U233" s="184"/>
      <c r="V233" s="184"/>
      <c r="W233" s="183"/>
      <c r="X233" s="185"/>
      <c r="Y233" s="176" t="str">
        <f>IF(Table17[[#This Row],[Required Resolution Date]]="","FALSE",IF($AA$1&gt;Table17[[#This Row],[Required Resolution Date]],"TRUE","FALSE"))</f>
        <v>FALSE</v>
      </c>
      <c r="Z233" s="175">
        <f t="shared" si="24"/>
        <v>0</v>
      </c>
      <c r="AA233" s="185"/>
      <c r="AB233" s="327" t="b">
        <f>OR(Table17[[#This Row],[Priority]]="04. High",Table17[[#This Row],[Priority]]="05. Critical")</f>
        <v>0</v>
      </c>
      <c r="AC233" s="284">
        <f ca="1">$AA$1-Table17[[#This Row],[Date captured]]</f>
        <v>40990</v>
      </c>
      <c r="AD233" s="327" t="b">
        <f t="shared" ca="1" si="20"/>
        <v>0</v>
      </c>
      <c r="AE233" s="327" t="b">
        <f t="shared" ca="1" si="21"/>
        <v>0</v>
      </c>
      <c r="AF233" s="327" t="b">
        <f t="shared" ca="1" si="22"/>
        <v>1</v>
      </c>
      <c r="AG233" s="284">
        <f ca="1">Table17[[#This Row],[Required Resolution Date]]-$AA$1</f>
        <v>-40990</v>
      </c>
      <c r="AH233" s="327" t="b">
        <f t="shared" ca="1" si="23"/>
        <v>0</v>
      </c>
      <c r="AI233" s="327" t="b">
        <f>OR(Table17[[#This Row],[Priority]]="04. High",Table17[[#This Row],[Priority]]="05. Critical",Table17[[#This Row],[Priority]]="03. Moderate")</f>
        <v>0</v>
      </c>
      <c r="AJ233" s="185"/>
      <c r="AK233" s="185"/>
      <c r="AL233" s="185"/>
      <c r="AM233" s="185"/>
      <c r="AN233" s="185"/>
      <c r="AO233" s="185"/>
      <c r="AP233" s="185"/>
      <c r="AQ233" s="185"/>
      <c r="AR233" s="185"/>
      <c r="AS233" s="185"/>
      <c r="AT233" s="185"/>
      <c r="AU233" s="185"/>
      <c r="AV233" s="185"/>
      <c r="AW233" s="185"/>
      <c r="AX233" s="185"/>
      <c r="AY233" s="185"/>
      <c r="AZ233" s="185"/>
      <c r="BA233" s="185"/>
      <c r="BB233" s="185"/>
      <c r="BC233" s="185"/>
      <c r="BD233" s="185"/>
      <c r="BE233" s="185"/>
      <c r="BF233" s="185"/>
      <c r="BG233" s="185"/>
      <c r="BH233" s="185"/>
      <c r="BI233" s="185"/>
      <c r="BJ233" s="185"/>
      <c r="BK233" s="185"/>
      <c r="BL233" s="185"/>
      <c r="BM233" s="185"/>
      <c r="BN233" s="185"/>
      <c r="BO233" s="185"/>
      <c r="BP233" s="185"/>
      <c r="BQ233" s="185"/>
      <c r="BR233" s="185"/>
      <c r="BS233" s="185"/>
      <c r="BT233" s="185"/>
      <c r="BU233" s="185"/>
      <c r="BV233" s="185"/>
      <c r="BW233" s="185"/>
      <c r="BX233" s="185"/>
      <c r="BY233" s="185"/>
      <c r="BZ233" s="185"/>
      <c r="CA233" s="185"/>
      <c r="CB233" s="185"/>
      <c r="CC233" s="185"/>
      <c r="CD233" s="185"/>
      <c r="CE233" s="185"/>
      <c r="CF233" s="185"/>
      <c r="CG233" s="185"/>
      <c r="CH233" s="185"/>
      <c r="CI233" s="185"/>
      <c r="CJ233" s="185"/>
      <c r="CK233" s="185"/>
      <c r="CL233" s="185"/>
      <c r="CM233" s="185"/>
      <c r="CN233" s="185"/>
      <c r="CO233" s="185"/>
      <c r="CP233" s="185"/>
      <c r="CQ233" s="185"/>
      <c r="CR233" s="185"/>
      <c r="CS233" s="185"/>
      <c r="CT233" s="185"/>
      <c r="CU233" s="185"/>
      <c r="CV233" s="185"/>
      <c r="CW233" s="185"/>
      <c r="CX233" s="185"/>
      <c r="CY233" s="185"/>
      <c r="CZ233" s="185"/>
      <c r="DA233" s="185"/>
      <c r="DB233" s="185"/>
      <c r="DC233" s="185"/>
      <c r="DD233" s="185"/>
      <c r="DE233" s="185"/>
      <c r="DF233" s="185"/>
      <c r="DG233" s="185"/>
      <c r="DH233" s="185"/>
      <c r="DI233" s="185"/>
      <c r="DJ233" s="185"/>
      <c r="DK233" s="185"/>
      <c r="DL233" s="185"/>
      <c r="DM233" s="185"/>
      <c r="DN233" s="185"/>
      <c r="DO233" s="185"/>
      <c r="DP233" s="185"/>
      <c r="DQ233" s="185"/>
      <c r="DR233" s="185"/>
      <c r="DS233" s="185"/>
      <c r="DT233" s="185"/>
      <c r="DU233" s="185"/>
      <c r="DV233" s="185"/>
      <c r="DW233" s="185"/>
      <c r="DX233" s="185"/>
      <c r="DY233" s="185"/>
      <c r="DZ233" s="185"/>
      <c r="EA233" s="185"/>
      <c r="EB233" s="185"/>
      <c r="EC233" s="185"/>
      <c r="ED233" s="185"/>
      <c r="EE233" s="185"/>
      <c r="EF233" s="185"/>
      <c r="EG233" s="185"/>
      <c r="EH233" s="185"/>
      <c r="EI233" s="185"/>
      <c r="EJ233" s="185"/>
      <c r="EK233" s="185"/>
      <c r="EL233" s="185"/>
      <c r="EM233" s="185"/>
      <c r="EN233" s="185"/>
      <c r="EO233" s="185"/>
      <c r="EP233" s="185"/>
      <c r="EQ233" s="185"/>
      <c r="ER233" s="185"/>
      <c r="ES233" s="185"/>
      <c r="ET233" s="185"/>
      <c r="EU233" s="185"/>
      <c r="EV233" s="185"/>
      <c r="EW233" s="185"/>
      <c r="EX233" s="185"/>
      <c r="EY233" s="185"/>
      <c r="EZ233" s="185"/>
      <c r="FA233" s="185"/>
      <c r="FB233" s="185"/>
      <c r="FC233" s="185"/>
      <c r="FD233" s="185"/>
      <c r="FE233" s="185"/>
      <c r="FF233" s="185"/>
      <c r="FG233" s="185"/>
      <c r="FH233" s="185"/>
      <c r="FI233" s="185"/>
      <c r="FJ233" s="185"/>
      <c r="FK233" s="185"/>
    </row>
    <row r="234" spans="1:171" s="186" customFormat="1" ht="43.5" customHeight="1">
      <c r="A234" s="202"/>
      <c r="B234" s="203"/>
      <c r="C234" s="204"/>
      <c r="D234" s="204"/>
      <c r="E234" s="205"/>
      <c r="F234" s="202"/>
      <c r="G234" s="184"/>
      <c r="H234" s="184"/>
      <c r="I234" s="184"/>
      <c r="J234" s="184"/>
      <c r="K234" s="184"/>
      <c r="L234" s="196"/>
      <c r="M234" s="344"/>
      <c r="N234" s="206"/>
      <c r="O234" s="206"/>
      <c r="P234" s="344"/>
      <c r="Q234" s="203"/>
      <c r="R234" s="203"/>
      <c r="S234" s="206"/>
      <c r="T234" s="205"/>
      <c r="U234" s="205"/>
      <c r="V234" s="205"/>
      <c r="W234" s="207"/>
      <c r="X234" s="185"/>
      <c r="Y234" s="176" t="str">
        <f>IF(Table17[[#This Row],[Required Resolution Date]]="","FALSE",IF($AA$1&gt;Table17[[#This Row],[Required Resolution Date]],"TRUE","FALSE"))</f>
        <v>FALSE</v>
      </c>
      <c r="Z234" s="175">
        <f t="shared" si="24"/>
        <v>0</v>
      </c>
      <c r="AA234" s="185"/>
      <c r="AB234" s="327" t="b">
        <f>OR(Table17[[#This Row],[Priority]]="04. High",Table17[[#This Row],[Priority]]="05. Critical")</f>
        <v>0</v>
      </c>
      <c r="AC234" s="284">
        <f ca="1">$AA$1-Table17[[#This Row],[Date captured]]</f>
        <v>40990</v>
      </c>
      <c r="AD234" s="327" t="b">
        <f t="shared" ca="1" si="20"/>
        <v>0</v>
      </c>
      <c r="AE234" s="327" t="b">
        <f t="shared" ca="1" si="21"/>
        <v>0</v>
      </c>
      <c r="AF234" s="327" t="b">
        <f t="shared" ca="1" si="22"/>
        <v>1</v>
      </c>
      <c r="AG234" s="284">
        <f ca="1">Table17[[#This Row],[Required Resolution Date]]-$AA$1</f>
        <v>-40990</v>
      </c>
      <c r="AH234" s="327" t="b">
        <f t="shared" ca="1" si="23"/>
        <v>0</v>
      </c>
      <c r="AI234" s="327" t="b">
        <f>OR(Table17[[#This Row],[Priority]]="04. High",Table17[[#This Row],[Priority]]="05. Critical",Table17[[#This Row],[Priority]]="03. Moderate")</f>
        <v>0</v>
      </c>
      <c r="AJ234" s="185"/>
      <c r="AK234" s="185"/>
      <c r="AL234" s="185"/>
      <c r="AM234" s="185"/>
      <c r="AN234" s="185"/>
      <c r="AO234" s="185"/>
      <c r="AP234" s="185"/>
      <c r="AQ234" s="185"/>
      <c r="AR234" s="185"/>
      <c r="AS234" s="185"/>
      <c r="AT234" s="185"/>
      <c r="AU234" s="185"/>
      <c r="AV234" s="185"/>
      <c r="AW234" s="185"/>
      <c r="AX234" s="185"/>
      <c r="AY234" s="185"/>
      <c r="AZ234" s="185"/>
      <c r="BA234" s="185"/>
      <c r="BB234" s="185"/>
      <c r="BC234" s="185"/>
      <c r="BD234" s="185"/>
      <c r="BE234" s="185"/>
      <c r="BF234" s="185"/>
      <c r="BG234" s="185"/>
      <c r="BH234" s="185"/>
      <c r="BI234" s="185"/>
      <c r="BJ234" s="185"/>
      <c r="BK234" s="185"/>
      <c r="BL234" s="185"/>
      <c r="BM234" s="185"/>
      <c r="BN234" s="185"/>
      <c r="BO234" s="185"/>
      <c r="BP234" s="185"/>
      <c r="BQ234" s="185"/>
      <c r="BR234" s="185"/>
      <c r="BS234" s="185"/>
      <c r="BT234" s="185"/>
      <c r="BU234" s="185"/>
      <c r="BV234" s="185"/>
      <c r="BW234" s="185"/>
      <c r="BX234" s="185"/>
      <c r="BY234" s="185"/>
      <c r="BZ234" s="185"/>
      <c r="CA234" s="185"/>
      <c r="CB234" s="185"/>
      <c r="CC234" s="185"/>
      <c r="CD234" s="185"/>
      <c r="CE234" s="185"/>
      <c r="CF234" s="185"/>
      <c r="CG234" s="185"/>
      <c r="CH234" s="185"/>
      <c r="CI234" s="185"/>
      <c r="CJ234" s="185"/>
      <c r="CK234" s="185"/>
      <c r="CL234" s="185"/>
      <c r="CM234" s="185"/>
      <c r="CN234" s="185"/>
      <c r="CO234" s="185"/>
      <c r="CP234" s="185"/>
      <c r="CQ234" s="185"/>
      <c r="CR234" s="185"/>
      <c r="CS234" s="185"/>
      <c r="CT234" s="185"/>
      <c r="CU234" s="185"/>
      <c r="CV234" s="185"/>
      <c r="CW234" s="185"/>
      <c r="CX234" s="185"/>
      <c r="CY234" s="185"/>
      <c r="CZ234" s="185"/>
      <c r="DA234" s="185"/>
      <c r="DB234" s="185"/>
      <c r="DC234" s="185"/>
      <c r="DD234" s="185"/>
      <c r="DE234" s="185"/>
      <c r="DF234" s="185"/>
      <c r="DG234" s="185"/>
      <c r="DH234" s="185"/>
      <c r="DI234" s="185"/>
      <c r="DJ234" s="185"/>
      <c r="DK234" s="185"/>
      <c r="DL234" s="185"/>
      <c r="DM234" s="185"/>
      <c r="DN234" s="185"/>
      <c r="DO234" s="185"/>
      <c r="DP234" s="185"/>
      <c r="DQ234" s="185"/>
      <c r="DR234" s="185"/>
      <c r="DS234" s="185"/>
      <c r="DT234" s="185"/>
      <c r="DU234" s="185"/>
      <c r="DV234" s="185"/>
      <c r="DW234" s="185"/>
      <c r="DX234" s="185"/>
      <c r="DY234" s="185"/>
      <c r="DZ234" s="185"/>
      <c r="EA234" s="185"/>
      <c r="EB234" s="185"/>
      <c r="EC234" s="185"/>
      <c r="ED234" s="185"/>
      <c r="EE234" s="185"/>
      <c r="EF234" s="185"/>
      <c r="EG234" s="185"/>
      <c r="EH234" s="185"/>
      <c r="EI234" s="185"/>
      <c r="EJ234" s="185"/>
      <c r="EK234" s="185"/>
      <c r="EL234" s="185"/>
      <c r="EM234" s="185"/>
      <c r="EN234" s="185"/>
      <c r="EO234" s="185"/>
      <c r="EP234" s="185"/>
      <c r="EQ234" s="185"/>
      <c r="ER234" s="185"/>
      <c r="ES234" s="185"/>
      <c r="ET234" s="185"/>
      <c r="EU234" s="185"/>
      <c r="EV234" s="185"/>
      <c r="EW234" s="185"/>
      <c r="EX234" s="185"/>
      <c r="EY234" s="185"/>
      <c r="EZ234" s="185"/>
      <c r="FA234" s="185"/>
      <c r="FB234" s="185"/>
      <c r="FC234" s="185"/>
      <c r="FD234" s="185"/>
      <c r="FE234" s="185"/>
      <c r="FF234" s="185"/>
      <c r="FG234" s="185"/>
      <c r="FH234" s="185"/>
      <c r="FI234" s="185"/>
      <c r="FJ234" s="185"/>
      <c r="FK234" s="185"/>
      <c r="FL234" s="185"/>
      <c r="FM234" s="185"/>
      <c r="FN234" s="185"/>
      <c r="FO234" s="185"/>
    </row>
  </sheetData>
  <conditionalFormatting sqref="L53:L83 L85:L234 M100 M125 K126:L127 K130:L130 K134:L134 K136:L136 L3:L51 K2:K234">
    <cfRule type="containsText" dxfId="76" priority="27" operator="containsText" text="05. Critical">
      <formula>NOT(ISERROR(SEARCH("05. Critical",K2)))</formula>
    </cfRule>
    <cfRule type="containsText" dxfId="75" priority="28" operator="containsText" text="04. High">
      <formula>NOT(ISERROR(SEARCH("04. High",K2)))</formula>
    </cfRule>
    <cfRule type="containsText" dxfId="74" priority="29" operator="containsText" text="03. Moderate">
      <formula>NOT(ISERROR(SEARCH("03. Moderate",K2)))</formula>
    </cfRule>
    <cfRule type="containsText" dxfId="73" priority="30" operator="containsText" text="02. Minor">
      <formula>NOT(ISERROR(SEARCH("02. Minor",K2)))</formula>
    </cfRule>
  </conditionalFormatting>
  <conditionalFormatting sqref="L118:M118">
    <cfRule type="containsText" dxfId="72" priority="16" operator="containsText" text="04. High">
      <formula>NOT(ISERROR(SEARCH("04. High",L118)))</formula>
    </cfRule>
    <cfRule type="containsText" dxfId="71" priority="17" operator="containsText" text="03. Medium">
      <formula>NOT(ISERROR(SEARCH("03. Medium",L118)))</formula>
    </cfRule>
    <cfRule type="containsText" dxfId="70" priority="18" operator="containsText" text="02. Low">
      <formula>NOT(ISERROR(SEARCH("02. Low",L118)))</formula>
    </cfRule>
  </conditionalFormatting>
  <dataValidations count="8">
    <dataValidation type="list" allowBlank="1" showInputMessage="1" showErrorMessage="1" sqref="WVT983238:WVT1048576 WVT234:WVT65730 WCB234:WCB65730 VSF234:VSF65730 VIJ234:VIJ65730 UYN234:UYN65730 UOR234:UOR65730 UEV234:UEV65730 TUZ234:TUZ65730 TLD234:TLD65730 TBH234:TBH65730 SRL234:SRL65730 SHP234:SHP65730 RXT234:RXT65730 RNX234:RNX65730 REB234:REB65730 QUF234:QUF65730 QKJ234:QKJ65730 QAN234:QAN65730 PQR234:PQR65730 PGV234:PGV65730 OWZ234:OWZ65730 OND234:OND65730 ODH234:ODH65730 NTL234:NTL65730 NJP234:NJP65730 MZT234:MZT65730 MPX234:MPX65730 MGB234:MGB65730 LWF234:LWF65730 LMJ234:LMJ65730 LCN234:LCN65730 KSR234:KSR65730 KIV234:KIV65730 JYZ234:JYZ65730 JPD234:JPD65730 JFH234:JFH65730 IVL234:IVL65730 ILP234:ILP65730 IBT234:IBT65730 HRX234:HRX65730 HIB234:HIB65730 GYF234:GYF65730 GOJ234:GOJ65730 GEN234:GEN65730 FUR234:FUR65730 FKV234:FKV65730 FAZ234:FAZ65730 ERD234:ERD65730 EHH234:EHH65730 DXL234:DXL65730 DNP234:DNP65730 DDT234:DDT65730 CTX234:CTX65730 CKB234:CKB65730 CAF234:CAF65730 BQJ234:BQJ65730 BGN234:BGN65730 AWR234:AWR65730 AMV234:AMV65730 ACZ234:ACZ65730 TD234:TD65730 JH234:JH65730 WLX234:WLX65730 QKF2:QKF233 QAJ2:QAJ233 PQN2:PQN233 PGR2:PGR233 OWV2:OWV233 OMZ2:OMZ233 ODD2:ODD233 NTH2:NTH233 NJL2:NJL233 MZP2:MZP233 MPT2:MPT233 MFX2:MFX233 LWB2:LWB233 LMF2:LMF233 LCJ2:LCJ233 KSN2:KSN233 KIR2:KIR233 JYV2:JYV233 JOZ2:JOZ233 JFD2:JFD233 IVH2:IVH233 ILL2:ILL233 IBP2:IBP233 HRT2:HRT233 HHX2:HHX233 GYB2:GYB233 GOF2:GOF233 GEJ2:GEJ233 FUN2:FUN233 FKR2:FKR233 FAV2:FAV233 EQZ2:EQZ233 EHD2:EHD233 DXH2:DXH233 DNL2:DNL233 DDP2:DDP233 CTT2:CTT233 CJX2:CJX233 CAB2:CAB233 BQF2:BQF233 BGJ2:BGJ233 AWN2:AWN233 AMR2:AMR233 ACV2:ACV233 SZ2:SZ233 JD2:JD233 WLT2:WLT233 WVP2:WVP233 WBX2:WBX233 VSB2:VSB233 VIF2:VIF233 UYJ2:UYJ233 UON2:UON233 UER2:UER233 TUV2:TUV233 TKZ2:TKZ233 TBD2:TBD233 SRH2:SRH233 SHL2:SHL233 RXP2:RXP233 RNT2:RNT233 RDX2:RDX233 QUB2:QUB233 JH65734:JH131266 TD65734:TD131266 ACZ65734:ACZ131266 AMV65734:AMV131266 AWR65734:AWR131266 BGN65734:BGN131266 BQJ65734:BQJ131266 CAF65734:CAF131266 CKB65734:CKB131266 CTX65734:CTX131266 DDT65734:DDT131266 DNP65734:DNP131266 DXL65734:DXL131266 EHH65734:EHH131266 ERD65734:ERD131266 FAZ65734:FAZ131266 FKV65734:FKV131266 FUR65734:FUR131266 GEN65734:GEN131266 GOJ65734:GOJ131266 GYF65734:GYF131266 HIB65734:HIB131266 HRX65734:HRX131266 IBT65734:IBT131266 ILP65734:ILP131266 IVL65734:IVL131266 JFH65734:JFH131266 JPD65734:JPD131266 JYZ65734:JYZ131266 KIV65734:KIV131266 KSR65734:KSR131266 LCN65734:LCN131266 LMJ65734:LMJ131266 LWF65734:LWF131266 MGB65734:MGB131266 MPX65734:MPX131266 MZT65734:MZT131266 NJP65734:NJP131266 NTL65734:NTL131266 ODH65734:ODH131266 OND65734:OND131266 OWZ65734:OWZ131266 PGV65734:PGV131266 PQR65734:PQR131266 QAN65734:QAN131266 QKJ65734:QKJ131266 QUF65734:QUF131266 REB65734:REB131266 RNX65734:RNX131266 RXT65734:RXT131266 SHP65734:SHP131266 SRL65734:SRL131266 TBH65734:TBH131266 TLD65734:TLD131266 TUZ65734:TUZ131266 UEV65734:UEV131266 UOR65734:UOR131266 UYN65734:UYN131266 VIJ65734:VIJ131266 VSF65734:VSF131266 WCB65734:WCB131266 WLX65734:WLX131266 WVT65734:WVT131266 JH131270:JH196802 TD131270:TD196802 ACZ131270:ACZ196802 AMV131270:AMV196802 AWR131270:AWR196802 BGN131270:BGN196802 BQJ131270:BQJ196802 CAF131270:CAF196802 CKB131270:CKB196802 CTX131270:CTX196802 DDT131270:DDT196802 DNP131270:DNP196802 DXL131270:DXL196802 EHH131270:EHH196802 ERD131270:ERD196802 FAZ131270:FAZ196802 FKV131270:FKV196802 FUR131270:FUR196802 GEN131270:GEN196802 GOJ131270:GOJ196802 GYF131270:GYF196802 HIB131270:HIB196802 HRX131270:HRX196802 IBT131270:IBT196802 ILP131270:ILP196802 IVL131270:IVL196802 JFH131270:JFH196802 JPD131270:JPD196802 JYZ131270:JYZ196802 KIV131270:KIV196802 KSR131270:KSR196802 LCN131270:LCN196802 LMJ131270:LMJ196802 LWF131270:LWF196802 MGB131270:MGB196802 MPX131270:MPX196802 MZT131270:MZT196802 NJP131270:NJP196802 NTL131270:NTL196802 ODH131270:ODH196802 OND131270:OND196802 OWZ131270:OWZ196802 PGV131270:PGV196802 PQR131270:PQR196802 QAN131270:QAN196802 QKJ131270:QKJ196802 QUF131270:QUF196802 REB131270:REB196802 RNX131270:RNX196802 RXT131270:RXT196802 SHP131270:SHP196802 SRL131270:SRL196802 TBH131270:TBH196802 TLD131270:TLD196802 TUZ131270:TUZ196802 UEV131270:UEV196802 UOR131270:UOR196802 UYN131270:UYN196802 VIJ131270:VIJ196802 VSF131270:VSF196802 WCB131270:WCB196802 WLX131270:WLX196802 WVT131270:WVT196802 JH196806:JH262338 TD196806:TD262338 ACZ196806:ACZ262338 AMV196806:AMV262338 AWR196806:AWR262338 BGN196806:BGN262338 BQJ196806:BQJ262338 CAF196806:CAF262338 CKB196806:CKB262338 CTX196806:CTX262338 DDT196806:DDT262338 DNP196806:DNP262338 DXL196806:DXL262338 EHH196806:EHH262338 ERD196806:ERD262338 FAZ196806:FAZ262338 FKV196806:FKV262338 FUR196806:FUR262338 GEN196806:GEN262338 GOJ196806:GOJ262338 GYF196806:GYF262338 HIB196806:HIB262338 HRX196806:HRX262338 IBT196806:IBT262338 ILP196806:ILP262338 IVL196806:IVL262338 JFH196806:JFH262338 JPD196806:JPD262338 JYZ196806:JYZ262338 KIV196806:KIV262338 KSR196806:KSR262338 LCN196806:LCN262338 LMJ196806:LMJ262338 LWF196806:LWF262338 MGB196806:MGB262338 MPX196806:MPX262338 MZT196806:MZT262338 NJP196806:NJP262338 NTL196806:NTL262338 ODH196806:ODH262338 OND196806:OND262338 OWZ196806:OWZ262338 PGV196806:PGV262338 PQR196806:PQR262338 QAN196806:QAN262338 QKJ196806:QKJ262338 QUF196806:QUF262338 REB196806:REB262338 RNX196806:RNX262338 RXT196806:RXT262338 SHP196806:SHP262338 SRL196806:SRL262338 TBH196806:TBH262338 TLD196806:TLD262338 TUZ196806:TUZ262338 UEV196806:UEV262338 UOR196806:UOR262338 UYN196806:UYN262338 VIJ196806:VIJ262338 VSF196806:VSF262338 WCB196806:WCB262338 WLX196806:WLX262338 WVT196806:WVT262338 JH262342:JH327874 TD262342:TD327874 ACZ262342:ACZ327874 AMV262342:AMV327874 AWR262342:AWR327874 BGN262342:BGN327874 BQJ262342:BQJ327874 CAF262342:CAF327874 CKB262342:CKB327874 CTX262342:CTX327874 DDT262342:DDT327874 DNP262342:DNP327874 DXL262342:DXL327874 EHH262342:EHH327874 ERD262342:ERD327874 FAZ262342:FAZ327874 FKV262342:FKV327874 FUR262342:FUR327874 GEN262342:GEN327874 GOJ262342:GOJ327874 GYF262342:GYF327874 HIB262342:HIB327874 HRX262342:HRX327874 IBT262342:IBT327874 ILP262342:ILP327874 IVL262342:IVL327874 JFH262342:JFH327874 JPD262342:JPD327874 JYZ262342:JYZ327874 KIV262342:KIV327874 KSR262342:KSR327874 LCN262342:LCN327874 LMJ262342:LMJ327874 LWF262342:LWF327874 MGB262342:MGB327874 MPX262342:MPX327874 MZT262342:MZT327874 NJP262342:NJP327874 NTL262342:NTL327874 ODH262342:ODH327874 OND262342:OND327874 OWZ262342:OWZ327874 PGV262342:PGV327874 PQR262342:PQR327874 QAN262342:QAN327874 QKJ262342:QKJ327874 QUF262342:QUF327874 REB262342:REB327874 RNX262342:RNX327874 RXT262342:RXT327874 SHP262342:SHP327874 SRL262342:SRL327874 TBH262342:TBH327874 TLD262342:TLD327874 TUZ262342:TUZ327874 UEV262342:UEV327874 UOR262342:UOR327874 UYN262342:UYN327874 VIJ262342:VIJ327874 VSF262342:VSF327874 WCB262342:WCB327874 WLX262342:WLX327874 WVT262342:WVT327874 JH327878:JH393410 TD327878:TD393410 ACZ327878:ACZ393410 AMV327878:AMV393410 AWR327878:AWR393410 BGN327878:BGN393410 BQJ327878:BQJ393410 CAF327878:CAF393410 CKB327878:CKB393410 CTX327878:CTX393410 DDT327878:DDT393410 DNP327878:DNP393410 DXL327878:DXL393410 EHH327878:EHH393410 ERD327878:ERD393410 FAZ327878:FAZ393410 FKV327878:FKV393410 FUR327878:FUR393410 GEN327878:GEN393410 GOJ327878:GOJ393410 GYF327878:GYF393410 HIB327878:HIB393410 HRX327878:HRX393410 IBT327878:IBT393410 ILP327878:ILP393410 IVL327878:IVL393410 JFH327878:JFH393410 JPD327878:JPD393410 JYZ327878:JYZ393410 KIV327878:KIV393410 KSR327878:KSR393410 LCN327878:LCN393410 LMJ327878:LMJ393410 LWF327878:LWF393410 MGB327878:MGB393410 MPX327878:MPX393410 MZT327878:MZT393410 NJP327878:NJP393410 NTL327878:NTL393410 ODH327878:ODH393410 OND327878:OND393410 OWZ327878:OWZ393410 PGV327878:PGV393410 PQR327878:PQR393410 QAN327878:QAN393410 QKJ327878:QKJ393410 QUF327878:QUF393410 REB327878:REB393410 RNX327878:RNX393410 RXT327878:RXT393410 SHP327878:SHP393410 SRL327878:SRL393410 TBH327878:TBH393410 TLD327878:TLD393410 TUZ327878:TUZ393410 UEV327878:UEV393410 UOR327878:UOR393410 UYN327878:UYN393410 VIJ327878:VIJ393410 VSF327878:VSF393410 WCB327878:WCB393410 WLX327878:WLX393410 WVT327878:WVT393410 JH393414:JH458946 TD393414:TD458946 ACZ393414:ACZ458946 AMV393414:AMV458946 AWR393414:AWR458946 BGN393414:BGN458946 BQJ393414:BQJ458946 CAF393414:CAF458946 CKB393414:CKB458946 CTX393414:CTX458946 DDT393414:DDT458946 DNP393414:DNP458946 DXL393414:DXL458946 EHH393414:EHH458946 ERD393414:ERD458946 FAZ393414:FAZ458946 FKV393414:FKV458946 FUR393414:FUR458946 GEN393414:GEN458946 GOJ393414:GOJ458946 GYF393414:GYF458946 HIB393414:HIB458946 HRX393414:HRX458946 IBT393414:IBT458946 ILP393414:ILP458946 IVL393414:IVL458946 JFH393414:JFH458946 JPD393414:JPD458946 JYZ393414:JYZ458946 KIV393414:KIV458946 KSR393414:KSR458946 LCN393414:LCN458946 LMJ393414:LMJ458946 LWF393414:LWF458946 MGB393414:MGB458946 MPX393414:MPX458946 MZT393414:MZT458946 NJP393414:NJP458946 NTL393414:NTL458946 ODH393414:ODH458946 OND393414:OND458946 OWZ393414:OWZ458946 PGV393414:PGV458946 PQR393414:PQR458946 QAN393414:QAN458946 QKJ393414:QKJ458946 QUF393414:QUF458946 REB393414:REB458946 RNX393414:RNX458946 RXT393414:RXT458946 SHP393414:SHP458946 SRL393414:SRL458946 TBH393414:TBH458946 TLD393414:TLD458946 TUZ393414:TUZ458946 UEV393414:UEV458946 UOR393414:UOR458946 UYN393414:UYN458946 VIJ393414:VIJ458946 VSF393414:VSF458946 WCB393414:WCB458946 WLX393414:WLX458946 WVT393414:WVT458946 JH458950:JH524482 TD458950:TD524482 ACZ458950:ACZ524482 AMV458950:AMV524482 AWR458950:AWR524482 BGN458950:BGN524482 BQJ458950:BQJ524482 CAF458950:CAF524482 CKB458950:CKB524482 CTX458950:CTX524482 DDT458950:DDT524482 DNP458950:DNP524482 DXL458950:DXL524482 EHH458950:EHH524482 ERD458950:ERD524482 FAZ458950:FAZ524482 FKV458950:FKV524482 FUR458950:FUR524482 GEN458950:GEN524482 GOJ458950:GOJ524482 GYF458950:GYF524482 HIB458950:HIB524482 HRX458950:HRX524482 IBT458950:IBT524482 ILP458950:ILP524482 IVL458950:IVL524482 JFH458950:JFH524482 JPD458950:JPD524482 JYZ458950:JYZ524482 KIV458950:KIV524482 KSR458950:KSR524482 LCN458950:LCN524482 LMJ458950:LMJ524482 LWF458950:LWF524482 MGB458950:MGB524482 MPX458950:MPX524482 MZT458950:MZT524482 NJP458950:NJP524482 NTL458950:NTL524482 ODH458950:ODH524482 OND458950:OND524482 OWZ458950:OWZ524482 PGV458950:PGV524482 PQR458950:PQR524482 QAN458950:QAN524482 QKJ458950:QKJ524482 QUF458950:QUF524482 REB458950:REB524482 RNX458950:RNX524482 RXT458950:RXT524482 SHP458950:SHP524482 SRL458950:SRL524482 TBH458950:TBH524482 TLD458950:TLD524482 TUZ458950:TUZ524482 UEV458950:UEV524482 UOR458950:UOR524482 UYN458950:UYN524482 VIJ458950:VIJ524482 VSF458950:VSF524482 WCB458950:WCB524482 WLX458950:WLX524482 WVT458950:WVT524482 JH524486:JH590018 TD524486:TD590018 ACZ524486:ACZ590018 AMV524486:AMV590018 AWR524486:AWR590018 BGN524486:BGN590018 BQJ524486:BQJ590018 CAF524486:CAF590018 CKB524486:CKB590018 CTX524486:CTX590018 DDT524486:DDT590018 DNP524486:DNP590018 DXL524486:DXL590018 EHH524486:EHH590018 ERD524486:ERD590018 FAZ524486:FAZ590018 FKV524486:FKV590018 FUR524486:FUR590018 GEN524486:GEN590018 GOJ524486:GOJ590018 GYF524486:GYF590018 HIB524486:HIB590018 HRX524486:HRX590018 IBT524486:IBT590018 ILP524486:ILP590018 IVL524486:IVL590018 JFH524486:JFH590018 JPD524486:JPD590018 JYZ524486:JYZ590018 KIV524486:KIV590018 KSR524486:KSR590018 LCN524486:LCN590018 LMJ524486:LMJ590018 LWF524486:LWF590018 MGB524486:MGB590018 MPX524486:MPX590018 MZT524486:MZT590018 NJP524486:NJP590018 NTL524486:NTL590018 ODH524486:ODH590018 OND524486:OND590018 OWZ524486:OWZ590018 PGV524486:PGV590018 PQR524486:PQR590018 QAN524486:QAN590018 QKJ524486:QKJ590018 QUF524486:QUF590018 REB524486:REB590018 RNX524486:RNX590018 RXT524486:RXT590018 SHP524486:SHP590018 SRL524486:SRL590018 TBH524486:TBH590018 TLD524486:TLD590018 TUZ524486:TUZ590018 UEV524486:UEV590018 UOR524486:UOR590018 UYN524486:UYN590018 VIJ524486:VIJ590018 VSF524486:VSF590018 WCB524486:WCB590018 WLX524486:WLX590018 WVT524486:WVT590018 JH590022:JH655554 TD590022:TD655554 ACZ590022:ACZ655554 AMV590022:AMV655554 AWR590022:AWR655554 BGN590022:BGN655554 BQJ590022:BQJ655554 CAF590022:CAF655554 CKB590022:CKB655554 CTX590022:CTX655554 DDT590022:DDT655554 DNP590022:DNP655554 DXL590022:DXL655554 EHH590022:EHH655554 ERD590022:ERD655554 FAZ590022:FAZ655554 FKV590022:FKV655554 FUR590022:FUR655554 GEN590022:GEN655554 GOJ590022:GOJ655554 GYF590022:GYF655554 HIB590022:HIB655554 HRX590022:HRX655554 IBT590022:IBT655554 ILP590022:ILP655554 IVL590022:IVL655554 JFH590022:JFH655554 JPD590022:JPD655554 JYZ590022:JYZ655554 KIV590022:KIV655554 KSR590022:KSR655554 LCN590022:LCN655554 LMJ590022:LMJ655554 LWF590022:LWF655554 MGB590022:MGB655554 MPX590022:MPX655554 MZT590022:MZT655554 NJP590022:NJP655554 NTL590022:NTL655554 ODH590022:ODH655554 OND590022:OND655554 OWZ590022:OWZ655554 PGV590022:PGV655554 PQR590022:PQR655554 QAN590022:QAN655554 QKJ590022:QKJ655554 QUF590022:QUF655554 REB590022:REB655554 RNX590022:RNX655554 RXT590022:RXT655554 SHP590022:SHP655554 SRL590022:SRL655554 TBH590022:TBH655554 TLD590022:TLD655554 TUZ590022:TUZ655554 UEV590022:UEV655554 UOR590022:UOR655554 UYN590022:UYN655554 VIJ590022:VIJ655554 VSF590022:VSF655554 WCB590022:WCB655554 WLX590022:WLX655554 WVT590022:WVT655554 JH655558:JH721090 TD655558:TD721090 ACZ655558:ACZ721090 AMV655558:AMV721090 AWR655558:AWR721090 BGN655558:BGN721090 BQJ655558:BQJ721090 CAF655558:CAF721090 CKB655558:CKB721090 CTX655558:CTX721090 DDT655558:DDT721090 DNP655558:DNP721090 DXL655558:DXL721090 EHH655558:EHH721090 ERD655558:ERD721090 FAZ655558:FAZ721090 FKV655558:FKV721090 FUR655558:FUR721090 GEN655558:GEN721090 GOJ655558:GOJ721090 GYF655558:GYF721090 HIB655558:HIB721090 HRX655558:HRX721090 IBT655558:IBT721090 ILP655558:ILP721090 IVL655558:IVL721090 JFH655558:JFH721090 JPD655558:JPD721090 JYZ655558:JYZ721090 KIV655558:KIV721090 KSR655558:KSR721090 LCN655558:LCN721090 LMJ655558:LMJ721090 LWF655558:LWF721090 MGB655558:MGB721090 MPX655558:MPX721090 MZT655558:MZT721090 NJP655558:NJP721090 NTL655558:NTL721090 ODH655558:ODH721090 OND655558:OND721090 OWZ655558:OWZ721090 PGV655558:PGV721090 PQR655558:PQR721090 QAN655558:QAN721090 QKJ655558:QKJ721090 QUF655558:QUF721090 REB655558:REB721090 RNX655558:RNX721090 RXT655558:RXT721090 SHP655558:SHP721090 SRL655558:SRL721090 TBH655558:TBH721090 TLD655558:TLD721090 TUZ655558:TUZ721090 UEV655558:UEV721090 UOR655558:UOR721090 UYN655558:UYN721090 VIJ655558:VIJ721090 VSF655558:VSF721090 WCB655558:WCB721090 WLX655558:WLX721090 WVT655558:WVT721090 JH721094:JH786626 TD721094:TD786626 ACZ721094:ACZ786626 AMV721094:AMV786626 AWR721094:AWR786626 BGN721094:BGN786626 BQJ721094:BQJ786626 CAF721094:CAF786626 CKB721094:CKB786626 CTX721094:CTX786626 DDT721094:DDT786626 DNP721094:DNP786626 DXL721094:DXL786626 EHH721094:EHH786626 ERD721094:ERD786626 FAZ721094:FAZ786626 FKV721094:FKV786626 FUR721094:FUR786626 GEN721094:GEN786626 GOJ721094:GOJ786626 GYF721094:GYF786626 HIB721094:HIB786626 HRX721094:HRX786626 IBT721094:IBT786626 ILP721094:ILP786626 IVL721094:IVL786626 JFH721094:JFH786626 JPD721094:JPD786626 JYZ721094:JYZ786626 KIV721094:KIV786626 KSR721094:KSR786626 LCN721094:LCN786626 LMJ721094:LMJ786626 LWF721094:LWF786626 MGB721094:MGB786626 MPX721094:MPX786626 MZT721094:MZT786626 NJP721094:NJP786626 NTL721094:NTL786626 ODH721094:ODH786626 OND721094:OND786626 OWZ721094:OWZ786626 PGV721094:PGV786626 PQR721094:PQR786626 QAN721094:QAN786626 QKJ721094:QKJ786626 QUF721094:QUF786626 REB721094:REB786626 RNX721094:RNX786626 RXT721094:RXT786626 SHP721094:SHP786626 SRL721094:SRL786626 TBH721094:TBH786626 TLD721094:TLD786626 TUZ721094:TUZ786626 UEV721094:UEV786626 UOR721094:UOR786626 UYN721094:UYN786626 VIJ721094:VIJ786626 VSF721094:VSF786626 WCB721094:WCB786626 WLX721094:WLX786626 WVT721094:WVT786626 JH786630:JH852162 TD786630:TD852162 ACZ786630:ACZ852162 AMV786630:AMV852162 AWR786630:AWR852162 BGN786630:BGN852162 BQJ786630:BQJ852162 CAF786630:CAF852162 CKB786630:CKB852162 CTX786630:CTX852162 DDT786630:DDT852162 DNP786630:DNP852162 DXL786630:DXL852162 EHH786630:EHH852162 ERD786630:ERD852162 FAZ786630:FAZ852162 FKV786630:FKV852162 FUR786630:FUR852162 GEN786630:GEN852162 GOJ786630:GOJ852162 GYF786630:GYF852162 HIB786630:HIB852162 HRX786630:HRX852162 IBT786630:IBT852162 ILP786630:ILP852162 IVL786630:IVL852162 JFH786630:JFH852162 JPD786630:JPD852162 JYZ786630:JYZ852162 KIV786630:KIV852162 KSR786630:KSR852162 LCN786630:LCN852162 LMJ786630:LMJ852162 LWF786630:LWF852162 MGB786630:MGB852162 MPX786630:MPX852162 MZT786630:MZT852162 NJP786630:NJP852162 NTL786630:NTL852162 ODH786630:ODH852162 OND786630:OND852162 OWZ786630:OWZ852162 PGV786630:PGV852162 PQR786630:PQR852162 QAN786630:QAN852162 QKJ786630:QKJ852162 QUF786630:QUF852162 REB786630:REB852162 RNX786630:RNX852162 RXT786630:RXT852162 SHP786630:SHP852162 SRL786630:SRL852162 TBH786630:TBH852162 TLD786630:TLD852162 TUZ786630:TUZ852162 UEV786630:UEV852162 UOR786630:UOR852162 UYN786630:UYN852162 VIJ786630:VIJ852162 VSF786630:VSF852162 WCB786630:WCB852162 WLX786630:WLX852162 WVT786630:WVT852162 JH852166:JH917698 TD852166:TD917698 ACZ852166:ACZ917698 AMV852166:AMV917698 AWR852166:AWR917698 BGN852166:BGN917698 BQJ852166:BQJ917698 CAF852166:CAF917698 CKB852166:CKB917698 CTX852166:CTX917698 DDT852166:DDT917698 DNP852166:DNP917698 DXL852166:DXL917698 EHH852166:EHH917698 ERD852166:ERD917698 FAZ852166:FAZ917698 FKV852166:FKV917698 FUR852166:FUR917698 GEN852166:GEN917698 GOJ852166:GOJ917698 GYF852166:GYF917698 HIB852166:HIB917698 HRX852166:HRX917698 IBT852166:IBT917698 ILP852166:ILP917698 IVL852166:IVL917698 JFH852166:JFH917698 JPD852166:JPD917698 JYZ852166:JYZ917698 KIV852166:KIV917698 KSR852166:KSR917698 LCN852166:LCN917698 LMJ852166:LMJ917698 LWF852166:LWF917698 MGB852166:MGB917698 MPX852166:MPX917698 MZT852166:MZT917698 NJP852166:NJP917698 NTL852166:NTL917698 ODH852166:ODH917698 OND852166:OND917698 OWZ852166:OWZ917698 PGV852166:PGV917698 PQR852166:PQR917698 QAN852166:QAN917698 QKJ852166:QKJ917698 QUF852166:QUF917698 REB852166:REB917698 RNX852166:RNX917698 RXT852166:RXT917698 SHP852166:SHP917698 SRL852166:SRL917698 TBH852166:TBH917698 TLD852166:TLD917698 TUZ852166:TUZ917698 UEV852166:UEV917698 UOR852166:UOR917698 UYN852166:UYN917698 VIJ852166:VIJ917698 VSF852166:VSF917698 WCB852166:WCB917698 WLX852166:WLX917698 WVT852166:WVT917698 JH917702:JH983234 TD917702:TD983234 ACZ917702:ACZ983234 AMV917702:AMV983234 AWR917702:AWR983234 BGN917702:BGN983234 BQJ917702:BQJ983234 CAF917702:CAF983234 CKB917702:CKB983234 CTX917702:CTX983234 DDT917702:DDT983234 DNP917702:DNP983234 DXL917702:DXL983234 EHH917702:EHH983234 ERD917702:ERD983234 FAZ917702:FAZ983234 FKV917702:FKV983234 FUR917702:FUR983234 GEN917702:GEN983234 GOJ917702:GOJ983234 GYF917702:GYF983234 HIB917702:HIB983234 HRX917702:HRX983234 IBT917702:IBT983234 ILP917702:ILP983234 IVL917702:IVL983234 JFH917702:JFH983234 JPD917702:JPD983234 JYZ917702:JYZ983234 KIV917702:KIV983234 KSR917702:KSR983234 LCN917702:LCN983234 LMJ917702:LMJ983234 LWF917702:LWF983234 MGB917702:MGB983234 MPX917702:MPX983234 MZT917702:MZT983234 NJP917702:NJP983234 NTL917702:NTL983234 ODH917702:ODH983234 OND917702:OND983234 OWZ917702:OWZ983234 PGV917702:PGV983234 PQR917702:PQR983234 QAN917702:QAN983234 QKJ917702:QKJ983234 QUF917702:QUF983234 REB917702:REB983234 RNX917702:RNX983234 RXT917702:RXT983234 SHP917702:SHP983234 SRL917702:SRL983234 TBH917702:TBH983234 TLD917702:TLD983234 TUZ917702:TUZ983234 UEV917702:UEV983234 UOR917702:UOR983234 UYN917702:UYN983234 VIJ917702:VIJ983234 VSF917702:VSF983234 WCB917702:WCB983234 WLX917702:WLX983234 WVT917702:WVT983234 JH983238:JH1048576 TD983238:TD1048576 ACZ983238:ACZ1048576 AMV983238:AMV1048576 AWR983238:AWR1048576 BGN983238:BGN1048576 BQJ983238:BQJ1048576 CAF983238:CAF1048576 CKB983238:CKB1048576 CTX983238:CTX1048576 DDT983238:DDT1048576 DNP983238:DNP1048576 DXL983238:DXL1048576 EHH983238:EHH1048576 ERD983238:ERD1048576 FAZ983238:FAZ1048576 FKV983238:FKV1048576 FUR983238:FUR1048576 GEN983238:GEN1048576 GOJ983238:GOJ1048576 GYF983238:GYF1048576 HIB983238:HIB1048576 HRX983238:HRX1048576 IBT983238:IBT1048576 ILP983238:ILP1048576 IVL983238:IVL1048576 JFH983238:JFH1048576 JPD983238:JPD1048576 JYZ983238:JYZ1048576 KIV983238:KIV1048576 KSR983238:KSR1048576 LCN983238:LCN1048576 LMJ983238:LMJ1048576 LWF983238:LWF1048576 MGB983238:MGB1048576 MPX983238:MPX1048576 MZT983238:MZT1048576 NJP983238:NJP1048576 NTL983238:NTL1048576 ODH983238:ODH1048576 OND983238:OND1048576 OWZ983238:OWZ1048576 PGV983238:PGV1048576 PQR983238:PQR1048576 QAN983238:QAN1048576 QKJ983238:QKJ1048576 QUF983238:QUF1048576 REB983238:REB1048576 RNX983238:RNX1048576 RXT983238:RXT1048576 SHP983238:SHP1048576 SRL983238:SRL1048576 TBH983238:TBH1048576 TLD983238:TLD1048576 TUZ983238:TUZ1048576 UEV983238:UEV1048576 UOR983238:UOR1048576 UYN983238:UYN1048576 VIJ983238:VIJ1048576 VSF983238:VSF1048576 WCB983238:WCB1048576 WLX983238:WLX1048576">
      <formula1>"Active, Postponed, Close"</formula1>
    </dataValidation>
    <dataValidation type="list" allowBlank="1" showInputMessage="1" showErrorMessage="1" sqref="WVW983238:WVW1048576 WVW234:WVW65730 WMA234:WMA65730 WCE234:WCE65730 VSI234:VSI65730 VIM234:VIM65730 UYQ234:UYQ65730 UOU234:UOU65730 UEY234:UEY65730 TVC234:TVC65730 TLG234:TLG65730 TBK234:TBK65730 SRO234:SRO65730 SHS234:SHS65730 RXW234:RXW65730 ROA234:ROA65730 REE234:REE65730 QUI234:QUI65730 QKM234:QKM65730 QAQ234:QAQ65730 PQU234:PQU65730 PGY234:PGY65730 OXC234:OXC65730 ONG234:ONG65730 ODK234:ODK65730 NTO234:NTO65730 NJS234:NJS65730 MZW234:MZW65730 MQA234:MQA65730 MGE234:MGE65730 LWI234:LWI65730 LMM234:LMM65730 LCQ234:LCQ65730 KSU234:KSU65730 KIY234:KIY65730 JZC234:JZC65730 JPG234:JPG65730 JFK234:JFK65730 IVO234:IVO65730 ILS234:ILS65730 IBW234:IBW65730 HSA234:HSA65730 HIE234:HIE65730 GYI234:GYI65730 GOM234:GOM65730 GEQ234:GEQ65730 FUU234:FUU65730 FKY234:FKY65730 FBC234:FBC65730 ERG234:ERG65730 EHK234:EHK65730 DXO234:DXO65730 DNS234:DNS65730 DDW234:DDW65730 CUA234:CUA65730 CKE234:CKE65730 CAI234:CAI65730 BQM234:BQM65730 BGQ234:BGQ65730 AWU234:AWU65730 AMY234:AMY65730 ADC234:ADC65730 TG234:TG65730 JK234:JK65730 WLW2:WLW233 WCA2:WCA233 VSE2:VSE233 VII2:VII233 UYM2:UYM233 UOQ2:UOQ233 UEU2:UEU233 TUY2:TUY233 TLC2:TLC233 TBG2:TBG233 SRK2:SRK233 SHO2:SHO233 RXS2:RXS233 RNW2:RNW233 REA2:REA233 QUE2:QUE233 QKI2:QKI233 QAM2:QAM233 PQQ2:PQQ233 PGU2:PGU233 OWY2:OWY233 ONC2:ONC233 ODG2:ODG233 NTK2:NTK233 NJO2:NJO233 MZS2:MZS233 MPW2:MPW233 MGA2:MGA233 LWE2:LWE233 LMI2:LMI233 LCM2:LCM233 KSQ2:KSQ233 KIU2:KIU233 JYY2:JYY233 JPC2:JPC233 JFG2:JFG233 IVK2:IVK233 ILO2:ILO233 IBS2:IBS233 HRW2:HRW233 HIA2:HIA233 GYE2:GYE233 GOI2:GOI233 GEM2:GEM233 FUQ2:FUQ233 FKU2:FKU233 FAY2:FAY233 ERC2:ERC233 EHG2:EHG233 DXK2:DXK233 DNO2:DNO233 DDS2:DDS233 CTW2:CTW233 CKA2:CKA233 CAE2:CAE233 BQI2:BQI233 BGM2:BGM233 AWQ2:AWQ233 AMU2:AMU233 ACY2:ACY233 TC2:TC233 JG2:JG233 WVS2:WVS233 R235:R65731 R65735:R131267 R131271:R196803 R196807:R262339 R262343:R327875 R327879:R393411 R393415:R458947 R458951:R524483 R524487:R590019 R590023:R655555 R655559:R721091 R721095:R786627 R786631:R852163 R852167:R917699 R917703:R983235 R983239:R1048576 JK65734:JK131266 TG65734:TG131266 ADC65734:ADC131266 AMY65734:AMY131266 AWU65734:AWU131266 BGQ65734:BGQ131266 BQM65734:BQM131266 CAI65734:CAI131266 CKE65734:CKE131266 CUA65734:CUA131266 DDW65734:DDW131266 DNS65734:DNS131266 DXO65734:DXO131266 EHK65734:EHK131266 ERG65734:ERG131266 FBC65734:FBC131266 FKY65734:FKY131266 FUU65734:FUU131266 GEQ65734:GEQ131266 GOM65734:GOM131266 GYI65734:GYI131266 HIE65734:HIE131266 HSA65734:HSA131266 IBW65734:IBW131266 ILS65734:ILS131266 IVO65734:IVO131266 JFK65734:JFK131266 JPG65734:JPG131266 JZC65734:JZC131266 KIY65734:KIY131266 KSU65734:KSU131266 LCQ65734:LCQ131266 LMM65734:LMM131266 LWI65734:LWI131266 MGE65734:MGE131266 MQA65734:MQA131266 MZW65734:MZW131266 NJS65734:NJS131266 NTO65734:NTO131266 ODK65734:ODK131266 ONG65734:ONG131266 OXC65734:OXC131266 PGY65734:PGY131266 PQU65734:PQU131266 QAQ65734:QAQ131266 QKM65734:QKM131266 QUI65734:QUI131266 REE65734:REE131266 ROA65734:ROA131266 RXW65734:RXW131266 SHS65734:SHS131266 SRO65734:SRO131266 TBK65734:TBK131266 TLG65734:TLG131266 TVC65734:TVC131266 UEY65734:UEY131266 UOU65734:UOU131266 UYQ65734:UYQ131266 VIM65734:VIM131266 VSI65734:VSI131266 WCE65734:WCE131266 WMA65734:WMA131266 WVW65734:WVW131266 JK131270:JK196802 TG131270:TG196802 ADC131270:ADC196802 AMY131270:AMY196802 AWU131270:AWU196802 BGQ131270:BGQ196802 BQM131270:BQM196802 CAI131270:CAI196802 CKE131270:CKE196802 CUA131270:CUA196802 DDW131270:DDW196802 DNS131270:DNS196802 DXO131270:DXO196802 EHK131270:EHK196802 ERG131270:ERG196802 FBC131270:FBC196802 FKY131270:FKY196802 FUU131270:FUU196802 GEQ131270:GEQ196802 GOM131270:GOM196802 GYI131270:GYI196802 HIE131270:HIE196802 HSA131270:HSA196802 IBW131270:IBW196802 ILS131270:ILS196802 IVO131270:IVO196802 JFK131270:JFK196802 JPG131270:JPG196802 JZC131270:JZC196802 KIY131270:KIY196802 KSU131270:KSU196802 LCQ131270:LCQ196802 LMM131270:LMM196802 LWI131270:LWI196802 MGE131270:MGE196802 MQA131270:MQA196802 MZW131270:MZW196802 NJS131270:NJS196802 NTO131270:NTO196802 ODK131270:ODK196802 ONG131270:ONG196802 OXC131270:OXC196802 PGY131270:PGY196802 PQU131270:PQU196802 QAQ131270:QAQ196802 QKM131270:QKM196802 QUI131270:QUI196802 REE131270:REE196802 ROA131270:ROA196802 RXW131270:RXW196802 SHS131270:SHS196802 SRO131270:SRO196802 TBK131270:TBK196802 TLG131270:TLG196802 TVC131270:TVC196802 UEY131270:UEY196802 UOU131270:UOU196802 UYQ131270:UYQ196802 VIM131270:VIM196802 VSI131270:VSI196802 WCE131270:WCE196802 WMA131270:WMA196802 WVW131270:WVW196802 JK196806:JK262338 TG196806:TG262338 ADC196806:ADC262338 AMY196806:AMY262338 AWU196806:AWU262338 BGQ196806:BGQ262338 BQM196806:BQM262338 CAI196806:CAI262338 CKE196806:CKE262338 CUA196806:CUA262338 DDW196806:DDW262338 DNS196806:DNS262338 DXO196806:DXO262338 EHK196806:EHK262338 ERG196806:ERG262338 FBC196806:FBC262338 FKY196806:FKY262338 FUU196806:FUU262338 GEQ196806:GEQ262338 GOM196806:GOM262338 GYI196806:GYI262338 HIE196806:HIE262338 HSA196806:HSA262338 IBW196806:IBW262338 ILS196806:ILS262338 IVO196806:IVO262338 JFK196806:JFK262338 JPG196806:JPG262338 JZC196806:JZC262338 KIY196806:KIY262338 KSU196806:KSU262338 LCQ196806:LCQ262338 LMM196806:LMM262338 LWI196806:LWI262338 MGE196806:MGE262338 MQA196806:MQA262338 MZW196806:MZW262338 NJS196806:NJS262338 NTO196806:NTO262338 ODK196806:ODK262338 ONG196806:ONG262338 OXC196806:OXC262338 PGY196806:PGY262338 PQU196806:PQU262338 QAQ196806:QAQ262338 QKM196806:QKM262338 QUI196806:QUI262338 REE196806:REE262338 ROA196806:ROA262338 RXW196806:RXW262338 SHS196806:SHS262338 SRO196806:SRO262338 TBK196806:TBK262338 TLG196806:TLG262338 TVC196806:TVC262338 UEY196806:UEY262338 UOU196806:UOU262338 UYQ196806:UYQ262338 VIM196806:VIM262338 VSI196806:VSI262338 WCE196806:WCE262338 WMA196806:WMA262338 WVW196806:WVW262338 JK262342:JK327874 TG262342:TG327874 ADC262342:ADC327874 AMY262342:AMY327874 AWU262342:AWU327874 BGQ262342:BGQ327874 BQM262342:BQM327874 CAI262342:CAI327874 CKE262342:CKE327874 CUA262342:CUA327874 DDW262342:DDW327874 DNS262342:DNS327874 DXO262342:DXO327874 EHK262342:EHK327874 ERG262342:ERG327874 FBC262342:FBC327874 FKY262342:FKY327874 FUU262342:FUU327874 GEQ262342:GEQ327874 GOM262342:GOM327874 GYI262342:GYI327874 HIE262342:HIE327874 HSA262342:HSA327874 IBW262342:IBW327874 ILS262342:ILS327874 IVO262342:IVO327874 JFK262342:JFK327874 JPG262342:JPG327874 JZC262342:JZC327874 KIY262342:KIY327874 KSU262342:KSU327874 LCQ262342:LCQ327874 LMM262342:LMM327874 LWI262342:LWI327874 MGE262342:MGE327874 MQA262342:MQA327874 MZW262342:MZW327874 NJS262342:NJS327874 NTO262342:NTO327874 ODK262342:ODK327874 ONG262342:ONG327874 OXC262342:OXC327874 PGY262342:PGY327874 PQU262342:PQU327874 QAQ262342:QAQ327874 QKM262342:QKM327874 QUI262342:QUI327874 REE262342:REE327874 ROA262342:ROA327874 RXW262342:RXW327874 SHS262342:SHS327874 SRO262342:SRO327874 TBK262342:TBK327874 TLG262342:TLG327874 TVC262342:TVC327874 UEY262342:UEY327874 UOU262342:UOU327874 UYQ262342:UYQ327874 VIM262342:VIM327874 VSI262342:VSI327874 WCE262342:WCE327874 WMA262342:WMA327874 WVW262342:WVW327874 JK327878:JK393410 TG327878:TG393410 ADC327878:ADC393410 AMY327878:AMY393410 AWU327878:AWU393410 BGQ327878:BGQ393410 BQM327878:BQM393410 CAI327878:CAI393410 CKE327878:CKE393410 CUA327878:CUA393410 DDW327878:DDW393410 DNS327878:DNS393410 DXO327878:DXO393410 EHK327878:EHK393410 ERG327878:ERG393410 FBC327878:FBC393410 FKY327878:FKY393410 FUU327878:FUU393410 GEQ327878:GEQ393410 GOM327878:GOM393410 GYI327878:GYI393410 HIE327878:HIE393410 HSA327878:HSA393410 IBW327878:IBW393410 ILS327878:ILS393410 IVO327878:IVO393410 JFK327878:JFK393410 JPG327878:JPG393410 JZC327878:JZC393410 KIY327878:KIY393410 KSU327878:KSU393410 LCQ327878:LCQ393410 LMM327878:LMM393410 LWI327878:LWI393410 MGE327878:MGE393410 MQA327878:MQA393410 MZW327878:MZW393410 NJS327878:NJS393410 NTO327878:NTO393410 ODK327878:ODK393410 ONG327878:ONG393410 OXC327878:OXC393410 PGY327878:PGY393410 PQU327878:PQU393410 QAQ327878:QAQ393410 QKM327878:QKM393410 QUI327878:QUI393410 REE327878:REE393410 ROA327878:ROA393410 RXW327878:RXW393410 SHS327878:SHS393410 SRO327878:SRO393410 TBK327878:TBK393410 TLG327878:TLG393410 TVC327878:TVC393410 UEY327878:UEY393410 UOU327878:UOU393410 UYQ327878:UYQ393410 VIM327878:VIM393410 VSI327878:VSI393410 WCE327878:WCE393410 WMA327878:WMA393410 WVW327878:WVW393410 JK393414:JK458946 TG393414:TG458946 ADC393414:ADC458946 AMY393414:AMY458946 AWU393414:AWU458946 BGQ393414:BGQ458946 BQM393414:BQM458946 CAI393414:CAI458946 CKE393414:CKE458946 CUA393414:CUA458946 DDW393414:DDW458946 DNS393414:DNS458946 DXO393414:DXO458946 EHK393414:EHK458946 ERG393414:ERG458946 FBC393414:FBC458946 FKY393414:FKY458946 FUU393414:FUU458946 GEQ393414:GEQ458946 GOM393414:GOM458946 GYI393414:GYI458946 HIE393414:HIE458946 HSA393414:HSA458946 IBW393414:IBW458946 ILS393414:ILS458946 IVO393414:IVO458946 JFK393414:JFK458946 JPG393414:JPG458946 JZC393414:JZC458946 KIY393414:KIY458946 KSU393414:KSU458946 LCQ393414:LCQ458946 LMM393414:LMM458946 LWI393414:LWI458946 MGE393414:MGE458946 MQA393414:MQA458946 MZW393414:MZW458946 NJS393414:NJS458946 NTO393414:NTO458946 ODK393414:ODK458946 ONG393414:ONG458946 OXC393414:OXC458946 PGY393414:PGY458946 PQU393414:PQU458946 QAQ393414:QAQ458946 QKM393414:QKM458946 QUI393414:QUI458946 REE393414:REE458946 ROA393414:ROA458946 RXW393414:RXW458946 SHS393414:SHS458946 SRO393414:SRO458946 TBK393414:TBK458946 TLG393414:TLG458946 TVC393414:TVC458946 UEY393414:UEY458946 UOU393414:UOU458946 UYQ393414:UYQ458946 VIM393414:VIM458946 VSI393414:VSI458946 WCE393414:WCE458946 WMA393414:WMA458946 WVW393414:WVW458946 JK458950:JK524482 TG458950:TG524482 ADC458950:ADC524482 AMY458950:AMY524482 AWU458950:AWU524482 BGQ458950:BGQ524482 BQM458950:BQM524482 CAI458950:CAI524482 CKE458950:CKE524482 CUA458950:CUA524482 DDW458950:DDW524482 DNS458950:DNS524482 DXO458950:DXO524482 EHK458950:EHK524482 ERG458950:ERG524482 FBC458950:FBC524482 FKY458950:FKY524482 FUU458950:FUU524482 GEQ458950:GEQ524482 GOM458950:GOM524482 GYI458950:GYI524482 HIE458950:HIE524482 HSA458950:HSA524482 IBW458950:IBW524482 ILS458950:ILS524482 IVO458950:IVO524482 JFK458950:JFK524482 JPG458950:JPG524482 JZC458950:JZC524482 KIY458950:KIY524482 KSU458950:KSU524482 LCQ458950:LCQ524482 LMM458950:LMM524482 LWI458950:LWI524482 MGE458950:MGE524482 MQA458950:MQA524482 MZW458950:MZW524482 NJS458950:NJS524482 NTO458950:NTO524482 ODK458950:ODK524482 ONG458950:ONG524482 OXC458950:OXC524482 PGY458950:PGY524482 PQU458950:PQU524482 QAQ458950:QAQ524482 QKM458950:QKM524482 QUI458950:QUI524482 REE458950:REE524482 ROA458950:ROA524482 RXW458950:RXW524482 SHS458950:SHS524482 SRO458950:SRO524482 TBK458950:TBK524482 TLG458950:TLG524482 TVC458950:TVC524482 UEY458950:UEY524482 UOU458950:UOU524482 UYQ458950:UYQ524482 VIM458950:VIM524482 VSI458950:VSI524482 WCE458950:WCE524482 WMA458950:WMA524482 WVW458950:WVW524482 JK524486:JK590018 TG524486:TG590018 ADC524486:ADC590018 AMY524486:AMY590018 AWU524486:AWU590018 BGQ524486:BGQ590018 BQM524486:BQM590018 CAI524486:CAI590018 CKE524486:CKE590018 CUA524486:CUA590018 DDW524486:DDW590018 DNS524486:DNS590018 DXO524486:DXO590018 EHK524486:EHK590018 ERG524486:ERG590018 FBC524486:FBC590018 FKY524486:FKY590018 FUU524486:FUU590018 GEQ524486:GEQ590018 GOM524486:GOM590018 GYI524486:GYI590018 HIE524486:HIE590018 HSA524486:HSA590018 IBW524486:IBW590018 ILS524486:ILS590018 IVO524486:IVO590018 JFK524486:JFK590018 JPG524486:JPG590018 JZC524486:JZC590018 KIY524486:KIY590018 KSU524486:KSU590018 LCQ524486:LCQ590018 LMM524486:LMM590018 LWI524486:LWI590018 MGE524486:MGE590018 MQA524486:MQA590018 MZW524486:MZW590018 NJS524486:NJS590018 NTO524486:NTO590018 ODK524486:ODK590018 ONG524486:ONG590018 OXC524486:OXC590018 PGY524486:PGY590018 PQU524486:PQU590018 QAQ524486:QAQ590018 QKM524486:QKM590018 QUI524486:QUI590018 REE524486:REE590018 ROA524486:ROA590018 RXW524486:RXW590018 SHS524486:SHS590018 SRO524486:SRO590018 TBK524486:TBK590018 TLG524486:TLG590018 TVC524486:TVC590018 UEY524486:UEY590018 UOU524486:UOU590018 UYQ524486:UYQ590018 VIM524486:VIM590018 VSI524486:VSI590018 WCE524486:WCE590018 WMA524486:WMA590018 WVW524486:WVW590018 JK590022:JK655554 TG590022:TG655554 ADC590022:ADC655554 AMY590022:AMY655554 AWU590022:AWU655554 BGQ590022:BGQ655554 BQM590022:BQM655554 CAI590022:CAI655554 CKE590022:CKE655554 CUA590022:CUA655554 DDW590022:DDW655554 DNS590022:DNS655554 DXO590022:DXO655554 EHK590022:EHK655554 ERG590022:ERG655554 FBC590022:FBC655554 FKY590022:FKY655554 FUU590022:FUU655554 GEQ590022:GEQ655554 GOM590022:GOM655554 GYI590022:GYI655554 HIE590022:HIE655554 HSA590022:HSA655554 IBW590022:IBW655554 ILS590022:ILS655554 IVO590022:IVO655554 JFK590022:JFK655554 JPG590022:JPG655554 JZC590022:JZC655554 KIY590022:KIY655554 KSU590022:KSU655554 LCQ590022:LCQ655554 LMM590022:LMM655554 LWI590022:LWI655554 MGE590022:MGE655554 MQA590022:MQA655554 MZW590022:MZW655554 NJS590022:NJS655554 NTO590022:NTO655554 ODK590022:ODK655554 ONG590022:ONG655554 OXC590022:OXC655554 PGY590022:PGY655554 PQU590022:PQU655554 QAQ590022:QAQ655554 QKM590022:QKM655554 QUI590022:QUI655554 REE590022:REE655554 ROA590022:ROA655554 RXW590022:RXW655554 SHS590022:SHS655554 SRO590022:SRO655554 TBK590022:TBK655554 TLG590022:TLG655554 TVC590022:TVC655554 UEY590022:UEY655554 UOU590022:UOU655554 UYQ590022:UYQ655554 VIM590022:VIM655554 VSI590022:VSI655554 WCE590022:WCE655554 WMA590022:WMA655554 WVW590022:WVW655554 JK655558:JK721090 TG655558:TG721090 ADC655558:ADC721090 AMY655558:AMY721090 AWU655558:AWU721090 BGQ655558:BGQ721090 BQM655558:BQM721090 CAI655558:CAI721090 CKE655558:CKE721090 CUA655558:CUA721090 DDW655558:DDW721090 DNS655558:DNS721090 DXO655558:DXO721090 EHK655558:EHK721090 ERG655558:ERG721090 FBC655558:FBC721090 FKY655558:FKY721090 FUU655558:FUU721090 GEQ655558:GEQ721090 GOM655558:GOM721090 GYI655558:GYI721090 HIE655558:HIE721090 HSA655558:HSA721090 IBW655558:IBW721090 ILS655558:ILS721090 IVO655558:IVO721090 JFK655558:JFK721090 JPG655558:JPG721090 JZC655558:JZC721090 KIY655558:KIY721090 KSU655558:KSU721090 LCQ655558:LCQ721090 LMM655558:LMM721090 LWI655558:LWI721090 MGE655558:MGE721090 MQA655558:MQA721090 MZW655558:MZW721090 NJS655558:NJS721090 NTO655558:NTO721090 ODK655558:ODK721090 ONG655558:ONG721090 OXC655558:OXC721090 PGY655558:PGY721090 PQU655558:PQU721090 QAQ655558:QAQ721090 QKM655558:QKM721090 QUI655558:QUI721090 REE655558:REE721090 ROA655558:ROA721090 RXW655558:RXW721090 SHS655558:SHS721090 SRO655558:SRO721090 TBK655558:TBK721090 TLG655558:TLG721090 TVC655558:TVC721090 UEY655558:UEY721090 UOU655558:UOU721090 UYQ655558:UYQ721090 VIM655558:VIM721090 VSI655558:VSI721090 WCE655558:WCE721090 WMA655558:WMA721090 WVW655558:WVW721090 JK721094:JK786626 TG721094:TG786626 ADC721094:ADC786626 AMY721094:AMY786626 AWU721094:AWU786626 BGQ721094:BGQ786626 BQM721094:BQM786626 CAI721094:CAI786626 CKE721094:CKE786626 CUA721094:CUA786626 DDW721094:DDW786626 DNS721094:DNS786626 DXO721094:DXO786626 EHK721094:EHK786626 ERG721094:ERG786626 FBC721094:FBC786626 FKY721094:FKY786626 FUU721094:FUU786626 GEQ721094:GEQ786626 GOM721094:GOM786626 GYI721094:GYI786626 HIE721094:HIE786626 HSA721094:HSA786626 IBW721094:IBW786626 ILS721094:ILS786626 IVO721094:IVO786626 JFK721094:JFK786626 JPG721094:JPG786626 JZC721094:JZC786626 KIY721094:KIY786626 KSU721094:KSU786626 LCQ721094:LCQ786626 LMM721094:LMM786626 LWI721094:LWI786626 MGE721094:MGE786626 MQA721094:MQA786626 MZW721094:MZW786626 NJS721094:NJS786626 NTO721094:NTO786626 ODK721094:ODK786626 ONG721094:ONG786626 OXC721094:OXC786626 PGY721094:PGY786626 PQU721094:PQU786626 QAQ721094:QAQ786626 QKM721094:QKM786626 QUI721094:QUI786626 REE721094:REE786626 ROA721094:ROA786626 RXW721094:RXW786626 SHS721094:SHS786626 SRO721094:SRO786626 TBK721094:TBK786626 TLG721094:TLG786626 TVC721094:TVC786626 UEY721094:UEY786626 UOU721094:UOU786626 UYQ721094:UYQ786626 VIM721094:VIM786626 VSI721094:VSI786626 WCE721094:WCE786626 WMA721094:WMA786626 WVW721094:WVW786626 JK786630:JK852162 TG786630:TG852162 ADC786630:ADC852162 AMY786630:AMY852162 AWU786630:AWU852162 BGQ786630:BGQ852162 BQM786630:BQM852162 CAI786630:CAI852162 CKE786630:CKE852162 CUA786630:CUA852162 DDW786630:DDW852162 DNS786630:DNS852162 DXO786630:DXO852162 EHK786630:EHK852162 ERG786630:ERG852162 FBC786630:FBC852162 FKY786630:FKY852162 FUU786630:FUU852162 GEQ786630:GEQ852162 GOM786630:GOM852162 GYI786630:GYI852162 HIE786630:HIE852162 HSA786630:HSA852162 IBW786630:IBW852162 ILS786630:ILS852162 IVO786630:IVO852162 JFK786630:JFK852162 JPG786630:JPG852162 JZC786630:JZC852162 KIY786630:KIY852162 KSU786630:KSU852162 LCQ786630:LCQ852162 LMM786630:LMM852162 LWI786630:LWI852162 MGE786630:MGE852162 MQA786630:MQA852162 MZW786630:MZW852162 NJS786630:NJS852162 NTO786630:NTO852162 ODK786630:ODK852162 ONG786630:ONG852162 OXC786630:OXC852162 PGY786630:PGY852162 PQU786630:PQU852162 QAQ786630:QAQ852162 QKM786630:QKM852162 QUI786630:QUI852162 REE786630:REE852162 ROA786630:ROA852162 RXW786630:RXW852162 SHS786630:SHS852162 SRO786630:SRO852162 TBK786630:TBK852162 TLG786630:TLG852162 TVC786630:TVC852162 UEY786630:UEY852162 UOU786630:UOU852162 UYQ786630:UYQ852162 VIM786630:VIM852162 VSI786630:VSI852162 WCE786630:WCE852162 WMA786630:WMA852162 WVW786630:WVW852162 JK852166:JK917698 TG852166:TG917698 ADC852166:ADC917698 AMY852166:AMY917698 AWU852166:AWU917698 BGQ852166:BGQ917698 BQM852166:BQM917698 CAI852166:CAI917698 CKE852166:CKE917698 CUA852166:CUA917698 DDW852166:DDW917698 DNS852166:DNS917698 DXO852166:DXO917698 EHK852166:EHK917698 ERG852166:ERG917698 FBC852166:FBC917698 FKY852166:FKY917698 FUU852166:FUU917698 GEQ852166:GEQ917698 GOM852166:GOM917698 GYI852166:GYI917698 HIE852166:HIE917698 HSA852166:HSA917698 IBW852166:IBW917698 ILS852166:ILS917698 IVO852166:IVO917698 JFK852166:JFK917698 JPG852166:JPG917698 JZC852166:JZC917698 KIY852166:KIY917698 KSU852166:KSU917698 LCQ852166:LCQ917698 LMM852166:LMM917698 LWI852166:LWI917698 MGE852166:MGE917698 MQA852166:MQA917698 MZW852166:MZW917698 NJS852166:NJS917698 NTO852166:NTO917698 ODK852166:ODK917698 ONG852166:ONG917698 OXC852166:OXC917698 PGY852166:PGY917698 PQU852166:PQU917698 QAQ852166:QAQ917698 QKM852166:QKM917698 QUI852166:QUI917698 REE852166:REE917698 ROA852166:ROA917698 RXW852166:RXW917698 SHS852166:SHS917698 SRO852166:SRO917698 TBK852166:TBK917698 TLG852166:TLG917698 TVC852166:TVC917698 UEY852166:UEY917698 UOU852166:UOU917698 UYQ852166:UYQ917698 VIM852166:VIM917698 VSI852166:VSI917698 WCE852166:WCE917698 WMA852166:WMA917698 WVW852166:WVW917698 JK917702:JK983234 TG917702:TG983234 ADC917702:ADC983234 AMY917702:AMY983234 AWU917702:AWU983234 BGQ917702:BGQ983234 BQM917702:BQM983234 CAI917702:CAI983234 CKE917702:CKE983234 CUA917702:CUA983234 DDW917702:DDW983234 DNS917702:DNS983234 DXO917702:DXO983234 EHK917702:EHK983234 ERG917702:ERG983234 FBC917702:FBC983234 FKY917702:FKY983234 FUU917702:FUU983234 GEQ917702:GEQ983234 GOM917702:GOM983234 GYI917702:GYI983234 HIE917702:HIE983234 HSA917702:HSA983234 IBW917702:IBW983234 ILS917702:ILS983234 IVO917702:IVO983234 JFK917702:JFK983234 JPG917702:JPG983234 JZC917702:JZC983234 KIY917702:KIY983234 KSU917702:KSU983234 LCQ917702:LCQ983234 LMM917702:LMM983234 LWI917702:LWI983234 MGE917702:MGE983234 MQA917702:MQA983234 MZW917702:MZW983234 NJS917702:NJS983234 NTO917702:NTO983234 ODK917702:ODK983234 ONG917702:ONG983234 OXC917702:OXC983234 PGY917702:PGY983234 PQU917702:PQU983234 QAQ917702:QAQ983234 QKM917702:QKM983234 QUI917702:QUI983234 REE917702:REE983234 ROA917702:ROA983234 RXW917702:RXW983234 SHS917702:SHS983234 SRO917702:SRO983234 TBK917702:TBK983234 TLG917702:TLG983234 TVC917702:TVC983234 UEY917702:UEY983234 UOU917702:UOU983234 UYQ917702:UYQ983234 VIM917702:VIM983234 VSI917702:VSI983234 WCE917702:WCE983234 WMA917702:WMA983234 WVW917702:WVW983234 JK983238:JK1048576 TG983238:TG1048576 ADC983238:ADC1048576 AMY983238:AMY1048576 AWU983238:AWU1048576 BGQ983238:BGQ1048576 BQM983238:BQM1048576 CAI983238:CAI1048576 CKE983238:CKE1048576 CUA983238:CUA1048576 DDW983238:DDW1048576 DNS983238:DNS1048576 DXO983238:DXO1048576 EHK983238:EHK1048576 ERG983238:ERG1048576 FBC983238:FBC1048576 FKY983238:FKY1048576 FUU983238:FUU1048576 GEQ983238:GEQ1048576 GOM983238:GOM1048576 GYI983238:GYI1048576 HIE983238:HIE1048576 HSA983238:HSA1048576 IBW983238:IBW1048576 ILS983238:ILS1048576 IVO983238:IVO1048576 JFK983238:JFK1048576 JPG983238:JPG1048576 JZC983238:JZC1048576 KIY983238:KIY1048576 KSU983238:KSU1048576 LCQ983238:LCQ1048576 LMM983238:LMM1048576 LWI983238:LWI1048576 MGE983238:MGE1048576 MQA983238:MQA1048576 MZW983238:MZW1048576 NJS983238:NJS1048576 NTO983238:NTO1048576 ODK983238:ODK1048576 ONG983238:ONG1048576 OXC983238:OXC1048576 PGY983238:PGY1048576 PQU983238:PQU1048576 QAQ983238:QAQ1048576 QKM983238:QKM1048576 QUI983238:QUI1048576 REE983238:REE1048576 ROA983238:ROA1048576 RXW983238:RXW1048576 SHS983238:SHS1048576 SRO983238:SRO1048576 TBK983238:TBK1048576 TLG983238:TLG1048576 TVC983238:TVC1048576 UEY983238:UEY1048576 UOU983238:UOU1048576 UYQ983238:UYQ1048576 VIM983238:VIM1048576 VSI983238:VSI1048576 WCE983238:WCE1048576 WMA983238:WMA1048576">
      <formula1>"In Scope, Out of Scope"</formula1>
    </dataValidation>
    <dataValidation type="list" allowBlank="1" showInputMessage="1" showErrorMessage="1" sqref="G2:J234">
      <formula1>"01. Undecided, 02. Low, 03. Medium, 04. High, 05. Critical"</formula1>
    </dataValidation>
    <dataValidation type="list" allowBlank="1" showInputMessage="1" showErrorMessage="1" sqref="D1:D1048576">
      <formula1>"Active, Closed"</formula1>
    </dataValidation>
    <dataValidation type="list" allowBlank="1" showInputMessage="1" showErrorMessage="1" sqref="N2:N1048576">
      <formula1>"IT Transition, Change Management, App and Data Migration, SharePoint, IAM, M&amp;C Program, Technology Foundation, Unified Communications"</formula1>
    </dataValidation>
    <dataValidation type="list" allowBlank="1" showInputMessage="1" showErrorMessage="1" sqref="K1:K1048576">
      <formula1>"01. Negligible, 02. Minor, 03. Moderate, 04. High, 05. Critical"</formula1>
    </dataValidation>
    <dataValidation type="list" allowBlank="1" showInputMessage="1" showErrorMessage="1" sqref="T1:T1048576">
      <formula1>"Project Manager, Program Manager, Program Director, Managing Sponsor, Executive Sponsor, Other"</formula1>
    </dataValidation>
    <dataValidation type="list" allowBlank="1" showInputMessage="1" showErrorMessage="1" sqref="O1:O1048576">
      <formula1>"TF - Messaging, TF - Lync, TF - SPF, SP - People, SP - Communities, SP - CMS, SP - Metadata Management, SP - Search, SP - Research Tools, SP - Subscribe and Deliver, SP - User Experience"</formula1>
    </dataValidation>
  </dataValidations>
  <printOptions horizontalCentered="1" verticalCentered="1" gridLines="1"/>
  <pageMargins left="6.25E-2" right="0.2" top="0.796875" bottom="1" header="0.31" footer="0.5"/>
  <pageSetup paperSize="9" scale="85" orientation="landscape" r:id="rId1"/>
  <headerFooter alignWithMargins="0">
    <oddHeader>&amp;L&amp;"EYInterstate Light,Bold"[Project name]
Issue Log&amp;R&amp;"EYInterstate Light,Regular"&amp;9Last Updated: DD-MMM-YYYY</oddHeader>
    <oddFooter>&amp;L&amp;"EYInterstate Light,Regular"&amp;9Template: Blueprint v4.4 - RAID (June 2011)&amp;R&amp;"EYInterstate Light,Regular"&amp;9&amp;P</oddFooter>
  </headerFooter>
  <ignoredErrors>
    <ignoredError sqref="D1 K1 T1 K235:K1048576 O1" listDataValidation="1"/>
  </ignoredErrors>
  <tableParts count="1">
    <tablePart r:id="rId2"/>
  </tableParts>
</worksheet>
</file>

<file path=xl/worksheets/sheet5.xml><?xml version="1.0" encoding="utf-8"?>
<worksheet xmlns="http://schemas.openxmlformats.org/spreadsheetml/2006/main" xmlns:r="http://schemas.openxmlformats.org/officeDocument/2006/relationships">
  <sheetPr>
    <pageSetUpPr fitToPage="1"/>
  </sheetPr>
  <dimension ref="A1:Q275"/>
  <sheetViews>
    <sheetView zoomScale="80" zoomScaleNormal="80" workbookViewId="0">
      <pane ySplit="1" topLeftCell="A73" activePane="bottomLeft" state="frozen"/>
      <selection pane="bottomLeft" activeCell="H75" sqref="H75:N75"/>
    </sheetView>
  </sheetViews>
  <sheetFormatPr defaultRowHeight="13.5"/>
  <cols>
    <col min="1" max="1" width="7.28515625" style="188" bestFit="1" customWidth="1"/>
    <col min="2" max="2" width="9.42578125" style="188" customWidth="1"/>
    <col min="3" max="4" width="15.5703125" style="188" customWidth="1"/>
    <col min="5" max="5" width="26.42578125" style="188" customWidth="1"/>
    <col min="6" max="6" width="21.28515625" style="188" customWidth="1"/>
    <col min="7" max="7" width="19.85546875" style="188" customWidth="1"/>
    <col min="8" max="8" width="14.28515625" style="188" customWidth="1"/>
    <col min="9" max="9" width="14.140625" style="188" customWidth="1"/>
    <col min="10" max="10" width="12.5703125" style="188" customWidth="1"/>
    <col min="11" max="11" width="10.5703125" style="188" customWidth="1"/>
    <col min="12" max="12" width="10.42578125" style="188" customWidth="1"/>
    <col min="13" max="13" width="7.85546875" style="188" customWidth="1"/>
    <col min="14" max="14" width="34.42578125" style="58" customWidth="1"/>
    <col min="15" max="16" width="9.140625" style="58"/>
    <col min="17" max="17" width="10.42578125" style="58" bestFit="1" customWidth="1"/>
    <col min="18" max="16384" width="9.140625" style="58"/>
  </cols>
  <sheetData>
    <row r="1" spans="1:17" s="377" customFormat="1" ht="39.75" customHeight="1">
      <c r="A1" s="373" t="s">
        <v>0</v>
      </c>
      <c r="B1" s="373" t="s">
        <v>26</v>
      </c>
      <c r="C1" s="374" t="s">
        <v>2756</v>
      </c>
      <c r="D1" s="374" t="s">
        <v>2755</v>
      </c>
      <c r="E1" s="375" t="s">
        <v>5</v>
      </c>
      <c r="F1" s="375" t="s">
        <v>3</v>
      </c>
      <c r="G1" s="375" t="s">
        <v>77</v>
      </c>
      <c r="H1" s="376" t="s">
        <v>16</v>
      </c>
      <c r="I1" s="376" t="s">
        <v>23</v>
      </c>
      <c r="J1" s="376" t="s">
        <v>24</v>
      </c>
      <c r="K1" s="375" t="s">
        <v>71</v>
      </c>
      <c r="L1" s="375" t="s">
        <v>4</v>
      </c>
      <c r="M1" s="375" t="s">
        <v>1506</v>
      </c>
      <c r="N1" s="375" t="s">
        <v>72</v>
      </c>
      <c r="P1" s="377" t="s">
        <v>2858</v>
      </c>
      <c r="Q1" s="418">
        <f ca="1">TODAY()</f>
        <v>40990</v>
      </c>
    </row>
    <row r="2" spans="1:17" ht="54">
      <c r="A2" s="60" t="s">
        <v>920</v>
      </c>
      <c r="B2" s="60" t="s">
        <v>296</v>
      </c>
      <c r="C2" s="146" t="s">
        <v>70</v>
      </c>
      <c r="D2" s="146"/>
      <c r="E2" s="323" t="s">
        <v>1743</v>
      </c>
      <c r="F2" s="323" t="s">
        <v>1741</v>
      </c>
      <c r="G2" s="323" t="s">
        <v>403</v>
      </c>
      <c r="H2" s="323" t="s">
        <v>1742</v>
      </c>
      <c r="I2" s="323" t="s">
        <v>1742</v>
      </c>
      <c r="J2" s="197">
        <v>40998</v>
      </c>
      <c r="K2" s="197">
        <v>40998</v>
      </c>
      <c r="L2" s="323" t="s">
        <v>969</v>
      </c>
      <c r="M2" s="323"/>
      <c r="N2" s="324"/>
      <c r="P2" s="58" t="b">
        <f ca="1">IF($Q$1&gt;Table134[[#This Row],[Due Date]],TRUE,FALSE)</f>
        <v>0</v>
      </c>
    </row>
    <row r="3" spans="1:17" ht="216">
      <c r="A3" s="60" t="s">
        <v>922</v>
      </c>
      <c r="B3" s="60" t="s">
        <v>835</v>
      </c>
      <c r="C3" s="323" t="s">
        <v>70</v>
      </c>
      <c r="D3" s="323"/>
      <c r="E3" s="323" t="s">
        <v>1904</v>
      </c>
      <c r="F3" s="323" t="s">
        <v>1905</v>
      </c>
      <c r="G3" s="323" t="s">
        <v>403</v>
      </c>
      <c r="H3" s="323" t="s">
        <v>1742</v>
      </c>
      <c r="I3" s="323" t="s">
        <v>1742</v>
      </c>
      <c r="J3" s="218">
        <v>41000</v>
      </c>
      <c r="K3" s="218">
        <v>41000</v>
      </c>
      <c r="L3" s="323" t="s">
        <v>969</v>
      </c>
      <c r="M3" s="323"/>
      <c r="N3" s="324"/>
      <c r="P3" s="58" t="b">
        <f ca="1">IF($Q$1&gt;Table134[[#This Row],[Due Date]],TRUE,FALSE)</f>
        <v>0</v>
      </c>
    </row>
    <row r="4" spans="1:17" ht="54">
      <c r="A4" s="60" t="s">
        <v>864</v>
      </c>
      <c r="B4" s="146"/>
      <c r="C4" s="146" t="s">
        <v>70</v>
      </c>
      <c r="D4" s="146"/>
      <c r="E4" s="146" t="s">
        <v>997</v>
      </c>
      <c r="F4" s="146" t="s">
        <v>998</v>
      </c>
      <c r="G4" s="146"/>
      <c r="H4" s="146"/>
      <c r="I4" s="146"/>
      <c r="J4" s="146"/>
      <c r="K4" s="146"/>
      <c r="L4" s="146" t="s">
        <v>965</v>
      </c>
      <c r="M4" s="146"/>
      <c r="N4" s="146" t="s">
        <v>966</v>
      </c>
      <c r="P4" s="58" t="b">
        <f ca="1">IF($Q$1&gt;Table134[[#This Row],[Due Date]],TRUE,FALSE)</f>
        <v>1</v>
      </c>
    </row>
    <row r="5" spans="1:17" ht="54">
      <c r="A5" s="60" t="s">
        <v>36</v>
      </c>
      <c r="B5" s="146"/>
      <c r="C5" s="146" t="s">
        <v>149</v>
      </c>
      <c r="D5" s="146"/>
      <c r="E5" s="154" t="s">
        <v>963</v>
      </c>
      <c r="F5" s="146" t="s">
        <v>964</v>
      </c>
      <c r="G5" s="146"/>
      <c r="H5" s="146"/>
      <c r="I5" s="146"/>
      <c r="J5" s="146"/>
      <c r="K5" s="146"/>
      <c r="L5" s="146" t="s">
        <v>965</v>
      </c>
      <c r="M5" s="146"/>
      <c r="N5" s="146" t="s">
        <v>966</v>
      </c>
      <c r="P5" s="58" t="b">
        <f ca="1">IF($Q$1&gt;Table134[[#This Row],[Due Date]],TRUE,FALSE)</f>
        <v>1</v>
      </c>
    </row>
    <row r="6" spans="1:17" ht="67.5">
      <c r="A6" s="60" t="s">
        <v>858</v>
      </c>
      <c r="B6" s="146" t="s">
        <v>983</v>
      </c>
      <c r="C6" s="146" t="s">
        <v>149</v>
      </c>
      <c r="D6" s="146"/>
      <c r="E6" s="146" t="s">
        <v>984</v>
      </c>
      <c r="F6" s="146" t="s">
        <v>978</v>
      </c>
      <c r="G6" s="146"/>
      <c r="H6" s="146"/>
      <c r="I6" s="146"/>
      <c r="J6" s="146"/>
      <c r="K6" s="146"/>
      <c r="L6" s="146" t="s">
        <v>1504</v>
      </c>
      <c r="M6" s="146" t="s">
        <v>255</v>
      </c>
      <c r="N6" s="146" t="s">
        <v>1501</v>
      </c>
      <c r="P6" s="58" t="b">
        <f ca="1">IF($Q$1&gt;Table134[[#This Row],[Due Date]],TRUE,FALSE)</f>
        <v>1</v>
      </c>
    </row>
    <row r="7" spans="1:17" ht="27">
      <c r="A7" s="60" t="s">
        <v>851</v>
      </c>
      <c r="B7" s="146"/>
      <c r="C7" s="146" t="s">
        <v>149</v>
      </c>
      <c r="D7" s="146"/>
      <c r="E7" s="146" t="s">
        <v>972</v>
      </c>
      <c r="F7" s="146" t="s">
        <v>973</v>
      </c>
      <c r="G7" s="146"/>
      <c r="H7" s="146"/>
      <c r="I7" s="146"/>
      <c r="J7" s="146"/>
      <c r="K7" s="146"/>
      <c r="L7" s="146" t="s">
        <v>965</v>
      </c>
      <c r="M7" s="146"/>
      <c r="N7" s="146" t="s">
        <v>966</v>
      </c>
      <c r="P7" s="58" t="b">
        <f ca="1">IF($Q$1&gt;Table134[[#This Row],[Due Date]],TRUE,FALSE)</f>
        <v>1</v>
      </c>
    </row>
    <row r="8" spans="1:17" ht="27">
      <c r="A8" s="60" t="s">
        <v>852</v>
      </c>
      <c r="B8" s="146"/>
      <c r="C8" s="146" t="s">
        <v>149</v>
      </c>
      <c r="D8" s="146"/>
      <c r="E8" s="146" t="s">
        <v>974</v>
      </c>
      <c r="F8" s="146" t="s">
        <v>973</v>
      </c>
      <c r="G8" s="146"/>
      <c r="H8" s="146"/>
      <c r="I8" s="146"/>
      <c r="J8" s="146"/>
      <c r="K8" s="146"/>
      <c r="L8" s="146" t="s">
        <v>965</v>
      </c>
      <c r="M8" s="146"/>
      <c r="N8" s="146" t="s">
        <v>966</v>
      </c>
      <c r="P8" s="58" t="b">
        <f ca="1">IF($Q$1&gt;Table134[[#This Row],[Due Date]],TRUE,FALSE)</f>
        <v>1</v>
      </c>
    </row>
    <row r="9" spans="1:17" ht="67.5">
      <c r="A9" s="60" t="s">
        <v>853</v>
      </c>
      <c r="B9" s="146"/>
      <c r="C9" s="146" t="s">
        <v>149</v>
      </c>
      <c r="D9" s="146"/>
      <c r="E9" s="146" t="s">
        <v>975</v>
      </c>
      <c r="F9" s="146" t="s">
        <v>976</v>
      </c>
      <c r="G9" s="146"/>
      <c r="H9" s="146"/>
      <c r="I9" s="146"/>
      <c r="J9" s="146"/>
      <c r="K9" s="146"/>
      <c r="L9" s="146" t="s">
        <v>965</v>
      </c>
      <c r="M9" s="146"/>
      <c r="N9" s="146" t="s">
        <v>966</v>
      </c>
      <c r="P9" s="58" t="b">
        <f ca="1">IF($Q$1&gt;Table134[[#This Row],[Due Date]],TRUE,FALSE)</f>
        <v>1</v>
      </c>
    </row>
    <row r="10" spans="1:17" ht="81">
      <c r="A10" s="60" t="s">
        <v>37</v>
      </c>
      <c r="B10" s="146" t="s">
        <v>186</v>
      </c>
      <c r="C10" s="146" t="s">
        <v>149</v>
      </c>
      <c r="D10" s="146"/>
      <c r="E10" s="252" t="s">
        <v>2579</v>
      </c>
      <c r="F10" s="146" t="s">
        <v>985</v>
      </c>
      <c r="G10" s="146" t="s">
        <v>986</v>
      </c>
      <c r="H10" s="146" t="s">
        <v>2444</v>
      </c>
      <c r="I10" s="253">
        <v>40974</v>
      </c>
      <c r="J10" s="253">
        <v>40974</v>
      </c>
      <c r="K10" s="253">
        <v>40974</v>
      </c>
      <c r="L10" s="146" t="s">
        <v>991</v>
      </c>
      <c r="M10" s="146"/>
      <c r="N10" s="146" t="s">
        <v>2582</v>
      </c>
      <c r="P10" s="58" t="b">
        <f ca="1">IF($Q$1&gt;Table134[[#This Row],[Due Date]],TRUE,FALSE)</f>
        <v>1</v>
      </c>
    </row>
    <row r="11" spans="1:17" ht="81">
      <c r="A11" s="60" t="s">
        <v>860</v>
      </c>
      <c r="B11" s="146" t="s">
        <v>1570</v>
      </c>
      <c r="C11" s="146" t="s">
        <v>149</v>
      </c>
      <c r="D11" s="146"/>
      <c r="E11" s="146" t="s">
        <v>988</v>
      </c>
      <c r="F11" s="146" t="s">
        <v>989</v>
      </c>
      <c r="G11" s="146" t="s">
        <v>301</v>
      </c>
      <c r="H11" s="146" t="s">
        <v>990</v>
      </c>
      <c r="I11" s="253">
        <v>40896</v>
      </c>
      <c r="J11" s="146" t="s">
        <v>336</v>
      </c>
      <c r="K11" s="146" t="s">
        <v>301</v>
      </c>
      <c r="L11" s="146" t="s">
        <v>991</v>
      </c>
      <c r="M11" s="146"/>
      <c r="N11" s="146" t="s">
        <v>2303</v>
      </c>
      <c r="P11" s="58" t="b">
        <f ca="1">IF($Q$1&gt;Table134[[#This Row],[Due Date]],TRUE,FALSE)</f>
        <v>0</v>
      </c>
    </row>
    <row r="12" spans="1:17" ht="67.5">
      <c r="A12" s="60" t="s">
        <v>866</v>
      </c>
      <c r="B12" s="146" t="s">
        <v>1570</v>
      </c>
      <c r="C12" s="146" t="s">
        <v>149</v>
      </c>
      <c r="D12" s="146"/>
      <c r="E12" s="146" t="s">
        <v>1002</v>
      </c>
      <c r="F12" s="146" t="s">
        <v>1003</v>
      </c>
      <c r="G12" s="146" t="s">
        <v>301</v>
      </c>
      <c r="H12" s="146" t="s">
        <v>990</v>
      </c>
      <c r="I12" s="253">
        <v>40896</v>
      </c>
      <c r="J12" s="146" t="s">
        <v>336</v>
      </c>
      <c r="K12" s="146" t="s">
        <v>301</v>
      </c>
      <c r="L12" s="146" t="s">
        <v>991</v>
      </c>
      <c r="M12" s="146"/>
      <c r="N12" s="146" t="s">
        <v>2304</v>
      </c>
      <c r="P12" s="58" t="b">
        <f ca="1">IF($Q$1&gt;Table134[[#This Row],[Due Date]],TRUE,FALSE)</f>
        <v>0</v>
      </c>
    </row>
    <row r="13" spans="1:17" ht="216">
      <c r="A13" s="60" t="s">
        <v>919</v>
      </c>
      <c r="B13" s="146" t="s">
        <v>1132</v>
      </c>
      <c r="C13" s="146" t="s">
        <v>149</v>
      </c>
      <c r="D13" s="146"/>
      <c r="E13" s="146" t="s">
        <v>1133</v>
      </c>
      <c r="F13" s="146" t="s">
        <v>1134</v>
      </c>
      <c r="G13" s="146" t="s">
        <v>1135</v>
      </c>
      <c r="H13" s="146"/>
      <c r="I13" s="253">
        <v>40974</v>
      </c>
      <c r="J13" s="253">
        <v>40996</v>
      </c>
      <c r="K13" s="146" t="s">
        <v>1136</v>
      </c>
      <c r="L13" s="146" t="s">
        <v>969</v>
      </c>
      <c r="M13" s="146"/>
      <c r="N13" s="146" t="s">
        <v>2445</v>
      </c>
      <c r="P13" s="58" t="b">
        <f ca="1">IF($Q$1&gt;Table134[[#This Row],[Due Date]],TRUE,FALSE)</f>
        <v>0</v>
      </c>
    </row>
    <row r="14" spans="1:17" ht="27">
      <c r="A14" s="60" t="s">
        <v>865</v>
      </c>
      <c r="B14" s="146"/>
      <c r="C14" s="146" t="s">
        <v>149</v>
      </c>
      <c r="D14" s="146"/>
      <c r="E14" s="146" t="s">
        <v>999</v>
      </c>
      <c r="F14" s="146" t="s">
        <v>1000</v>
      </c>
      <c r="G14" s="146"/>
      <c r="H14" s="146"/>
      <c r="I14" s="146"/>
      <c r="J14" s="146"/>
      <c r="K14" s="146"/>
      <c r="L14" s="146" t="s">
        <v>965</v>
      </c>
      <c r="M14" s="146"/>
      <c r="N14" s="146" t="s">
        <v>1001</v>
      </c>
      <c r="P14" s="58" t="b">
        <f ca="1">IF($Q$1&gt;Table134[[#This Row],[Due Date]],TRUE,FALSE)</f>
        <v>1</v>
      </c>
    </row>
    <row r="15" spans="1:17" ht="124.5" customHeight="1">
      <c r="A15" s="60" t="s">
        <v>861</v>
      </c>
      <c r="B15" s="146" t="s">
        <v>1570</v>
      </c>
      <c r="C15" s="146" t="s">
        <v>150</v>
      </c>
      <c r="D15" s="146"/>
      <c r="E15" s="146" t="s">
        <v>992</v>
      </c>
      <c r="F15" s="146" t="s">
        <v>993</v>
      </c>
      <c r="G15" s="146" t="s">
        <v>261</v>
      </c>
      <c r="H15" s="146" t="s">
        <v>1532</v>
      </c>
      <c r="I15" s="253">
        <v>40912</v>
      </c>
      <c r="J15" s="146" t="s">
        <v>336</v>
      </c>
      <c r="K15" s="146" t="s">
        <v>336</v>
      </c>
      <c r="L15" s="146" t="s">
        <v>991</v>
      </c>
      <c r="M15" s="146" t="s">
        <v>3092</v>
      </c>
      <c r="N15" s="146" t="s">
        <v>2305</v>
      </c>
      <c r="P15" s="58" t="b">
        <f ca="1">IF($Q$1&gt;Table134[[#This Row],[Due Date]],TRUE,FALSE)</f>
        <v>0</v>
      </c>
    </row>
    <row r="16" spans="1:17" ht="94.5">
      <c r="A16" s="60" t="s">
        <v>862</v>
      </c>
      <c r="B16" s="146" t="s">
        <v>1570</v>
      </c>
      <c r="C16" s="146" t="s">
        <v>150</v>
      </c>
      <c r="D16" s="146"/>
      <c r="E16" s="146" t="s">
        <v>994</v>
      </c>
      <c r="F16" s="146" t="s">
        <v>993</v>
      </c>
      <c r="G16" s="146" t="s">
        <v>261</v>
      </c>
      <c r="H16" s="146" t="s">
        <v>1532</v>
      </c>
      <c r="I16" s="253">
        <v>40912</v>
      </c>
      <c r="J16" s="146" t="s">
        <v>336</v>
      </c>
      <c r="K16" s="146" t="s">
        <v>336</v>
      </c>
      <c r="L16" s="146" t="s">
        <v>991</v>
      </c>
      <c r="M16" s="146" t="s">
        <v>3092</v>
      </c>
      <c r="N16" s="146" t="s">
        <v>2305</v>
      </c>
      <c r="P16" s="58" t="b">
        <f ca="1">IF($Q$1&gt;Table134[[#This Row],[Due Date]],TRUE,FALSE)</f>
        <v>0</v>
      </c>
    </row>
    <row r="17" spans="1:16" ht="94.5">
      <c r="A17" s="60" t="s">
        <v>863</v>
      </c>
      <c r="B17" s="146" t="s">
        <v>1570</v>
      </c>
      <c r="C17" s="146" t="s">
        <v>150</v>
      </c>
      <c r="D17" s="146"/>
      <c r="E17" s="146" t="s">
        <v>995</v>
      </c>
      <c r="F17" s="146" t="s">
        <v>996</v>
      </c>
      <c r="G17" s="146" t="s">
        <v>261</v>
      </c>
      <c r="H17" s="146" t="s">
        <v>1532</v>
      </c>
      <c r="I17" s="253">
        <v>40912</v>
      </c>
      <c r="J17" s="146" t="s">
        <v>336</v>
      </c>
      <c r="K17" s="146" t="s">
        <v>336</v>
      </c>
      <c r="L17" s="146" t="s">
        <v>991</v>
      </c>
      <c r="M17" s="146" t="s">
        <v>3092</v>
      </c>
      <c r="N17" s="146" t="s">
        <v>2305</v>
      </c>
      <c r="P17" s="58" t="b">
        <f ca="1">IF($Q$1&gt;Table134[[#This Row],[Due Date]],TRUE,FALSE)</f>
        <v>0</v>
      </c>
    </row>
    <row r="18" spans="1:16" ht="67.5">
      <c r="A18" s="60" t="s">
        <v>869</v>
      </c>
      <c r="B18" s="146" t="s">
        <v>1570</v>
      </c>
      <c r="C18" s="146" t="s">
        <v>150</v>
      </c>
      <c r="D18" s="146"/>
      <c r="E18" s="268" t="s">
        <v>1009</v>
      </c>
      <c r="F18" s="146" t="s">
        <v>1010</v>
      </c>
      <c r="G18" s="146" t="s">
        <v>261</v>
      </c>
      <c r="H18" s="146" t="s">
        <v>1532</v>
      </c>
      <c r="I18" s="253">
        <v>40912</v>
      </c>
      <c r="J18" s="146" t="s">
        <v>336</v>
      </c>
      <c r="K18" s="146" t="s">
        <v>336</v>
      </c>
      <c r="L18" s="146" t="s">
        <v>965</v>
      </c>
      <c r="M18" s="146" t="s">
        <v>3093</v>
      </c>
      <c r="N18" s="371" t="s">
        <v>2306</v>
      </c>
      <c r="P18" s="58" t="b">
        <f ca="1">IF($Q$1&gt;Table134[[#This Row],[Due Date]],TRUE,FALSE)</f>
        <v>0</v>
      </c>
    </row>
    <row r="19" spans="1:16" ht="67.5">
      <c r="A19" s="60" t="s">
        <v>870</v>
      </c>
      <c r="B19" s="146" t="s">
        <v>1570</v>
      </c>
      <c r="C19" s="146" t="s">
        <v>150</v>
      </c>
      <c r="D19" s="146"/>
      <c r="E19" s="268" t="s">
        <v>1011</v>
      </c>
      <c r="F19" s="146" t="s">
        <v>1012</v>
      </c>
      <c r="G19" s="146" t="s">
        <v>261</v>
      </c>
      <c r="H19" s="146" t="s">
        <v>1532</v>
      </c>
      <c r="I19" s="253">
        <v>40912</v>
      </c>
      <c r="J19" s="146" t="s">
        <v>336</v>
      </c>
      <c r="K19" s="146" t="s">
        <v>336</v>
      </c>
      <c r="L19" s="146" t="s">
        <v>991</v>
      </c>
      <c r="M19" s="146" t="s">
        <v>3094</v>
      </c>
      <c r="N19" s="371" t="s">
        <v>2306</v>
      </c>
      <c r="P19" s="58" t="b">
        <f ca="1">IF($Q$1&gt;Table134[[#This Row],[Due Date]],TRUE,FALSE)</f>
        <v>0</v>
      </c>
    </row>
    <row r="20" spans="1:16" ht="67.5">
      <c r="A20" s="60" t="s">
        <v>874</v>
      </c>
      <c r="B20" s="146" t="s">
        <v>1570</v>
      </c>
      <c r="C20" s="146" t="s">
        <v>150</v>
      </c>
      <c r="D20" s="146"/>
      <c r="E20" s="268" t="s">
        <v>1020</v>
      </c>
      <c r="F20" s="146" t="s">
        <v>1021</v>
      </c>
      <c r="G20" s="146" t="s">
        <v>261</v>
      </c>
      <c r="H20" s="146" t="s">
        <v>1532</v>
      </c>
      <c r="I20" s="253">
        <v>40912</v>
      </c>
      <c r="J20" s="146" t="s">
        <v>336</v>
      </c>
      <c r="K20" s="146" t="s">
        <v>336</v>
      </c>
      <c r="L20" s="146" t="s">
        <v>965</v>
      </c>
      <c r="M20" s="146"/>
      <c r="N20" s="146" t="s">
        <v>2307</v>
      </c>
      <c r="P20" s="58" t="b">
        <f ca="1">IF($Q$1&gt;Table134[[#This Row],[Due Date]],TRUE,FALSE)</f>
        <v>0</v>
      </c>
    </row>
    <row r="21" spans="1:16" ht="67.5">
      <c r="A21" s="60" t="s">
        <v>875</v>
      </c>
      <c r="B21" s="146" t="s">
        <v>1570</v>
      </c>
      <c r="C21" s="146" t="s">
        <v>150</v>
      </c>
      <c r="D21" s="146"/>
      <c r="E21" s="268" t="s">
        <v>1022</v>
      </c>
      <c r="F21" s="146" t="s">
        <v>1023</v>
      </c>
      <c r="G21" s="146" t="s">
        <v>261</v>
      </c>
      <c r="H21" s="146" t="s">
        <v>1532</v>
      </c>
      <c r="I21" s="253">
        <v>40912</v>
      </c>
      <c r="J21" s="146" t="s">
        <v>336</v>
      </c>
      <c r="K21" s="146" t="s">
        <v>336</v>
      </c>
      <c r="L21" s="146" t="s">
        <v>991</v>
      </c>
      <c r="M21" s="146"/>
      <c r="N21" s="146" t="s">
        <v>2307</v>
      </c>
      <c r="P21" s="58" t="b">
        <f ca="1">IF($Q$1&gt;Table134[[#This Row],[Due Date]],TRUE,FALSE)</f>
        <v>0</v>
      </c>
    </row>
    <row r="22" spans="1:16" ht="121.5">
      <c r="A22" s="60" t="s">
        <v>879</v>
      </c>
      <c r="B22" s="146" t="s">
        <v>1570</v>
      </c>
      <c r="C22" s="146" t="s">
        <v>150</v>
      </c>
      <c r="D22" s="146"/>
      <c r="E22" s="268" t="s">
        <v>1032</v>
      </c>
      <c r="F22" s="146" t="s">
        <v>1033</v>
      </c>
      <c r="G22" s="146" t="s">
        <v>261</v>
      </c>
      <c r="H22" s="146" t="s">
        <v>1532</v>
      </c>
      <c r="I22" s="253">
        <v>40912</v>
      </c>
      <c r="J22" s="146" t="s">
        <v>336</v>
      </c>
      <c r="K22" s="146" t="s">
        <v>336</v>
      </c>
      <c r="L22" s="146" t="s">
        <v>991</v>
      </c>
      <c r="M22" s="146"/>
      <c r="N22" s="146" t="s">
        <v>2308</v>
      </c>
      <c r="P22" s="58" t="b">
        <f ca="1">IF($Q$1&gt;Table134[[#This Row],[Due Date]],TRUE,FALSE)</f>
        <v>0</v>
      </c>
    </row>
    <row r="23" spans="1:16" ht="81">
      <c r="A23" s="60" t="s">
        <v>880</v>
      </c>
      <c r="B23" s="146" t="s">
        <v>1570</v>
      </c>
      <c r="C23" s="146" t="s">
        <v>150</v>
      </c>
      <c r="D23" s="146"/>
      <c r="E23" s="268" t="s">
        <v>1034</v>
      </c>
      <c r="F23" s="146" t="s">
        <v>1035</v>
      </c>
      <c r="G23" s="146" t="s">
        <v>261</v>
      </c>
      <c r="H23" s="146" t="s">
        <v>1532</v>
      </c>
      <c r="I23" s="253">
        <v>40912</v>
      </c>
      <c r="J23" s="146" t="s">
        <v>336</v>
      </c>
      <c r="K23" s="146" t="s">
        <v>336</v>
      </c>
      <c r="L23" s="146" t="s">
        <v>991</v>
      </c>
      <c r="M23" s="146"/>
      <c r="N23" s="146" t="s">
        <v>2309</v>
      </c>
      <c r="P23" s="58" t="b">
        <f ca="1">IF($Q$1&gt;Table134[[#This Row],[Due Date]],TRUE,FALSE)</f>
        <v>0</v>
      </c>
    </row>
    <row r="24" spans="1:16" ht="81">
      <c r="A24" s="60" t="s">
        <v>881</v>
      </c>
      <c r="B24" s="146" t="s">
        <v>1570</v>
      </c>
      <c r="C24" s="146" t="s">
        <v>150</v>
      </c>
      <c r="D24" s="146"/>
      <c r="E24" s="268" t="s">
        <v>1036</v>
      </c>
      <c r="F24" s="146" t="s">
        <v>1037</v>
      </c>
      <c r="G24" s="146" t="s">
        <v>261</v>
      </c>
      <c r="H24" s="146" t="s">
        <v>1532</v>
      </c>
      <c r="I24" s="253">
        <v>40912</v>
      </c>
      <c r="J24" s="146" t="s">
        <v>336</v>
      </c>
      <c r="K24" s="146" t="s">
        <v>336</v>
      </c>
      <c r="L24" s="146" t="s">
        <v>991</v>
      </c>
      <c r="M24" s="146"/>
      <c r="N24" s="146" t="s">
        <v>2309</v>
      </c>
      <c r="P24" s="58" t="b">
        <f ca="1">IF($Q$1&gt;Table134[[#This Row],[Due Date]],TRUE,FALSE)</f>
        <v>0</v>
      </c>
    </row>
    <row r="25" spans="1:16" ht="94.5">
      <c r="A25" s="60" t="s">
        <v>872</v>
      </c>
      <c r="B25" s="146"/>
      <c r="C25" s="146" t="s">
        <v>150</v>
      </c>
      <c r="D25" s="146"/>
      <c r="E25" s="254" t="s">
        <v>1015</v>
      </c>
      <c r="F25" s="146" t="s">
        <v>1016</v>
      </c>
      <c r="G25" s="146"/>
      <c r="H25" s="146"/>
      <c r="I25" s="253">
        <v>40912</v>
      </c>
      <c r="J25" s="146"/>
      <c r="K25" s="146"/>
      <c r="L25" s="146" t="s">
        <v>1504</v>
      </c>
      <c r="M25" s="146" t="s">
        <v>664</v>
      </c>
      <c r="N25" s="146" t="s">
        <v>1534</v>
      </c>
      <c r="P25" s="58" t="b">
        <f ca="1">IF($Q$1&gt;Table134[[#This Row],[Due Date]],TRUE,FALSE)</f>
        <v>1</v>
      </c>
    </row>
    <row r="26" spans="1:16" ht="54">
      <c r="A26" s="60" t="s">
        <v>876</v>
      </c>
      <c r="B26" s="146"/>
      <c r="C26" s="146" t="s">
        <v>150</v>
      </c>
      <c r="D26" s="146"/>
      <c r="E26" s="254" t="s">
        <v>1024</v>
      </c>
      <c r="F26" s="146" t="s">
        <v>1025</v>
      </c>
      <c r="G26" s="146"/>
      <c r="H26" s="146"/>
      <c r="I26" s="253">
        <v>40912</v>
      </c>
      <c r="J26" s="146"/>
      <c r="K26" s="146"/>
      <c r="L26" s="146" t="s">
        <v>1504</v>
      </c>
      <c r="M26" s="146" t="s">
        <v>665</v>
      </c>
      <c r="N26" s="146" t="s">
        <v>1536</v>
      </c>
      <c r="P26" s="58" t="b">
        <f ca="1">IF($Q$1&gt;Table134[[#This Row],[Due Date]],TRUE,FALSE)</f>
        <v>1</v>
      </c>
    </row>
    <row r="27" spans="1:16" ht="54">
      <c r="A27" s="60" t="s">
        <v>856</v>
      </c>
      <c r="B27" s="146"/>
      <c r="C27" s="146" t="s">
        <v>150</v>
      </c>
      <c r="D27" s="146"/>
      <c r="E27" s="146" t="s">
        <v>980</v>
      </c>
      <c r="F27" s="146" t="s">
        <v>981</v>
      </c>
      <c r="G27" s="146" t="s">
        <v>186</v>
      </c>
      <c r="H27" s="146" t="s">
        <v>3095</v>
      </c>
      <c r="I27" s="253">
        <v>40912</v>
      </c>
      <c r="J27" s="253">
        <v>40926</v>
      </c>
      <c r="K27" s="146"/>
      <c r="L27" s="146" t="s">
        <v>991</v>
      </c>
      <c r="M27" s="146"/>
      <c r="N27" s="146" t="s">
        <v>1530</v>
      </c>
      <c r="P27" s="58" t="b">
        <f ca="1">IF($Q$1&gt;Table134[[#This Row],[Due Date]],TRUE,FALSE)</f>
        <v>1</v>
      </c>
    </row>
    <row r="28" spans="1:16" ht="94.5">
      <c r="A28" s="60" t="s">
        <v>868</v>
      </c>
      <c r="B28" s="146"/>
      <c r="C28" s="146" t="s">
        <v>150</v>
      </c>
      <c r="D28" s="146"/>
      <c r="E28" s="254" t="s">
        <v>1006</v>
      </c>
      <c r="F28" s="146" t="s">
        <v>1007</v>
      </c>
      <c r="G28" s="146" t="s">
        <v>261</v>
      </c>
      <c r="H28" s="146" t="s">
        <v>261</v>
      </c>
      <c r="I28" s="253">
        <v>40912</v>
      </c>
      <c r="J28" s="253">
        <v>40919</v>
      </c>
      <c r="K28" s="146"/>
      <c r="L28" s="146" t="s">
        <v>965</v>
      </c>
      <c r="M28" s="146"/>
      <c r="N28" s="146" t="s">
        <v>1531</v>
      </c>
      <c r="P28" s="58" t="b">
        <f ca="1">IF($Q$1&gt;Table134[[#This Row],[Due Date]],TRUE,FALSE)</f>
        <v>1</v>
      </c>
    </row>
    <row r="29" spans="1:16" ht="67.5">
      <c r="A29" s="60" t="s">
        <v>873</v>
      </c>
      <c r="B29" s="146"/>
      <c r="C29" s="146" t="s">
        <v>150</v>
      </c>
      <c r="D29" s="146"/>
      <c r="E29" s="254" t="s">
        <v>1017</v>
      </c>
      <c r="F29" s="146" t="s">
        <v>1018</v>
      </c>
      <c r="G29" s="146"/>
      <c r="H29" s="146" t="s">
        <v>261</v>
      </c>
      <c r="I29" s="146"/>
      <c r="J29" s="146"/>
      <c r="K29" s="146"/>
      <c r="L29" s="146" t="s">
        <v>965</v>
      </c>
      <c r="M29" s="146"/>
      <c r="N29" s="146" t="s">
        <v>1019</v>
      </c>
      <c r="P29" s="58" t="b">
        <f ca="1">IF($Q$1&gt;Table134[[#This Row],[Due Date]],TRUE,FALSE)</f>
        <v>1</v>
      </c>
    </row>
    <row r="30" spans="1:16" ht="54">
      <c r="A30" s="60" t="s">
        <v>871</v>
      </c>
      <c r="B30" s="146"/>
      <c r="C30" s="146" t="s">
        <v>150</v>
      </c>
      <c r="D30" s="146"/>
      <c r="E30" s="254" t="s">
        <v>1013</v>
      </c>
      <c r="F30" s="146" t="s">
        <v>1014</v>
      </c>
      <c r="G30" s="146"/>
      <c r="H30" s="146" t="s">
        <v>261</v>
      </c>
      <c r="I30" s="253">
        <v>40912</v>
      </c>
      <c r="J30" s="253">
        <v>40919</v>
      </c>
      <c r="K30" s="146"/>
      <c r="L30" s="146" t="s">
        <v>965</v>
      </c>
      <c r="M30" s="146"/>
      <c r="N30" s="146" t="s">
        <v>1533</v>
      </c>
      <c r="P30" s="58" t="b">
        <f ca="1">IF($Q$1&gt;Table134[[#This Row],[Due Date]],TRUE,FALSE)</f>
        <v>1</v>
      </c>
    </row>
    <row r="31" spans="1:16" ht="54">
      <c r="A31" s="60" t="s">
        <v>877</v>
      </c>
      <c r="B31" s="146"/>
      <c r="C31" s="146" t="s">
        <v>150</v>
      </c>
      <c r="D31" s="146"/>
      <c r="E31" s="254" t="s">
        <v>1026</v>
      </c>
      <c r="F31" s="146" t="s">
        <v>1027</v>
      </c>
      <c r="G31" s="146"/>
      <c r="H31" s="146" t="s">
        <v>261</v>
      </c>
      <c r="I31" s="253">
        <v>40912</v>
      </c>
      <c r="J31" s="253">
        <v>40919</v>
      </c>
      <c r="K31" s="146"/>
      <c r="L31" s="146" t="s">
        <v>965</v>
      </c>
      <c r="M31" s="146"/>
      <c r="N31" s="146" t="s">
        <v>1540</v>
      </c>
      <c r="P31" s="58" t="b">
        <f ca="1">IF($Q$1&gt;Table134[[#This Row],[Due Date]],TRUE,FALSE)</f>
        <v>1</v>
      </c>
    </row>
    <row r="32" spans="1:16" ht="67.5">
      <c r="A32" s="60" t="s">
        <v>878</v>
      </c>
      <c r="B32" s="146"/>
      <c r="C32" s="146" t="s">
        <v>150</v>
      </c>
      <c r="D32" s="146"/>
      <c r="E32" s="254" t="s">
        <v>1028</v>
      </c>
      <c r="F32" s="146" t="s">
        <v>1029</v>
      </c>
      <c r="G32" s="146"/>
      <c r="H32" s="146" t="s">
        <v>261</v>
      </c>
      <c r="I32" s="253">
        <v>40912</v>
      </c>
      <c r="J32" s="253">
        <v>40919</v>
      </c>
      <c r="K32" s="146"/>
      <c r="L32" s="146" t="s">
        <v>965</v>
      </c>
      <c r="M32" s="146"/>
      <c r="N32" s="146" t="s">
        <v>1541</v>
      </c>
      <c r="P32" s="58" t="b">
        <f ca="1">IF($Q$1&gt;Table134[[#This Row],[Due Date]],TRUE,FALSE)</f>
        <v>1</v>
      </c>
    </row>
    <row r="33" spans="1:16" ht="67.5">
      <c r="A33" s="60" t="s">
        <v>882</v>
      </c>
      <c r="B33" s="146"/>
      <c r="C33" s="146" t="s">
        <v>150</v>
      </c>
      <c r="D33" s="146"/>
      <c r="E33" s="254" t="s">
        <v>1038</v>
      </c>
      <c r="F33" s="146" t="s">
        <v>1039</v>
      </c>
      <c r="G33" s="146"/>
      <c r="H33" s="146" t="s">
        <v>261</v>
      </c>
      <c r="I33" s="253">
        <v>40988</v>
      </c>
      <c r="J33" s="146"/>
      <c r="K33" s="146"/>
      <c r="L33" s="146" t="s">
        <v>965</v>
      </c>
      <c r="M33" s="146"/>
      <c r="N33" s="146" t="s">
        <v>3096</v>
      </c>
      <c r="P33" s="58" t="b">
        <f ca="1">IF($Q$1&gt;Table134[[#This Row],[Due Date]],TRUE,FALSE)</f>
        <v>1</v>
      </c>
    </row>
    <row r="34" spans="1:16" ht="67.5">
      <c r="A34" s="60" t="s">
        <v>883</v>
      </c>
      <c r="B34" s="146"/>
      <c r="C34" s="146" t="s">
        <v>150</v>
      </c>
      <c r="D34" s="146"/>
      <c r="E34" s="254" t="s">
        <v>1040</v>
      </c>
      <c r="F34" s="146" t="s">
        <v>1041</v>
      </c>
      <c r="G34" s="146"/>
      <c r="H34" s="146" t="s">
        <v>261</v>
      </c>
      <c r="I34" s="253">
        <v>40988</v>
      </c>
      <c r="J34" s="146"/>
      <c r="K34" s="146"/>
      <c r="L34" s="146" t="s">
        <v>965</v>
      </c>
      <c r="M34" s="146"/>
      <c r="N34" s="146" t="s">
        <v>3097</v>
      </c>
      <c r="P34" s="58" t="b">
        <f ca="1">IF($Q$1&gt;Table134[[#This Row],[Due Date]],TRUE,FALSE)</f>
        <v>1</v>
      </c>
    </row>
    <row r="35" spans="1:16" ht="54">
      <c r="A35" s="60" t="s">
        <v>884</v>
      </c>
      <c r="B35" s="146"/>
      <c r="C35" s="146" t="s">
        <v>150</v>
      </c>
      <c r="D35" s="146"/>
      <c r="E35" s="254" t="s">
        <v>1042</v>
      </c>
      <c r="F35" s="146" t="s">
        <v>1043</v>
      </c>
      <c r="G35" s="146"/>
      <c r="H35" s="146" t="s">
        <v>261</v>
      </c>
      <c r="I35" s="253">
        <v>40988</v>
      </c>
      <c r="J35" s="146"/>
      <c r="K35" s="146"/>
      <c r="L35" s="146" t="s">
        <v>965</v>
      </c>
      <c r="M35" s="146"/>
      <c r="N35" s="146" t="s">
        <v>3098</v>
      </c>
      <c r="P35" s="58" t="b">
        <f ca="1">IF($Q$1&gt;Table134[[#This Row],[Due Date]],TRUE,FALSE)</f>
        <v>1</v>
      </c>
    </row>
    <row r="36" spans="1:16" ht="67.5">
      <c r="A36" s="60" t="s">
        <v>887</v>
      </c>
      <c r="B36" s="146"/>
      <c r="C36" s="146" t="s">
        <v>150</v>
      </c>
      <c r="D36" s="146"/>
      <c r="E36" s="254" t="s">
        <v>1049</v>
      </c>
      <c r="F36" s="146" t="s">
        <v>1012</v>
      </c>
      <c r="G36" s="146"/>
      <c r="H36" s="146" t="s">
        <v>261</v>
      </c>
      <c r="I36" s="253">
        <v>40988</v>
      </c>
      <c r="J36" s="146"/>
      <c r="K36" s="146"/>
      <c r="L36" s="146" t="s">
        <v>965</v>
      </c>
      <c r="M36" s="146"/>
      <c r="N36" s="146"/>
      <c r="P36" s="58" t="b">
        <f ca="1">IF($Q$1&gt;Table134[[#This Row],[Due Date]],TRUE,FALSE)</f>
        <v>1</v>
      </c>
    </row>
    <row r="37" spans="1:16" ht="108">
      <c r="A37" s="60" t="s">
        <v>888</v>
      </c>
      <c r="B37" s="146"/>
      <c r="C37" s="146" t="s">
        <v>150</v>
      </c>
      <c r="D37" s="146"/>
      <c r="E37" s="254" t="s">
        <v>1050</v>
      </c>
      <c r="F37" s="146" t="s">
        <v>1051</v>
      </c>
      <c r="G37" s="146"/>
      <c r="H37" s="146" t="s">
        <v>261</v>
      </c>
      <c r="I37" s="253">
        <v>40988</v>
      </c>
      <c r="J37" s="253" t="s">
        <v>3100</v>
      </c>
      <c r="K37" s="146"/>
      <c r="L37" s="146" t="s">
        <v>991</v>
      </c>
      <c r="M37" s="146"/>
      <c r="N37" s="146" t="s">
        <v>3099</v>
      </c>
      <c r="P37" s="58" t="b">
        <f ca="1">IF($Q$1&gt;Table134[[#This Row],[Due Date]],TRUE,FALSE)</f>
        <v>1</v>
      </c>
    </row>
    <row r="38" spans="1:16" ht="40.5">
      <c r="A38" s="60" t="s">
        <v>889</v>
      </c>
      <c r="B38" s="146"/>
      <c r="C38" s="146" t="s">
        <v>150</v>
      </c>
      <c r="D38" s="146"/>
      <c r="E38" s="254" t="s">
        <v>1055</v>
      </c>
      <c r="F38" s="146" t="s">
        <v>1012</v>
      </c>
      <c r="G38" s="146"/>
      <c r="H38" s="146" t="s">
        <v>261</v>
      </c>
      <c r="I38" s="253">
        <v>40988</v>
      </c>
      <c r="J38" s="146"/>
      <c r="K38" s="146"/>
      <c r="L38" s="146" t="s">
        <v>965</v>
      </c>
      <c r="M38" s="146"/>
      <c r="N38" s="146" t="s">
        <v>3101</v>
      </c>
      <c r="P38" s="58" t="b">
        <f ca="1">IF($Q$1&gt;Table134[[#This Row],[Due Date]],TRUE,FALSE)</f>
        <v>1</v>
      </c>
    </row>
    <row r="39" spans="1:16" ht="40.5">
      <c r="A39" s="60" t="s">
        <v>890</v>
      </c>
      <c r="B39" s="146"/>
      <c r="C39" s="146" t="s">
        <v>150</v>
      </c>
      <c r="D39" s="146"/>
      <c r="E39" s="254" t="s">
        <v>1056</v>
      </c>
      <c r="F39" s="146" t="s">
        <v>1057</v>
      </c>
      <c r="G39" s="146"/>
      <c r="H39" s="146" t="s">
        <v>261</v>
      </c>
      <c r="I39" s="253">
        <v>40988</v>
      </c>
      <c r="J39" s="146"/>
      <c r="K39" s="146"/>
      <c r="L39" s="146" t="s">
        <v>965</v>
      </c>
      <c r="M39" s="146"/>
      <c r="N39" s="146" t="s">
        <v>3101</v>
      </c>
      <c r="P39" s="58" t="b">
        <f ca="1">IF($Q$1&gt;Table134[[#This Row],[Due Date]],TRUE,FALSE)</f>
        <v>1</v>
      </c>
    </row>
    <row r="40" spans="1:16" ht="40.5">
      <c r="A40" s="60" t="s">
        <v>891</v>
      </c>
      <c r="B40" s="146"/>
      <c r="C40" s="146" t="s">
        <v>150</v>
      </c>
      <c r="D40" s="146"/>
      <c r="E40" s="254" t="s">
        <v>1058</v>
      </c>
      <c r="F40" s="146" t="s">
        <v>1057</v>
      </c>
      <c r="G40" s="146"/>
      <c r="H40" s="146" t="s">
        <v>261</v>
      </c>
      <c r="I40" s="253">
        <v>40988</v>
      </c>
      <c r="J40" s="146"/>
      <c r="K40" s="146"/>
      <c r="L40" s="146" t="s">
        <v>965</v>
      </c>
      <c r="M40" s="146"/>
      <c r="N40" s="146" t="s">
        <v>3101</v>
      </c>
      <c r="P40" s="58" t="b">
        <f ca="1">IF($Q$1&gt;Table134[[#This Row],[Due Date]],TRUE,FALSE)</f>
        <v>1</v>
      </c>
    </row>
    <row r="41" spans="1:16" ht="108">
      <c r="A41" s="60" t="s">
        <v>892</v>
      </c>
      <c r="B41" s="146"/>
      <c r="C41" s="146" t="s">
        <v>150</v>
      </c>
      <c r="D41" s="146"/>
      <c r="E41" s="254" t="s">
        <v>1059</v>
      </c>
      <c r="F41" s="146" t="s">
        <v>1060</v>
      </c>
      <c r="G41" s="146"/>
      <c r="H41" s="146" t="s">
        <v>261</v>
      </c>
      <c r="I41" s="253">
        <v>40988</v>
      </c>
      <c r="J41" s="146"/>
      <c r="K41" s="146"/>
      <c r="L41" s="146" t="s">
        <v>965</v>
      </c>
      <c r="M41" s="146"/>
      <c r="N41" s="146" t="s">
        <v>3102</v>
      </c>
      <c r="P41" s="58" t="b">
        <f ca="1">IF($Q$1&gt;Table134[[#This Row],[Due Date]],TRUE,FALSE)</f>
        <v>1</v>
      </c>
    </row>
    <row r="42" spans="1:16" ht="54">
      <c r="A42" s="60" t="s">
        <v>885</v>
      </c>
      <c r="B42" s="146" t="s">
        <v>301</v>
      </c>
      <c r="C42" s="146" t="s">
        <v>150</v>
      </c>
      <c r="D42" s="146"/>
      <c r="E42" s="254" t="s">
        <v>1044</v>
      </c>
      <c r="F42" s="146" t="s">
        <v>1045</v>
      </c>
      <c r="G42" s="146" t="s">
        <v>301</v>
      </c>
      <c r="H42" s="146" t="s">
        <v>1046</v>
      </c>
      <c r="I42" s="253">
        <v>40896</v>
      </c>
      <c r="J42" s="146" t="s">
        <v>336</v>
      </c>
      <c r="K42" s="146" t="s">
        <v>336</v>
      </c>
      <c r="L42" s="146" t="s">
        <v>965</v>
      </c>
      <c r="M42" s="146"/>
      <c r="N42" s="146" t="s">
        <v>1047</v>
      </c>
      <c r="P42" s="58" t="b">
        <f ca="1">IF($Q$1&gt;Table134[[#This Row],[Due Date]],TRUE,FALSE)</f>
        <v>0</v>
      </c>
    </row>
    <row r="43" spans="1:16" ht="94.5">
      <c r="A43" s="60" t="s">
        <v>893</v>
      </c>
      <c r="B43" s="146"/>
      <c r="C43" s="146" t="s">
        <v>150</v>
      </c>
      <c r="D43" s="146"/>
      <c r="E43" s="254" t="s">
        <v>1061</v>
      </c>
      <c r="F43" s="146" t="s">
        <v>1062</v>
      </c>
      <c r="G43" s="146"/>
      <c r="H43" s="146" t="s">
        <v>261</v>
      </c>
      <c r="I43" s="253">
        <v>40988</v>
      </c>
      <c r="J43" s="146"/>
      <c r="K43" s="146"/>
      <c r="L43" s="146" t="s">
        <v>965</v>
      </c>
      <c r="M43" s="146"/>
      <c r="N43" s="146" t="s">
        <v>3103</v>
      </c>
      <c r="P43" s="58" t="b">
        <f ca="1">IF($Q$1&gt;Table134[[#This Row],[Due Date]],TRUE,FALSE)</f>
        <v>1</v>
      </c>
    </row>
    <row r="44" spans="1:16" ht="67.5">
      <c r="A44" s="60" t="s">
        <v>894</v>
      </c>
      <c r="B44" s="146"/>
      <c r="C44" s="146" t="s">
        <v>150</v>
      </c>
      <c r="D44" s="146"/>
      <c r="E44" s="254" t="s">
        <v>1063</v>
      </c>
      <c r="F44" s="146" t="s">
        <v>1064</v>
      </c>
      <c r="G44" s="146"/>
      <c r="H44" s="146" t="s">
        <v>261</v>
      </c>
      <c r="I44" s="253">
        <v>40988</v>
      </c>
      <c r="J44" s="146"/>
      <c r="K44" s="146"/>
      <c r="L44" s="146" t="s">
        <v>965</v>
      </c>
      <c r="M44" s="146"/>
      <c r="N44" s="146" t="s">
        <v>3103</v>
      </c>
      <c r="P44" s="58" t="b">
        <f ca="1">IF($Q$1&gt;Table134[[#This Row],[Due Date]],TRUE,FALSE)</f>
        <v>1</v>
      </c>
    </row>
    <row r="45" spans="1:16" ht="54">
      <c r="A45" s="60" t="s">
        <v>895</v>
      </c>
      <c r="B45" s="146"/>
      <c r="C45" s="146" t="s">
        <v>150</v>
      </c>
      <c r="D45" s="146"/>
      <c r="E45" s="254" t="s">
        <v>1065</v>
      </c>
      <c r="F45" s="146" t="s">
        <v>1057</v>
      </c>
      <c r="G45" s="146"/>
      <c r="H45" s="146" t="s">
        <v>261</v>
      </c>
      <c r="I45" s="253">
        <v>40988</v>
      </c>
      <c r="J45" s="146"/>
      <c r="K45" s="146"/>
      <c r="L45" s="146" t="s">
        <v>965</v>
      </c>
      <c r="M45" s="146"/>
      <c r="N45" s="146" t="s">
        <v>3103</v>
      </c>
      <c r="P45" s="58" t="b">
        <f ca="1">IF($Q$1&gt;Table134[[#This Row],[Due Date]],TRUE,FALSE)</f>
        <v>1</v>
      </c>
    </row>
    <row r="46" spans="1:16" ht="54">
      <c r="A46" s="60" t="s">
        <v>896</v>
      </c>
      <c r="B46" s="146"/>
      <c r="C46" s="146" t="s">
        <v>150</v>
      </c>
      <c r="D46" s="146"/>
      <c r="E46" s="254" t="s">
        <v>1066</v>
      </c>
      <c r="F46" s="146" t="s">
        <v>1057</v>
      </c>
      <c r="G46" s="146"/>
      <c r="H46" s="146" t="s">
        <v>261</v>
      </c>
      <c r="I46" s="253">
        <v>40988</v>
      </c>
      <c r="J46" s="146"/>
      <c r="K46" s="146"/>
      <c r="L46" s="146" t="s">
        <v>991</v>
      </c>
      <c r="M46" s="146"/>
      <c r="N46" s="146" t="s">
        <v>3104</v>
      </c>
      <c r="P46" s="58" t="b">
        <f ca="1">IF($Q$1&gt;Table134[[#This Row],[Due Date]],TRUE,FALSE)</f>
        <v>1</v>
      </c>
    </row>
    <row r="47" spans="1:16" ht="67.5">
      <c r="A47" s="60" t="s">
        <v>897</v>
      </c>
      <c r="B47" s="146"/>
      <c r="C47" s="146" t="s">
        <v>150</v>
      </c>
      <c r="D47" s="146"/>
      <c r="E47" s="254" t="s">
        <v>1067</v>
      </c>
      <c r="F47" s="146" t="s">
        <v>1068</v>
      </c>
      <c r="G47" s="146"/>
      <c r="H47" s="146" t="s">
        <v>261</v>
      </c>
      <c r="I47" s="253">
        <v>40988</v>
      </c>
      <c r="J47" s="146"/>
      <c r="K47" s="146"/>
      <c r="L47" s="146" t="s">
        <v>965</v>
      </c>
      <c r="M47" s="146"/>
      <c r="N47" s="146" t="s">
        <v>3103</v>
      </c>
      <c r="P47" s="58" t="b">
        <f ca="1">IF($Q$1&gt;Table134[[#This Row],[Due Date]],TRUE,FALSE)</f>
        <v>1</v>
      </c>
    </row>
    <row r="48" spans="1:16" ht="54">
      <c r="A48" s="60" t="s">
        <v>898</v>
      </c>
      <c r="B48" s="146"/>
      <c r="C48" s="146" t="s">
        <v>150</v>
      </c>
      <c r="D48" s="146"/>
      <c r="E48" s="254" t="s">
        <v>1069</v>
      </c>
      <c r="F48" s="146" t="s">
        <v>1023</v>
      </c>
      <c r="G48" s="146"/>
      <c r="H48" s="146" t="s">
        <v>261</v>
      </c>
      <c r="I48" s="253">
        <v>40988</v>
      </c>
      <c r="J48" s="146"/>
      <c r="K48" s="146"/>
      <c r="L48" s="146" t="s">
        <v>965</v>
      </c>
      <c r="M48" s="146"/>
      <c r="N48" s="146" t="s">
        <v>3103</v>
      </c>
      <c r="P48" s="58" t="b">
        <f ca="1">IF($Q$1&gt;Table134[[#This Row],[Due Date]],TRUE,FALSE)</f>
        <v>1</v>
      </c>
    </row>
    <row r="49" spans="1:16" ht="40.5">
      <c r="A49" s="60" t="s">
        <v>899</v>
      </c>
      <c r="B49" s="146"/>
      <c r="C49" s="146" t="s">
        <v>150</v>
      </c>
      <c r="D49" s="146"/>
      <c r="E49" s="254" t="s">
        <v>1071</v>
      </c>
      <c r="F49" s="146" t="s">
        <v>1072</v>
      </c>
      <c r="G49" s="146"/>
      <c r="H49" s="146" t="s">
        <v>261</v>
      </c>
      <c r="I49" s="253">
        <v>40988</v>
      </c>
      <c r="J49" s="146"/>
      <c r="K49" s="146"/>
      <c r="L49" s="146" t="s">
        <v>965</v>
      </c>
      <c r="M49" s="146"/>
      <c r="N49" s="146" t="s">
        <v>3103</v>
      </c>
      <c r="P49" s="58" t="b">
        <f ca="1">IF($Q$1&gt;Table134[[#This Row],[Due Date]],TRUE,FALSE)</f>
        <v>1</v>
      </c>
    </row>
    <row r="50" spans="1:16" ht="40.5">
      <c r="A50" s="60" t="s">
        <v>900</v>
      </c>
      <c r="B50" s="146"/>
      <c r="C50" s="146" t="s">
        <v>150</v>
      </c>
      <c r="D50" s="146"/>
      <c r="E50" s="254" t="s">
        <v>1073</v>
      </c>
      <c r="F50" s="146" t="s">
        <v>1057</v>
      </c>
      <c r="G50" s="146"/>
      <c r="H50" s="146" t="s">
        <v>261</v>
      </c>
      <c r="I50" s="253">
        <v>40988</v>
      </c>
      <c r="J50" s="146"/>
      <c r="K50" s="146"/>
      <c r="L50" s="146" t="s">
        <v>965</v>
      </c>
      <c r="M50" s="146"/>
      <c r="N50" s="146" t="s">
        <v>3103</v>
      </c>
      <c r="P50" s="58" t="b">
        <f ca="1">IF($Q$1&gt;Table134[[#This Row],[Due Date]],TRUE,FALSE)</f>
        <v>1</v>
      </c>
    </row>
    <row r="51" spans="1:16" ht="54">
      <c r="A51" s="60" t="s">
        <v>901</v>
      </c>
      <c r="B51" s="146"/>
      <c r="C51" s="146" t="s">
        <v>150</v>
      </c>
      <c r="D51" s="146"/>
      <c r="E51" s="254" t="s">
        <v>1074</v>
      </c>
      <c r="F51" s="146" t="s">
        <v>1075</v>
      </c>
      <c r="G51" s="146"/>
      <c r="H51" s="146" t="s">
        <v>261</v>
      </c>
      <c r="I51" s="253">
        <v>40988</v>
      </c>
      <c r="J51" s="146"/>
      <c r="K51" s="146"/>
      <c r="L51" s="146" t="s">
        <v>965</v>
      </c>
      <c r="M51" s="146"/>
      <c r="N51" s="146" t="s">
        <v>3103</v>
      </c>
      <c r="P51" s="58" t="b">
        <f ca="1">IF($Q$1&gt;Table134[[#This Row],[Due Date]],TRUE,FALSE)</f>
        <v>1</v>
      </c>
    </row>
    <row r="52" spans="1:16" ht="67.5">
      <c r="A52" s="60" t="s">
        <v>902</v>
      </c>
      <c r="B52" s="146"/>
      <c r="C52" s="146" t="s">
        <v>150</v>
      </c>
      <c r="D52" s="146"/>
      <c r="E52" s="254" t="s">
        <v>1076</v>
      </c>
      <c r="F52" s="146" t="s">
        <v>1077</v>
      </c>
      <c r="G52" s="146"/>
      <c r="H52" s="146" t="s">
        <v>261</v>
      </c>
      <c r="I52" s="253">
        <v>40988</v>
      </c>
      <c r="J52" s="146"/>
      <c r="K52" s="146"/>
      <c r="L52" s="146" t="s">
        <v>965</v>
      </c>
      <c r="M52" s="146"/>
      <c r="N52" s="146" t="s">
        <v>3103</v>
      </c>
      <c r="P52" s="58" t="b">
        <f ca="1">IF($Q$1&gt;Table134[[#This Row],[Due Date]],TRUE,FALSE)</f>
        <v>1</v>
      </c>
    </row>
    <row r="53" spans="1:16" ht="40.5">
      <c r="A53" s="60" t="s">
        <v>903</v>
      </c>
      <c r="B53" s="146"/>
      <c r="C53" s="146" t="s">
        <v>150</v>
      </c>
      <c r="D53" s="146"/>
      <c r="E53" s="254" t="s">
        <v>1078</v>
      </c>
      <c r="F53" s="146" t="s">
        <v>1012</v>
      </c>
      <c r="G53" s="146"/>
      <c r="H53" s="146" t="s">
        <v>261</v>
      </c>
      <c r="I53" s="253">
        <v>40988</v>
      </c>
      <c r="J53" s="146"/>
      <c r="K53" s="146"/>
      <c r="L53" s="146" t="s">
        <v>965</v>
      </c>
      <c r="M53" s="146"/>
      <c r="N53" s="146" t="s">
        <v>3103</v>
      </c>
      <c r="P53" s="58" t="b">
        <f ca="1">IF($Q$1&gt;Table134[[#This Row],[Due Date]],TRUE,FALSE)</f>
        <v>1</v>
      </c>
    </row>
    <row r="54" spans="1:16" ht="67.5">
      <c r="A54" s="60" t="s">
        <v>904</v>
      </c>
      <c r="B54" s="146"/>
      <c r="C54" s="146" t="s">
        <v>150</v>
      </c>
      <c r="D54" s="146"/>
      <c r="E54" s="254" t="s">
        <v>1079</v>
      </c>
      <c r="F54" s="146" t="s">
        <v>1080</v>
      </c>
      <c r="G54" s="146"/>
      <c r="H54" s="146" t="s">
        <v>261</v>
      </c>
      <c r="I54" s="253">
        <v>40988</v>
      </c>
      <c r="J54" s="146"/>
      <c r="K54" s="146"/>
      <c r="L54" s="146" t="s">
        <v>965</v>
      </c>
      <c r="M54" s="146"/>
      <c r="N54" s="146" t="s">
        <v>3103</v>
      </c>
      <c r="P54" s="58" t="b">
        <f ca="1">IF($Q$1&gt;Table134[[#This Row],[Due Date]],TRUE,FALSE)</f>
        <v>1</v>
      </c>
    </row>
    <row r="55" spans="1:16" ht="40.5">
      <c r="A55" s="60" t="s">
        <v>905</v>
      </c>
      <c r="B55" s="146"/>
      <c r="C55" s="146" t="s">
        <v>150</v>
      </c>
      <c r="D55" s="146"/>
      <c r="E55" s="254" t="s">
        <v>1081</v>
      </c>
      <c r="F55" s="146" t="s">
        <v>1082</v>
      </c>
      <c r="G55" s="146"/>
      <c r="H55" s="146" t="s">
        <v>261</v>
      </c>
      <c r="I55" s="253">
        <v>40988</v>
      </c>
      <c r="J55" s="146"/>
      <c r="K55" s="146"/>
      <c r="L55" s="146" t="s">
        <v>965</v>
      </c>
      <c r="M55" s="146"/>
      <c r="N55" s="146" t="s">
        <v>3103</v>
      </c>
      <c r="P55" s="58" t="b">
        <f ca="1">IF($Q$1&gt;Table134[[#This Row],[Due Date]],TRUE,FALSE)</f>
        <v>1</v>
      </c>
    </row>
    <row r="56" spans="1:16" ht="108">
      <c r="A56" s="60" t="s">
        <v>906</v>
      </c>
      <c r="B56" s="146"/>
      <c r="C56" s="146" t="s">
        <v>150</v>
      </c>
      <c r="D56" s="146"/>
      <c r="E56" s="254" t="s">
        <v>1083</v>
      </c>
      <c r="F56" s="146" t="s">
        <v>1084</v>
      </c>
      <c r="G56" s="146"/>
      <c r="H56" s="146" t="s">
        <v>261</v>
      </c>
      <c r="I56" s="253">
        <v>40988</v>
      </c>
      <c r="J56" s="146"/>
      <c r="K56" s="146"/>
      <c r="L56" s="146" t="s">
        <v>991</v>
      </c>
      <c r="M56" s="146"/>
      <c r="N56" s="146" t="s">
        <v>3105</v>
      </c>
      <c r="P56" s="58" t="b">
        <f ca="1">IF($Q$1&gt;Table134[[#This Row],[Due Date]],TRUE,FALSE)</f>
        <v>1</v>
      </c>
    </row>
    <row r="57" spans="1:16" ht="67.5">
      <c r="A57" s="60" t="s">
        <v>907</v>
      </c>
      <c r="B57" s="146"/>
      <c r="C57" s="146" t="s">
        <v>150</v>
      </c>
      <c r="D57" s="146"/>
      <c r="E57" s="254" t="s">
        <v>1085</v>
      </c>
      <c r="F57" s="146" t="s">
        <v>1086</v>
      </c>
      <c r="G57" s="146"/>
      <c r="H57" s="146" t="s">
        <v>261</v>
      </c>
      <c r="I57" s="253">
        <v>40988</v>
      </c>
      <c r="J57" s="146"/>
      <c r="K57" s="146"/>
      <c r="L57" s="146" t="s">
        <v>965</v>
      </c>
      <c r="M57" s="146"/>
      <c r="N57" s="146" t="s">
        <v>3103</v>
      </c>
      <c r="P57" s="58" t="b">
        <f ca="1">IF($Q$1&gt;Table134[[#This Row],[Due Date]],TRUE,FALSE)</f>
        <v>1</v>
      </c>
    </row>
    <row r="58" spans="1:16" ht="54">
      <c r="A58" s="60" t="s">
        <v>908</v>
      </c>
      <c r="B58" s="146"/>
      <c r="C58" s="146" t="s">
        <v>150</v>
      </c>
      <c r="D58" s="146"/>
      <c r="E58" s="255" t="s">
        <v>1087</v>
      </c>
      <c r="F58" s="146" t="s">
        <v>1088</v>
      </c>
      <c r="G58" s="146"/>
      <c r="H58" s="146" t="s">
        <v>261</v>
      </c>
      <c r="I58" s="253">
        <v>40988</v>
      </c>
      <c r="J58" s="146"/>
      <c r="K58" s="146"/>
      <c r="L58" s="146" t="s">
        <v>991</v>
      </c>
      <c r="M58" s="146"/>
      <c r="N58" s="146" t="s">
        <v>3106</v>
      </c>
      <c r="P58" s="58" t="b">
        <f ca="1">IF($Q$1&gt;Table134[[#This Row],[Due Date]],TRUE,FALSE)</f>
        <v>1</v>
      </c>
    </row>
    <row r="59" spans="1:16" ht="297">
      <c r="A59" s="60" t="s">
        <v>1103</v>
      </c>
      <c r="B59" s="324" t="s">
        <v>828</v>
      </c>
      <c r="C59" s="324" t="s">
        <v>150</v>
      </c>
      <c r="D59" s="324"/>
      <c r="E59" s="324" t="s">
        <v>1107</v>
      </c>
      <c r="F59" s="324" t="s">
        <v>1108</v>
      </c>
      <c r="G59" s="146"/>
      <c r="H59" s="146" t="s">
        <v>261</v>
      </c>
      <c r="I59" s="253">
        <v>40988</v>
      </c>
      <c r="J59" s="146"/>
      <c r="K59" s="146"/>
      <c r="L59" s="146" t="s">
        <v>991</v>
      </c>
      <c r="M59" s="146"/>
      <c r="N59" s="146" t="s">
        <v>3107</v>
      </c>
      <c r="P59" s="58" t="b">
        <f ca="1">IF($Q$1&gt;Table134[[#This Row],[Due Date]],TRUE,FALSE)</f>
        <v>1</v>
      </c>
    </row>
    <row r="60" spans="1:16" ht="54">
      <c r="A60" s="60" t="s">
        <v>1118</v>
      </c>
      <c r="B60" s="146"/>
      <c r="C60" s="146" t="s">
        <v>150</v>
      </c>
      <c r="D60" s="146"/>
      <c r="E60" s="146" t="s">
        <v>1112</v>
      </c>
      <c r="F60" s="146" t="s">
        <v>1113</v>
      </c>
      <c r="G60" s="146"/>
      <c r="H60" s="146"/>
      <c r="I60" s="146"/>
      <c r="J60" s="146"/>
      <c r="K60" s="146"/>
      <c r="L60" s="146" t="s">
        <v>969</v>
      </c>
      <c r="M60" s="146"/>
      <c r="N60" s="146"/>
      <c r="P60" s="58" t="b">
        <f ca="1">IF($Q$1&gt;Table134[[#This Row],[Due Date]],TRUE,FALSE)</f>
        <v>1</v>
      </c>
    </row>
    <row r="61" spans="1:16" ht="54">
      <c r="A61" s="60" t="s">
        <v>1120</v>
      </c>
      <c r="B61" s="146"/>
      <c r="C61" s="146" t="s">
        <v>150</v>
      </c>
      <c r="D61" s="146"/>
      <c r="E61" s="146" t="s">
        <v>1121</v>
      </c>
      <c r="F61" s="146" t="s">
        <v>1113</v>
      </c>
      <c r="G61" s="146"/>
      <c r="H61" s="146"/>
      <c r="I61" s="146"/>
      <c r="J61" s="146"/>
      <c r="K61" s="146"/>
      <c r="L61" s="146" t="s">
        <v>969</v>
      </c>
      <c r="M61" s="146"/>
      <c r="N61" s="146"/>
      <c r="P61" s="58" t="b">
        <f ca="1">IF($Q$1&gt;Table134[[#This Row],[Due Date]],TRUE,FALSE)</f>
        <v>1</v>
      </c>
    </row>
    <row r="62" spans="1:16" ht="54">
      <c r="A62" s="60" t="s">
        <v>916</v>
      </c>
      <c r="B62" s="146"/>
      <c r="C62" s="146" t="s">
        <v>150</v>
      </c>
      <c r="D62" s="146"/>
      <c r="E62" s="146" t="s">
        <v>1123</v>
      </c>
      <c r="F62" s="146" t="s">
        <v>1113</v>
      </c>
      <c r="G62" s="146"/>
      <c r="H62" s="146"/>
      <c r="I62" s="146"/>
      <c r="J62" s="146"/>
      <c r="K62" s="146"/>
      <c r="L62" s="146" t="s">
        <v>969</v>
      </c>
      <c r="M62" s="146"/>
      <c r="N62" s="146"/>
      <c r="P62" s="58" t="b">
        <f ca="1">IF($Q$1&gt;Table134[[#This Row],[Due Date]],TRUE,FALSE)</f>
        <v>1</v>
      </c>
    </row>
    <row r="63" spans="1:16" ht="54">
      <c r="A63" s="60" t="s">
        <v>917</v>
      </c>
      <c r="B63" s="146"/>
      <c r="C63" s="146" t="s">
        <v>150</v>
      </c>
      <c r="D63" s="146"/>
      <c r="E63" s="146" t="s">
        <v>1124</v>
      </c>
      <c r="F63" s="146" t="s">
        <v>1113</v>
      </c>
      <c r="G63" s="146"/>
      <c r="H63" s="146"/>
      <c r="I63" s="146"/>
      <c r="J63" s="146"/>
      <c r="K63" s="146"/>
      <c r="L63" s="146" t="s">
        <v>969</v>
      </c>
      <c r="M63" s="146"/>
      <c r="N63" s="146"/>
      <c r="P63" s="58" t="b">
        <f ca="1">IF($Q$1&gt;Table134[[#This Row],[Due Date]],TRUE,FALSE)</f>
        <v>1</v>
      </c>
    </row>
    <row r="64" spans="1:16" ht="67.5">
      <c r="A64" s="60" t="s">
        <v>918</v>
      </c>
      <c r="B64" s="146"/>
      <c r="C64" s="146" t="s">
        <v>150</v>
      </c>
      <c r="D64" s="146"/>
      <c r="E64" s="146" t="s">
        <v>1127</v>
      </c>
      <c r="F64" s="146" t="s">
        <v>1113</v>
      </c>
      <c r="G64" s="146"/>
      <c r="H64" s="146"/>
      <c r="I64" s="146"/>
      <c r="J64" s="146"/>
      <c r="K64" s="146"/>
      <c r="L64" s="146" t="s">
        <v>969</v>
      </c>
      <c r="M64" s="146"/>
      <c r="N64" s="146"/>
      <c r="P64" s="58" t="b">
        <f ca="1">IF($Q$1&gt;Table134[[#This Row],[Due Date]],TRUE,FALSE)</f>
        <v>1</v>
      </c>
    </row>
    <row r="65" spans="1:16" ht="54">
      <c r="A65" s="60" t="s">
        <v>886</v>
      </c>
      <c r="B65" s="146"/>
      <c r="C65" s="146" t="s">
        <v>150</v>
      </c>
      <c r="D65" s="146"/>
      <c r="E65" s="254" t="s">
        <v>2872</v>
      </c>
      <c r="F65" s="146" t="s">
        <v>1048</v>
      </c>
      <c r="G65" s="146"/>
      <c r="H65" s="146"/>
      <c r="I65" s="253">
        <v>40926</v>
      </c>
      <c r="J65" s="253">
        <v>40919</v>
      </c>
      <c r="K65" s="146"/>
      <c r="L65" s="146" t="s">
        <v>969</v>
      </c>
      <c r="M65" s="146"/>
      <c r="N65" s="146" t="s">
        <v>1690</v>
      </c>
      <c r="P65" s="58" t="b">
        <f ca="1">IF($Q$1&gt;Table134[[#This Row],[Due Date]],TRUE,FALSE)</f>
        <v>1</v>
      </c>
    </row>
    <row r="66" spans="1:16" ht="40.5">
      <c r="A66" s="60" t="s">
        <v>923</v>
      </c>
      <c r="B66" s="60" t="s">
        <v>261</v>
      </c>
      <c r="C66" s="323" t="s">
        <v>150</v>
      </c>
      <c r="D66" s="323" t="s">
        <v>2873</v>
      </c>
      <c r="E66" s="323" t="s">
        <v>2874</v>
      </c>
      <c r="F66" s="323" t="s">
        <v>2877</v>
      </c>
      <c r="G66" s="146"/>
      <c r="H66" s="146" t="s">
        <v>261</v>
      </c>
      <c r="I66" s="253">
        <v>40988</v>
      </c>
      <c r="J66" s="146"/>
      <c r="K66" s="146"/>
      <c r="L66" s="146" t="s">
        <v>991</v>
      </c>
      <c r="M66" s="146"/>
      <c r="N66" s="146" t="s">
        <v>3108</v>
      </c>
      <c r="P66" s="58" t="b">
        <f ca="1">IF($Q$1&gt;Table134[[#This Row],[Due Date]],TRUE,FALSE)</f>
        <v>1</v>
      </c>
    </row>
    <row r="67" spans="1:16" ht="54">
      <c r="A67" s="60" t="s">
        <v>924</v>
      </c>
      <c r="B67" s="60" t="s">
        <v>261</v>
      </c>
      <c r="C67" s="323" t="s">
        <v>150</v>
      </c>
      <c r="D67" s="323" t="s">
        <v>2873</v>
      </c>
      <c r="E67" s="323" t="s">
        <v>2875</v>
      </c>
      <c r="F67" s="323" t="s">
        <v>2878</v>
      </c>
      <c r="G67" s="146"/>
      <c r="H67" s="146" t="s">
        <v>261</v>
      </c>
      <c r="I67" s="253">
        <v>40988</v>
      </c>
      <c r="J67" s="146"/>
      <c r="K67" s="146"/>
      <c r="L67" s="146" t="s">
        <v>991</v>
      </c>
      <c r="M67" s="146"/>
      <c r="N67" s="146" t="s">
        <v>3108</v>
      </c>
      <c r="P67" s="58" t="b">
        <f ca="1">IF($Q$1&gt;Table134[[#This Row],[Due Date]],TRUE,FALSE)</f>
        <v>1</v>
      </c>
    </row>
    <row r="68" spans="1:16" ht="81">
      <c r="A68" s="60" t="s">
        <v>925</v>
      </c>
      <c r="B68" s="60" t="s">
        <v>261</v>
      </c>
      <c r="C68" s="323" t="s">
        <v>150</v>
      </c>
      <c r="D68" s="323" t="s">
        <v>2873</v>
      </c>
      <c r="E68" s="323" t="s">
        <v>2876</v>
      </c>
      <c r="F68" s="323" t="s">
        <v>2879</v>
      </c>
      <c r="G68" s="146"/>
      <c r="H68" s="146" t="s">
        <v>261</v>
      </c>
      <c r="I68" s="253">
        <v>40988</v>
      </c>
      <c r="J68" s="146"/>
      <c r="K68" s="146"/>
      <c r="L68" s="146" t="s">
        <v>991</v>
      </c>
      <c r="M68" s="146"/>
      <c r="N68" s="146" t="s">
        <v>3108</v>
      </c>
      <c r="P68" s="58" t="b">
        <f ca="1">IF($Q$1&gt;Table134[[#This Row],[Due Date]],TRUE,FALSE)</f>
        <v>1</v>
      </c>
    </row>
    <row r="69" spans="1:16" ht="81">
      <c r="A69" s="60" t="s">
        <v>926</v>
      </c>
      <c r="B69" s="60"/>
      <c r="C69" s="323" t="s">
        <v>150</v>
      </c>
      <c r="D69" s="323"/>
      <c r="E69" s="323" t="s">
        <v>2882</v>
      </c>
      <c r="F69" s="323" t="s">
        <v>2884</v>
      </c>
      <c r="G69" s="146"/>
      <c r="H69" s="146" t="s">
        <v>261</v>
      </c>
      <c r="I69" s="253">
        <v>40988</v>
      </c>
      <c r="J69" s="146"/>
      <c r="K69" s="146"/>
      <c r="L69" s="146" t="s">
        <v>991</v>
      </c>
      <c r="M69" s="146"/>
      <c r="N69" s="146" t="s">
        <v>3108</v>
      </c>
      <c r="P69" s="58" t="b">
        <f ca="1">IF($Q$1&gt;Table134[[#This Row],[Due Date]],TRUE,FALSE)</f>
        <v>1</v>
      </c>
    </row>
    <row r="70" spans="1:16" ht="54">
      <c r="A70" s="60" t="s">
        <v>927</v>
      </c>
      <c r="B70" s="60"/>
      <c r="C70" s="323" t="s">
        <v>150</v>
      </c>
      <c r="D70" s="323"/>
      <c r="E70" s="323" t="s">
        <v>2880</v>
      </c>
      <c r="F70" s="323" t="s">
        <v>2885</v>
      </c>
      <c r="G70" s="146"/>
      <c r="H70" s="146" t="s">
        <v>261</v>
      </c>
      <c r="I70" s="253">
        <v>40988</v>
      </c>
      <c r="J70" s="146"/>
      <c r="K70" s="146"/>
      <c r="L70" s="146" t="s">
        <v>991</v>
      </c>
      <c r="M70" s="146"/>
      <c r="N70" s="146" t="s">
        <v>3108</v>
      </c>
      <c r="P70" s="58" t="b">
        <f ca="1">IF($Q$1&gt;Table134[[#This Row],[Due Date]],TRUE,FALSE)</f>
        <v>1</v>
      </c>
    </row>
    <row r="71" spans="1:16" ht="40.5">
      <c r="A71" s="60" t="s">
        <v>928</v>
      </c>
      <c r="B71" s="60"/>
      <c r="C71" s="323" t="s">
        <v>150</v>
      </c>
      <c r="D71" s="323"/>
      <c r="E71" s="323" t="s">
        <v>2881</v>
      </c>
      <c r="F71" s="323"/>
      <c r="G71" s="323"/>
      <c r="H71" s="146" t="s">
        <v>261</v>
      </c>
      <c r="I71" s="253">
        <v>40988</v>
      </c>
      <c r="J71" s="146"/>
      <c r="K71" s="146"/>
      <c r="L71" s="146" t="s">
        <v>991</v>
      </c>
      <c r="M71" s="146"/>
      <c r="N71" s="146" t="s">
        <v>3108</v>
      </c>
      <c r="P71" s="58" t="b">
        <f ca="1">IF($Q$1&gt;Table134[[#This Row],[Due Date]],TRUE,FALSE)</f>
        <v>1</v>
      </c>
    </row>
    <row r="72" spans="1:16" ht="40.5">
      <c r="A72" s="60" t="s">
        <v>929</v>
      </c>
      <c r="B72" s="60"/>
      <c r="C72" s="323" t="s">
        <v>150</v>
      </c>
      <c r="D72" s="323"/>
      <c r="E72" s="323" t="s">
        <v>2886</v>
      </c>
      <c r="F72" s="323" t="s">
        <v>2887</v>
      </c>
      <c r="G72" s="323"/>
      <c r="H72" s="146" t="s">
        <v>261</v>
      </c>
      <c r="I72" s="253">
        <v>40988</v>
      </c>
      <c r="J72" s="146"/>
      <c r="K72" s="146"/>
      <c r="L72" s="146" t="s">
        <v>991</v>
      </c>
      <c r="M72" s="146"/>
      <c r="N72" s="146" t="s">
        <v>3108</v>
      </c>
      <c r="P72" s="58" t="b">
        <f ca="1">IF($Q$1&gt;Table134[[#This Row],[Due Date]],TRUE,FALSE)</f>
        <v>1</v>
      </c>
    </row>
    <row r="73" spans="1:16" ht="54">
      <c r="A73" s="60" t="s">
        <v>930</v>
      </c>
      <c r="B73" s="60"/>
      <c r="C73" s="323" t="s">
        <v>150</v>
      </c>
      <c r="D73" s="323" t="s">
        <v>2890</v>
      </c>
      <c r="E73" s="323" t="s">
        <v>2888</v>
      </c>
      <c r="F73" s="323" t="s">
        <v>2889</v>
      </c>
      <c r="G73" s="323"/>
      <c r="H73" s="146" t="s">
        <v>261</v>
      </c>
      <c r="I73" s="253">
        <v>40988</v>
      </c>
      <c r="J73" s="146"/>
      <c r="K73" s="146"/>
      <c r="L73" s="146" t="s">
        <v>991</v>
      </c>
      <c r="M73" s="146"/>
      <c r="N73" s="146" t="s">
        <v>3108</v>
      </c>
      <c r="P73" s="58" t="b">
        <f ca="1">IF($Q$1&gt;Table134[[#This Row],[Due Date]],TRUE,FALSE)</f>
        <v>1</v>
      </c>
    </row>
    <row r="74" spans="1:16" ht="54">
      <c r="A74" s="60" t="s">
        <v>931</v>
      </c>
      <c r="B74" s="60"/>
      <c r="C74" s="323" t="s">
        <v>150</v>
      </c>
      <c r="D74" s="323" t="s">
        <v>2890</v>
      </c>
      <c r="E74" s="323" t="s">
        <v>2891</v>
      </c>
      <c r="F74" s="323" t="s">
        <v>2892</v>
      </c>
      <c r="G74" s="323"/>
      <c r="H74" s="146" t="s">
        <v>261</v>
      </c>
      <c r="I74" s="253">
        <v>40988</v>
      </c>
      <c r="J74" s="146"/>
      <c r="K74" s="146"/>
      <c r="L74" s="146" t="s">
        <v>965</v>
      </c>
      <c r="M74" s="146"/>
      <c r="N74" s="146" t="s">
        <v>3109</v>
      </c>
      <c r="P74" s="58" t="b">
        <f ca="1">IF($Q$1&gt;Table134[[#This Row],[Due Date]],TRUE,FALSE)</f>
        <v>1</v>
      </c>
    </row>
    <row r="75" spans="1:16" ht="67.5">
      <c r="A75" s="60" t="s">
        <v>932</v>
      </c>
      <c r="B75" s="60"/>
      <c r="C75" s="323" t="s">
        <v>150</v>
      </c>
      <c r="D75" s="323" t="s">
        <v>2890</v>
      </c>
      <c r="E75" s="323" t="s">
        <v>2893</v>
      </c>
      <c r="F75" s="323" t="s">
        <v>2894</v>
      </c>
      <c r="G75" s="323"/>
      <c r="H75" s="146" t="s">
        <v>261</v>
      </c>
      <c r="I75" s="253">
        <v>40988</v>
      </c>
      <c r="J75" s="146"/>
      <c r="K75" s="146"/>
      <c r="L75" s="146" t="s">
        <v>991</v>
      </c>
      <c r="M75" s="146"/>
      <c r="N75" s="146" t="s">
        <v>3108</v>
      </c>
      <c r="P75" s="58" t="b">
        <f ca="1">IF($Q$1&gt;Table134[[#This Row],[Due Date]],TRUE,FALSE)</f>
        <v>1</v>
      </c>
    </row>
    <row r="76" spans="1:16" ht="40.5">
      <c r="A76" s="60" t="s">
        <v>933</v>
      </c>
      <c r="B76" s="60"/>
      <c r="C76" s="323" t="s">
        <v>150</v>
      </c>
      <c r="D76" s="323"/>
      <c r="E76" s="323" t="s">
        <v>3071</v>
      </c>
      <c r="F76" s="323"/>
      <c r="G76" s="323"/>
      <c r="H76" s="146" t="s">
        <v>261</v>
      </c>
      <c r="I76" s="253">
        <v>40988</v>
      </c>
      <c r="J76" s="146"/>
      <c r="K76" s="146"/>
      <c r="L76" s="146" t="s">
        <v>991</v>
      </c>
      <c r="M76" s="146"/>
      <c r="N76" s="146" t="s">
        <v>3108</v>
      </c>
      <c r="P76" s="58" t="b">
        <f ca="1">IF($Q$1&gt;Table134[[#This Row],[Due Date]],TRUE,FALSE)</f>
        <v>1</v>
      </c>
    </row>
    <row r="77" spans="1:16" ht="27">
      <c r="A77" s="60" t="s">
        <v>934</v>
      </c>
      <c r="B77" s="60"/>
      <c r="C77" s="323" t="s">
        <v>150</v>
      </c>
      <c r="D77" s="323"/>
      <c r="E77" s="323" t="s">
        <v>3072</v>
      </c>
      <c r="F77" s="323"/>
      <c r="G77" s="323"/>
      <c r="H77" s="146" t="s">
        <v>261</v>
      </c>
      <c r="I77" s="253">
        <v>40988</v>
      </c>
      <c r="J77" s="146"/>
      <c r="K77" s="146"/>
      <c r="L77" s="146" t="s">
        <v>991</v>
      </c>
      <c r="M77" s="146"/>
      <c r="N77" s="146" t="s">
        <v>3108</v>
      </c>
      <c r="P77" s="58" t="b">
        <f ca="1">IF($Q$1&gt;Table134[[#This Row],[Due Date]],TRUE,FALSE)</f>
        <v>1</v>
      </c>
    </row>
    <row r="78" spans="1:16" ht="27">
      <c r="A78" s="60" t="s">
        <v>935</v>
      </c>
      <c r="B78" s="60"/>
      <c r="C78" s="323" t="s">
        <v>150</v>
      </c>
      <c r="D78" s="323"/>
      <c r="E78" s="323" t="s">
        <v>3073</v>
      </c>
      <c r="F78" s="323"/>
      <c r="G78" s="323"/>
      <c r="H78" s="146" t="s">
        <v>261</v>
      </c>
      <c r="I78" s="253">
        <v>40988</v>
      </c>
      <c r="J78" s="146"/>
      <c r="K78" s="146"/>
      <c r="L78" s="146" t="s">
        <v>991</v>
      </c>
      <c r="M78" s="146"/>
      <c r="N78" s="146" t="s">
        <v>3108</v>
      </c>
      <c r="P78" s="58" t="b">
        <f ca="1">IF($Q$1&gt;Table134[[#This Row],[Due Date]],TRUE,FALSE)</f>
        <v>1</v>
      </c>
    </row>
    <row r="79" spans="1:16" ht="81">
      <c r="A79" s="60" t="s">
        <v>936</v>
      </c>
      <c r="B79" s="60"/>
      <c r="C79" s="323" t="s">
        <v>150</v>
      </c>
      <c r="D79" s="323"/>
      <c r="E79" s="323" t="s">
        <v>3074</v>
      </c>
      <c r="F79" s="323"/>
      <c r="G79" s="323"/>
      <c r="H79" s="146" t="s">
        <v>261</v>
      </c>
      <c r="I79" s="253">
        <v>40988</v>
      </c>
      <c r="J79" s="146"/>
      <c r="K79" s="146"/>
      <c r="L79" s="146" t="s">
        <v>991</v>
      </c>
      <c r="M79" s="146"/>
      <c r="N79" s="146" t="s">
        <v>3108</v>
      </c>
      <c r="P79" s="58" t="b">
        <f ca="1">IF($Q$1&gt;Table134[[#This Row],[Due Date]],TRUE,FALSE)</f>
        <v>1</v>
      </c>
    </row>
    <row r="80" spans="1:16" ht="40.5">
      <c r="A80" s="60" t="s">
        <v>937</v>
      </c>
      <c r="B80" s="60"/>
      <c r="C80" s="323" t="s">
        <v>150</v>
      </c>
      <c r="D80" s="323"/>
      <c r="E80" s="323" t="s">
        <v>3075</v>
      </c>
      <c r="F80" s="323"/>
      <c r="G80" s="323"/>
      <c r="H80" s="146" t="s">
        <v>261</v>
      </c>
      <c r="I80" s="253">
        <v>40988</v>
      </c>
      <c r="J80" s="146"/>
      <c r="K80" s="146"/>
      <c r="L80" s="146" t="s">
        <v>991</v>
      </c>
      <c r="M80" s="146"/>
      <c r="N80" s="146" t="s">
        <v>3108</v>
      </c>
      <c r="P80" s="58" t="b">
        <f ca="1">IF($Q$1&gt;Table134[[#This Row],[Due Date]],TRUE,FALSE)</f>
        <v>1</v>
      </c>
    </row>
    <row r="81" spans="1:16" ht="40.5">
      <c r="A81" s="60" t="s">
        <v>938</v>
      </c>
      <c r="B81" s="60"/>
      <c r="C81" s="323" t="s">
        <v>150</v>
      </c>
      <c r="D81" s="323"/>
      <c r="E81" s="323" t="s">
        <v>3076</v>
      </c>
      <c r="F81" s="323"/>
      <c r="G81" s="323"/>
      <c r="H81" s="146" t="s">
        <v>261</v>
      </c>
      <c r="I81" s="253">
        <v>40988</v>
      </c>
      <c r="J81" s="146"/>
      <c r="K81" s="146"/>
      <c r="L81" s="146" t="s">
        <v>991</v>
      </c>
      <c r="M81" s="146"/>
      <c r="N81" s="146" t="s">
        <v>3108</v>
      </c>
      <c r="P81" s="58" t="b">
        <f ca="1">IF($Q$1&gt;Table134[[#This Row],[Due Date]],TRUE,FALSE)</f>
        <v>1</v>
      </c>
    </row>
    <row r="82" spans="1:16" ht="27">
      <c r="A82" s="60" t="s">
        <v>939</v>
      </c>
      <c r="B82" s="60"/>
      <c r="C82" s="323" t="s">
        <v>150</v>
      </c>
      <c r="D82" s="323"/>
      <c r="E82" s="323" t="s">
        <v>3077</v>
      </c>
      <c r="F82" s="323"/>
      <c r="G82" s="323"/>
      <c r="H82" s="146" t="s">
        <v>261</v>
      </c>
      <c r="I82" s="253">
        <v>40988</v>
      </c>
      <c r="J82" s="146"/>
      <c r="K82" s="146"/>
      <c r="L82" s="146" t="s">
        <v>991</v>
      </c>
      <c r="M82" s="146"/>
      <c r="N82" s="146" t="s">
        <v>3108</v>
      </c>
      <c r="P82" s="58" t="b">
        <f ca="1">IF($Q$1&gt;Table134[[#This Row],[Due Date]],TRUE,FALSE)</f>
        <v>1</v>
      </c>
    </row>
    <row r="83" spans="1:16" ht="40.5">
      <c r="A83" s="60" t="s">
        <v>940</v>
      </c>
      <c r="B83" s="60"/>
      <c r="C83" s="323" t="s">
        <v>150</v>
      </c>
      <c r="D83" s="323"/>
      <c r="E83" s="323" t="s">
        <v>3078</v>
      </c>
      <c r="F83" s="323"/>
      <c r="G83" s="323"/>
      <c r="H83" s="146" t="s">
        <v>261</v>
      </c>
      <c r="I83" s="253">
        <v>40988</v>
      </c>
      <c r="J83" s="146"/>
      <c r="K83" s="146"/>
      <c r="L83" s="146" t="s">
        <v>991</v>
      </c>
      <c r="M83" s="146"/>
      <c r="N83" s="146" t="s">
        <v>3108</v>
      </c>
      <c r="P83" s="58" t="b">
        <f ca="1">IF($Q$1&gt;Table134[[#This Row],[Due Date]],TRUE,FALSE)</f>
        <v>1</v>
      </c>
    </row>
    <row r="84" spans="1:16" ht="54">
      <c r="A84" s="60" t="s">
        <v>941</v>
      </c>
      <c r="B84" s="60"/>
      <c r="C84" s="323" t="s">
        <v>150</v>
      </c>
      <c r="D84" s="323"/>
      <c r="E84" s="323" t="s">
        <v>3080</v>
      </c>
      <c r="F84" s="323"/>
      <c r="G84" s="323"/>
      <c r="H84" s="146" t="s">
        <v>261</v>
      </c>
      <c r="I84" s="253">
        <v>40988</v>
      </c>
      <c r="J84" s="146"/>
      <c r="K84" s="146"/>
      <c r="L84" s="146" t="s">
        <v>991</v>
      </c>
      <c r="M84" s="146"/>
      <c r="N84" s="146" t="s">
        <v>3108</v>
      </c>
      <c r="P84" s="58" t="b">
        <f ca="1">IF($Q$1&gt;Table134[[#This Row],[Due Date]],TRUE,FALSE)</f>
        <v>1</v>
      </c>
    </row>
    <row r="85" spans="1:16" ht="40.5">
      <c r="A85" s="60" t="s">
        <v>942</v>
      </c>
      <c r="B85" s="60"/>
      <c r="C85" s="323" t="s">
        <v>150</v>
      </c>
      <c r="D85" s="323"/>
      <c r="E85" s="323" t="s">
        <v>3079</v>
      </c>
      <c r="F85" s="323"/>
      <c r="G85" s="323"/>
      <c r="H85" s="146" t="s">
        <v>261</v>
      </c>
      <c r="I85" s="253">
        <v>40988</v>
      </c>
      <c r="J85" s="146"/>
      <c r="K85" s="146"/>
      <c r="L85" s="146" t="s">
        <v>991</v>
      </c>
      <c r="M85" s="146"/>
      <c r="N85" s="146" t="s">
        <v>3108</v>
      </c>
      <c r="P85" s="58" t="b">
        <f ca="1">IF($Q$1&gt;Table134[[#This Row],[Due Date]],TRUE,FALSE)</f>
        <v>1</v>
      </c>
    </row>
    <row r="86" spans="1:16" ht="94.5">
      <c r="A86" s="60" t="s">
        <v>854</v>
      </c>
      <c r="B86" s="146" t="s">
        <v>186</v>
      </c>
      <c r="C86" s="146" t="s">
        <v>311</v>
      </c>
      <c r="D86" s="146"/>
      <c r="E86" s="146" t="s">
        <v>977</v>
      </c>
      <c r="F86" s="146" t="s">
        <v>978</v>
      </c>
      <c r="G86" s="146" t="s">
        <v>2442</v>
      </c>
      <c r="H86" s="146"/>
      <c r="I86" s="253">
        <v>40974</v>
      </c>
      <c r="J86" s="253">
        <v>41075</v>
      </c>
      <c r="K86" s="253">
        <v>41091</v>
      </c>
      <c r="L86" s="146" t="s">
        <v>969</v>
      </c>
      <c r="M86" s="146"/>
      <c r="N86" s="146" t="s">
        <v>2443</v>
      </c>
      <c r="P86" s="58" t="b">
        <f ca="1">IF($Q$1&gt;Table134[[#This Row],[Due Date]],TRUE,FALSE)</f>
        <v>0</v>
      </c>
    </row>
    <row r="87" spans="1:16" ht="409.5">
      <c r="A87" s="60" t="s">
        <v>1126</v>
      </c>
      <c r="B87" s="146" t="s">
        <v>323</v>
      </c>
      <c r="C87" s="146" t="s">
        <v>311</v>
      </c>
      <c r="D87" s="146"/>
      <c r="E87" s="146" t="s">
        <v>1923</v>
      </c>
      <c r="F87" s="146" t="s">
        <v>1130</v>
      </c>
      <c r="G87" s="146" t="s">
        <v>1921</v>
      </c>
      <c r="H87" s="146"/>
      <c r="I87" s="253">
        <v>40974</v>
      </c>
      <c r="J87" s="256">
        <v>40989</v>
      </c>
      <c r="K87" s="256">
        <v>40996</v>
      </c>
      <c r="L87" s="146" t="s">
        <v>969</v>
      </c>
      <c r="M87" s="146"/>
      <c r="N87" s="146" t="s">
        <v>3086</v>
      </c>
      <c r="P87" s="58" t="b">
        <f ca="1">IF($Q$1&gt;Table134[[#This Row],[Due Date]],TRUE,FALSE)</f>
        <v>0</v>
      </c>
    </row>
    <row r="88" spans="1:16" ht="67.5">
      <c r="A88" s="60" t="s">
        <v>849</v>
      </c>
      <c r="B88" s="146"/>
      <c r="C88" s="146" t="s">
        <v>311</v>
      </c>
      <c r="D88" s="146"/>
      <c r="E88" s="146" t="s">
        <v>967</v>
      </c>
      <c r="F88" s="146" t="s">
        <v>968</v>
      </c>
      <c r="G88" s="146"/>
      <c r="H88" s="146" t="s">
        <v>1532</v>
      </c>
      <c r="I88" s="253">
        <v>40912</v>
      </c>
      <c r="J88" s="146"/>
      <c r="K88" s="146"/>
      <c r="L88" s="146" t="s">
        <v>965</v>
      </c>
      <c r="M88" s="146"/>
      <c r="N88" s="146" t="s">
        <v>1542</v>
      </c>
      <c r="P88" s="58" t="b">
        <f ca="1">IF($Q$1&gt;Table134[[#This Row],[Due Date]],TRUE,FALSE)</f>
        <v>1</v>
      </c>
    </row>
    <row r="89" spans="1:16" ht="148.5">
      <c r="A89" s="60" t="s">
        <v>859</v>
      </c>
      <c r="B89" s="146"/>
      <c r="C89" s="146" t="s">
        <v>311</v>
      </c>
      <c r="D89" s="146"/>
      <c r="E89" s="146" t="s">
        <v>987</v>
      </c>
      <c r="F89" s="146" t="s">
        <v>3083</v>
      </c>
      <c r="G89" s="146"/>
      <c r="H89" s="146" t="s">
        <v>1532</v>
      </c>
      <c r="I89" s="253">
        <v>40912</v>
      </c>
      <c r="J89" s="146"/>
      <c r="K89" s="146"/>
      <c r="L89" s="146" t="s">
        <v>965</v>
      </c>
      <c r="M89" s="146"/>
      <c r="N89" s="146" t="s">
        <v>1543</v>
      </c>
      <c r="P89" s="58" t="b">
        <f ca="1">IF($Q$1&gt;Table134[[#This Row],[Due Date]],TRUE,FALSE)</f>
        <v>1</v>
      </c>
    </row>
    <row r="90" spans="1:16" ht="54">
      <c r="A90" s="60" t="s">
        <v>38</v>
      </c>
      <c r="B90" s="146"/>
      <c r="C90" s="146" t="s">
        <v>311</v>
      </c>
      <c r="D90" s="146"/>
      <c r="E90" s="252" t="s">
        <v>1008</v>
      </c>
      <c r="F90" s="146" t="s">
        <v>968</v>
      </c>
      <c r="G90" s="146"/>
      <c r="H90" s="146" t="s">
        <v>1532</v>
      </c>
      <c r="I90" s="253">
        <v>40912</v>
      </c>
      <c r="J90" s="146"/>
      <c r="K90" s="146"/>
      <c r="L90" s="146" t="s">
        <v>965</v>
      </c>
      <c r="M90" s="146"/>
      <c r="N90" s="146" t="s">
        <v>1544</v>
      </c>
      <c r="P90" s="58" t="b">
        <f ca="1">IF($Q$1&gt;Table134[[#This Row],[Due Date]],TRUE,FALSE)</f>
        <v>1</v>
      </c>
    </row>
    <row r="91" spans="1:16" ht="67.5">
      <c r="A91" s="60" t="s">
        <v>956</v>
      </c>
      <c r="B91" s="146"/>
      <c r="C91" s="146" t="s">
        <v>311</v>
      </c>
      <c r="D91" s="146"/>
      <c r="E91" s="146" t="s">
        <v>1030</v>
      </c>
      <c r="F91" s="146" t="s">
        <v>1031</v>
      </c>
      <c r="G91" s="146"/>
      <c r="H91" s="146" t="s">
        <v>1532</v>
      </c>
      <c r="I91" s="253">
        <v>40912</v>
      </c>
      <c r="J91" s="146"/>
      <c r="K91" s="146"/>
      <c r="L91" s="146" t="s">
        <v>965</v>
      </c>
      <c r="M91" s="146"/>
      <c r="N91" s="146" t="s">
        <v>1545</v>
      </c>
      <c r="P91" s="58" t="b">
        <f ca="1">IF($Q$1&gt;Table134[[#This Row],[Due Date]],TRUE,FALSE)</f>
        <v>1</v>
      </c>
    </row>
    <row r="92" spans="1:16" ht="94.5">
      <c r="A92" s="60" t="s">
        <v>1117</v>
      </c>
      <c r="B92" s="324" t="s">
        <v>1116</v>
      </c>
      <c r="C92" s="146" t="s">
        <v>311</v>
      </c>
      <c r="D92" s="146"/>
      <c r="E92" s="271" t="s">
        <v>1111</v>
      </c>
      <c r="F92" s="324" t="s">
        <v>3084</v>
      </c>
      <c r="G92" s="324"/>
      <c r="H92" s="324" t="s">
        <v>1532</v>
      </c>
      <c r="I92" s="372">
        <v>40912</v>
      </c>
      <c r="J92" s="324"/>
      <c r="K92" s="324"/>
      <c r="L92" s="324" t="s">
        <v>965</v>
      </c>
      <c r="M92" s="324"/>
      <c r="N92" s="146" t="s">
        <v>1546</v>
      </c>
      <c r="P92" s="58" t="b">
        <f ca="1">IF($Q$1&gt;Table134[[#This Row],[Due Date]],TRUE,FALSE)</f>
        <v>1</v>
      </c>
    </row>
    <row r="93" spans="1:16" ht="135">
      <c r="A93" s="60" t="s">
        <v>1119</v>
      </c>
      <c r="B93" s="146" t="s">
        <v>1116</v>
      </c>
      <c r="C93" s="146" t="s">
        <v>311</v>
      </c>
      <c r="D93" s="146"/>
      <c r="E93" s="146" t="s">
        <v>1114</v>
      </c>
      <c r="F93" s="146" t="s">
        <v>1115</v>
      </c>
      <c r="G93" s="146"/>
      <c r="H93" s="324" t="s">
        <v>1532</v>
      </c>
      <c r="I93" s="372">
        <v>40912</v>
      </c>
      <c r="J93" s="146"/>
      <c r="K93" s="146"/>
      <c r="L93" s="146" t="s">
        <v>965</v>
      </c>
      <c r="M93" s="146"/>
      <c r="N93" s="146" t="s">
        <v>1547</v>
      </c>
    </row>
    <row r="94" spans="1:16" ht="81">
      <c r="A94" s="60" t="s">
        <v>857</v>
      </c>
      <c r="B94" s="146"/>
      <c r="C94" s="146" t="s">
        <v>154</v>
      </c>
      <c r="D94" s="146"/>
      <c r="E94" s="146" t="s">
        <v>3085</v>
      </c>
      <c r="F94" s="146" t="s">
        <v>979</v>
      </c>
      <c r="G94" s="146"/>
      <c r="H94" s="146"/>
      <c r="I94" s="146"/>
      <c r="J94" s="146"/>
      <c r="K94" s="146"/>
      <c r="L94" s="146" t="s">
        <v>965</v>
      </c>
      <c r="M94" s="146"/>
      <c r="N94" s="146" t="s">
        <v>982</v>
      </c>
    </row>
    <row r="95" spans="1:16" ht="95.25" customHeight="1">
      <c r="A95" s="60" t="s">
        <v>957</v>
      </c>
      <c r="B95" s="146"/>
      <c r="C95" s="146" t="s">
        <v>154</v>
      </c>
      <c r="D95" s="146"/>
      <c r="E95" s="146" t="s">
        <v>1052</v>
      </c>
      <c r="F95" s="146" t="s">
        <v>1053</v>
      </c>
      <c r="G95" s="146"/>
      <c r="H95" s="146"/>
      <c r="I95" s="146"/>
      <c r="J95" s="146"/>
      <c r="K95" s="146"/>
      <c r="L95" s="146" t="s">
        <v>965</v>
      </c>
      <c r="M95" s="146"/>
      <c r="N95" s="146" t="s">
        <v>1054</v>
      </c>
    </row>
    <row r="96" spans="1:16" ht="94.5">
      <c r="A96" s="60" t="s">
        <v>855</v>
      </c>
      <c r="B96" s="146"/>
      <c r="C96" s="146" t="s">
        <v>154</v>
      </c>
      <c r="D96" s="146"/>
      <c r="E96" s="146" t="s">
        <v>2248</v>
      </c>
      <c r="F96" s="146" t="s">
        <v>979</v>
      </c>
      <c r="G96" s="146"/>
      <c r="H96" s="324" t="s">
        <v>1532</v>
      </c>
      <c r="I96" s="253">
        <v>40912</v>
      </c>
      <c r="J96" s="146"/>
      <c r="K96" s="146"/>
      <c r="L96" s="146" t="s">
        <v>991</v>
      </c>
      <c r="M96" s="146"/>
      <c r="N96" s="146" t="s">
        <v>2319</v>
      </c>
    </row>
    <row r="97" spans="1:14" ht="67.5">
      <c r="A97" s="60" t="s">
        <v>867</v>
      </c>
      <c r="B97" s="146"/>
      <c r="C97" s="146" t="s">
        <v>154</v>
      </c>
      <c r="D97" s="146"/>
      <c r="E97" s="146" t="s">
        <v>1004</v>
      </c>
      <c r="F97" s="146" t="s">
        <v>1005</v>
      </c>
      <c r="G97" s="146"/>
      <c r="H97" s="324" t="s">
        <v>1532</v>
      </c>
      <c r="I97" s="253">
        <v>40912</v>
      </c>
      <c r="J97" s="146"/>
      <c r="K97" s="146"/>
      <c r="L97" s="146" t="s">
        <v>991</v>
      </c>
      <c r="M97" s="146"/>
      <c r="N97" s="146" t="s">
        <v>2310</v>
      </c>
    </row>
    <row r="98" spans="1:14" ht="94.5">
      <c r="A98" s="60" t="s">
        <v>958</v>
      </c>
      <c r="B98" s="146"/>
      <c r="C98" s="146" t="s">
        <v>154</v>
      </c>
      <c r="D98" s="146"/>
      <c r="E98" s="146" t="s">
        <v>1548</v>
      </c>
      <c r="F98" s="146" t="s">
        <v>1070</v>
      </c>
      <c r="G98" s="146"/>
      <c r="H98" s="324" t="s">
        <v>1532</v>
      </c>
      <c r="I98" s="253">
        <v>40912</v>
      </c>
      <c r="J98" s="146"/>
      <c r="K98" s="146"/>
      <c r="L98" s="146" t="s">
        <v>1504</v>
      </c>
      <c r="M98" s="146" t="s">
        <v>565</v>
      </c>
      <c r="N98" s="146" t="s">
        <v>3081</v>
      </c>
    </row>
    <row r="99" spans="1:14" ht="54">
      <c r="A99" s="60" t="s">
        <v>959</v>
      </c>
      <c r="B99" s="146"/>
      <c r="C99" s="146" t="s">
        <v>154</v>
      </c>
      <c r="D99" s="146"/>
      <c r="E99" s="146" t="s">
        <v>1089</v>
      </c>
      <c r="F99" s="146" t="s">
        <v>1090</v>
      </c>
      <c r="G99" s="146"/>
      <c r="H99" s="146" t="s">
        <v>1532</v>
      </c>
      <c r="I99" s="253">
        <v>40912</v>
      </c>
      <c r="J99" s="253"/>
      <c r="K99" s="253"/>
      <c r="L99" s="146" t="s">
        <v>991</v>
      </c>
      <c r="M99" s="146"/>
      <c r="N99" s="146" t="s">
        <v>2311</v>
      </c>
    </row>
    <row r="100" spans="1:14" ht="243">
      <c r="A100" s="60" t="s">
        <v>909</v>
      </c>
      <c r="B100" s="146" t="s">
        <v>523</v>
      </c>
      <c r="C100" s="146" t="s">
        <v>154</v>
      </c>
      <c r="D100" s="146"/>
      <c r="E100" s="146" t="s">
        <v>1091</v>
      </c>
      <c r="F100" s="146" t="s">
        <v>1092</v>
      </c>
      <c r="G100" s="146"/>
      <c r="H100" s="146" t="s">
        <v>1532</v>
      </c>
      <c r="I100" s="253">
        <v>40912</v>
      </c>
      <c r="J100" s="146"/>
      <c r="K100" s="146"/>
      <c r="L100" s="146" t="s">
        <v>965</v>
      </c>
      <c r="M100" s="146"/>
      <c r="N100" s="146" t="s">
        <v>2312</v>
      </c>
    </row>
    <row r="101" spans="1:14" ht="229.5">
      <c r="A101" s="60" t="s">
        <v>910</v>
      </c>
      <c r="B101" s="146" t="s">
        <v>523</v>
      </c>
      <c r="C101" s="146" t="s">
        <v>154</v>
      </c>
      <c r="D101" s="146"/>
      <c r="E101" s="146" t="s">
        <v>2313</v>
      </c>
      <c r="F101" s="146" t="s">
        <v>1094</v>
      </c>
      <c r="G101" s="146"/>
      <c r="H101" s="146" t="s">
        <v>1532</v>
      </c>
      <c r="I101" s="253">
        <v>40912</v>
      </c>
      <c r="J101" s="146"/>
      <c r="K101" s="146"/>
      <c r="L101" s="146" t="s">
        <v>991</v>
      </c>
      <c r="M101" s="146"/>
      <c r="N101" s="146" t="s">
        <v>2320</v>
      </c>
    </row>
    <row r="102" spans="1:14" ht="121.5">
      <c r="A102" s="60" t="s">
        <v>912</v>
      </c>
      <c r="B102" s="146" t="s">
        <v>523</v>
      </c>
      <c r="C102" s="146" t="s">
        <v>154</v>
      </c>
      <c r="D102" s="146"/>
      <c r="E102" s="146" t="s">
        <v>1097</v>
      </c>
      <c r="F102" s="146" t="s">
        <v>1098</v>
      </c>
      <c r="G102" s="146" t="s">
        <v>1921</v>
      </c>
      <c r="H102" s="146"/>
      <c r="I102" s="253">
        <v>40912</v>
      </c>
      <c r="J102" s="253">
        <v>40919</v>
      </c>
      <c r="K102" s="256">
        <v>40939</v>
      </c>
      <c r="L102" s="146" t="s">
        <v>965</v>
      </c>
      <c r="M102" s="146"/>
      <c r="N102" s="146" t="s">
        <v>1922</v>
      </c>
    </row>
    <row r="103" spans="1:14" ht="162">
      <c r="A103" s="60" t="s">
        <v>913</v>
      </c>
      <c r="B103" s="146" t="s">
        <v>523</v>
      </c>
      <c r="C103" s="146" t="s">
        <v>154</v>
      </c>
      <c r="D103" s="146"/>
      <c r="E103" s="146" t="s">
        <v>1099</v>
      </c>
      <c r="F103" s="146" t="s">
        <v>1100</v>
      </c>
      <c r="G103" s="146"/>
      <c r="H103" s="146" t="s">
        <v>1532</v>
      </c>
      <c r="I103" s="253">
        <v>40912</v>
      </c>
      <c r="J103" s="146"/>
      <c r="K103" s="146"/>
      <c r="L103" s="146" t="s">
        <v>965</v>
      </c>
      <c r="M103" s="146"/>
      <c r="N103" s="146" t="s">
        <v>1549</v>
      </c>
    </row>
    <row r="104" spans="1:14" ht="94.5">
      <c r="A104" s="60" t="s">
        <v>914</v>
      </c>
      <c r="B104" s="146" t="s">
        <v>523</v>
      </c>
      <c r="C104" s="146" t="s">
        <v>154</v>
      </c>
      <c r="D104" s="146"/>
      <c r="E104" s="146" t="s">
        <v>1101</v>
      </c>
      <c r="F104" s="146" t="s">
        <v>1102</v>
      </c>
      <c r="G104" s="146"/>
      <c r="H104" s="146" t="s">
        <v>1532</v>
      </c>
      <c r="I104" s="253">
        <v>40912</v>
      </c>
      <c r="J104" s="146"/>
      <c r="K104" s="146"/>
      <c r="L104" s="146" t="s">
        <v>1504</v>
      </c>
      <c r="M104" s="146" t="s">
        <v>577</v>
      </c>
      <c r="N104" s="146" t="s">
        <v>2321</v>
      </c>
    </row>
    <row r="105" spans="1:14" ht="148.5">
      <c r="A105" s="60" t="s">
        <v>850</v>
      </c>
      <c r="B105" s="146" t="s">
        <v>1570</v>
      </c>
      <c r="C105" s="146" t="s">
        <v>154</v>
      </c>
      <c r="D105" s="146"/>
      <c r="E105" s="146" t="s">
        <v>970</v>
      </c>
      <c r="F105" s="146" t="s">
        <v>971</v>
      </c>
      <c r="G105" s="146" t="s">
        <v>2080</v>
      </c>
      <c r="H105" s="146"/>
      <c r="I105" s="253">
        <v>40926</v>
      </c>
      <c r="J105" s="253">
        <v>40961</v>
      </c>
      <c r="K105" s="256">
        <v>40967</v>
      </c>
      <c r="L105" s="146" t="s">
        <v>1504</v>
      </c>
      <c r="M105" s="146" t="s">
        <v>577</v>
      </c>
      <c r="N105" s="146" t="s">
        <v>2316</v>
      </c>
    </row>
    <row r="106" spans="1:14" ht="175.5">
      <c r="A106" s="60" t="s">
        <v>1104</v>
      </c>
      <c r="B106" s="146" t="s">
        <v>523</v>
      </c>
      <c r="C106" s="146" t="s">
        <v>154</v>
      </c>
      <c r="D106" s="146"/>
      <c r="E106" s="146" t="s">
        <v>1109</v>
      </c>
      <c r="F106" s="146" t="s">
        <v>1110</v>
      </c>
      <c r="G106" s="146" t="s">
        <v>1450</v>
      </c>
      <c r="H106" s="146" t="s">
        <v>461</v>
      </c>
      <c r="I106" s="253">
        <v>40926</v>
      </c>
      <c r="J106" s="253">
        <v>40919</v>
      </c>
      <c r="K106" s="256">
        <v>40935</v>
      </c>
      <c r="L106" s="146" t="s">
        <v>991</v>
      </c>
      <c r="M106" s="146"/>
      <c r="N106" s="146" t="s">
        <v>2317</v>
      </c>
    </row>
    <row r="107" spans="1:14" ht="40.5">
      <c r="A107" s="60" t="s">
        <v>960</v>
      </c>
      <c r="B107" s="146"/>
      <c r="C107" s="146" t="s">
        <v>154</v>
      </c>
      <c r="D107" s="146"/>
      <c r="E107" s="146" t="s">
        <v>1122</v>
      </c>
      <c r="F107" s="146" t="s">
        <v>1090</v>
      </c>
      <c r="G107" s="146"/>
      <c r="H107" s="146" t="s">
        <v>1532</v>
      </c>
      <c r="I107" s="253">
        <v>40912</v>
      </c>
      <c r="J107" s="146"/>
      <c r="K107" s="146"/>
      <c r="L107" s="146" t="s">
        <v>965</v>
      </c>
      <c r="M107" s="146"/>
      <c r="N107" s="146" t="s">
        <v>1550</v>
      </c>
    </row>
    <row r="108" spans="1:14" ht="108">
      <c r="A108" s="60" t="s">
        <v>1125</v>
      </c>
      <c r="B108" s="146" t="s">
        <v>523</v>
      </c>
      <c r="C108" s="146" t="s">
        <v>154</v>
      </c>
      <c r="D108" s="146"/>
      <c r="E108" s="146" t="s">
        <v>1128</v>
      </c>
      <c r="F108" s="146" t="s">
        <v>1129</v>
      </c>
      <c r="G108" s="146"/>
      <c r="H108" s="146" t="s">
        <v>1532</v>
      </c>
      <c r="I108" s="253">
        <v>40912</v>
      </c>
      <c r="J108" s="146"/>
      <c r="K108" s="146"/>
      <c r="L108" s="146" t="s">
        <v>965</v>
      </c>
      <c r="M108" s="146"/>
      <c r="N108" s="146" t="s">
        <v>2314</v>
      </c>
    </row>
    <row r="109" spans="1:14" ht="378">
      <c r="A109" s="60" t="s">
        <v>911</v>
      </c>
      <c r="B109" s="146" t="s">
        <v>523</v>
      </c>
      <c r="C109" s="146" t="s">
        <v>154</v>
      </c>
      <c r="D109" s="146"/>
      <c r="E109" s="146" t="s">
        <v>1095</v>
      </c>
      <c r="F109" s="146" t="s">
        <v>1096</v>
      </c>
      <c r="G109" s="146" t="s">
        <v>1920</v>
      </c>
      <c r="H109" s="146"/>
      <c r="I109" s="253">
        <v>40926</v>
      </c>
      <c r="J109" s="256">
        <v>40961</v>
      </c>
      <c r="K109" s="256">
        <v>40956</v>
      </c>
      <c r="L109" s="146" t="s">
        <v>1504</v>
      </c>
      <c r="M109" s="146" t="s">
        <v>576</v>
      </c>
      <c r="N109" s="146" t="s">
        <v>2318</v>
      </c>
    </row>
    <row r="110" spans="1:14" ht="81">
      <c r="A110" s="60" t="s">
        <v>961</v>
      </c>
      <c r="B110" s="146"/>
      <c r="C110" s="146" t="s">
        <v>154</v>
      </c>
      <c r="D110" s="146"/>
      <c r="E110" s="146" t="s">
        <v>1137</v>
      </c>
      <c r="F110" s="146" t="s">
        <v>1138</v>
      </c>
      <c r="G110" s="146"/>
      <c r="H110" s="146" t="s">
        <v>1532</v>
      </c>
      <c r="I110" s="253">
        <v>40912</v>
      </c>
      <c r="J110" s="146"/>
      <c r="K110" s="146"/>
      <c r="L110" s="146" t="s">
        <v>991</v>
      </c>
      <c r="M110" s="146"/>
      <c r="N110" s="146" t="s">
        <v>2315</v>
      </c>
    </row>
    <row r="111" spans="1:14" ht="216">
      <c r="A111" s="60" t="s">
        <v>915</v>
      </c>
      <c r="B111" s="146" t="s">
        <v>523</v>
      </c>
      <c r="C111" s="146" t="s">
        <v>154</v>
      </c>
      <c r="D111" s="146"/>
      <c r="E111" s="146" t="s">
        <v>1105</v>
      </c>
      <c r="F111" s="146" t="s">
        <v>1106</v>
      </c>
      <c r="G111" s="146" t="s">
        <v>1924</v>
      </c>
      <c r="H111" s="146"/>
      <c r="I111" s="253">
        <v>40926</v>
      </c>
      <c r="J111" s="256">
        <v>40961</v>
      </c>
      <c r="K111" s="256">
        <v>40999</v>
      </c>
      <c r="L111" s="146" t="s">
        <v>969</v>
      </c>
      <c r="M111" s="146"/>
      <c r="N111" s="146" t="s">
        <v>2871</v>
      </c>
    </row>
    <row r="112" spans="1:14" ht="229.5">
      <c r="A112" s="60" t="s">
        <v>921</v>
      </c>
      <c r="B112" s="60" t="s">
        <v>523</v>
      </c>
      <c r="C112" s="323" t="s">
        <v>154</v>
      </c>
      <c r="D112" s="323"/>
      <c r="E112" s="323" t="s">
        <v>1846</v>
      </c>
      <c r="F112" s="323" t="s">
        <v>1845</v>
      </c>
      <c r="G112" s="323" t="s">
        <v>1450</v>
      </c>
      <c r="H112" s="323"/>
      <c r="I112" s="253">
        <v>40939</v>
      </c>
      <c r="J112" s="253">
        <v>40961</v>
      </c>
      <c r="K112" s="253">
        <v>40967</v>
      </c>
      <c r="L112" s="323" t="s">
        <v>965</v>
      </c>
      <c r="M112" s="323"/>
      <c r="N112" s="324" t="s">
        <v>2737</v>
      </c>
    </row>
    <row r="113" spans="1:14">
      <c r="A113" s="60" t="s">
        <v>943</v>
      </c>
      <c r="B113" s="60"/>
      <c r="C113" s="323"/>
      <c r="D113" s="323"/>
      <c r="E113" s="323"/>
      <c r="F113" s="323"/>
      <c r="G113" s="323"/>
      <c r="H113" s="323"/>
      <c r="I113" s="323"/>
      <c r="J113" s="323"/>
      <c r="K113" s="323"/>
      <c r="L113" s="323"/>
      <c r="M113" s="323"/>
      <c r="N113" s="324"/>
    </row>
    <row r="114" spans="1:14">
      <c r="A114" s="60" t="s">
        <v>944</v>
      </c>
      <c r="B114" s="60"/>
      <c r="C114" s="323"/>
      <c r="D114" s="323"/>
      <c r="E114" s="323"/>
      <c r="F114" s="323"/>
      <c r="G114" s="323"/>
      <c r="H114" s="323"/>
      <c r="I114" s="323"/>
      <c r="J114" s="323"/>
      <c r="K114" s="323"/>
      <c r="L114" s="323"/>
      <c r="M114" s="323"/>
      <c r="N114" s="324"/>
    </row>
    <row r="115" spans="1:14">
      <c r="A115" s="60" t="s">
        <v>945</v>
      </c>
      <c r="B115" s="60"/>
      <c r="C115" s="323"/>
      <c r="D115" s="323"/>
      <c r="E115" s="323"/>
      <c r="F115" s="323"/>
      <c r="G115" s="323"/>
      <c r="H115" s="323"/>
      <c r="I115" s="323"/>
      <c r="J115" s="323"/>
      <c r="K115" s="323"/>
      <c r="L115" s="323"/>
      <c r="M115" s="323"/>
      <c r="N115" s="324"/>
    </row>
    <row r="116" spans="1:14">
      <c r="A116" s="60" t="s">
        <v>946</v>
      </c>
      <c r="B116" s="60"/>
      <c r="C116" s="323"/>
      <c r="D116" s="323"/>
      <c r="E116" s="323"/>
      <c r="F116" s="323"/>
      <c r="G116" s="323"/>
      <c r="H116" s="323"/>
      <c r="I116" s="323"/>
      <c r="J116" s="323"/>
      <c r="K116" s="323"/>
      <c r="L116" s="323"/>
      <c r="M116" s="323"/>
      <c r="N116" s="324"/>
    </row>
    <row r="117" spans="1:14">
      <c r="A117" s="60" t="s">
        <v>947</v>
      </c>
      <c r="B117" s="60"/>
      <c r="C117" s="323"/>
      <c r="D117" s="323"/>
      <c r="E117" s="323"/>
      <c r="F117" s="323"/>
      <c r="G117" s="323"/>
      <c r="H117" s="323"/>
      <c r="I117" s="323"/>
      <c r="J117" s="323"/>
      <c r="K117" s="323"/>
      <c r="L117" s="323"/>
      <c r="M117" s="323"/>
      <c r="N117" s="324"/>
    </row>
    <row r="118" spans="1:14">
      <c r="A118" s="60" t="s">
        <v>948</v>
      </c>
      <c r="B118" s="60"/>
      <c r="C118" s="323"/>
      <c r="D118" s="323"/>
      <c r="E118" s="323"/>
      <c r="F118" s="323"/>
      <c r="G118" s="323"/>
      <c r="H118" s="323"/>
      <c r="I118" s="323"/>
      <c r="J118" s="323"/>
      <c r="K118" s="323"/>
      <c r="L118" s="323"/>
      <c r="M118" s="323"/>
      <c r="N118" s="324"/>
    </row>
    <row r="119" spans="1:14">
      <c r="A119" s="60" t="s">
        <v>949</v>
      </c>
      <c r="B119" s="60"/>
      <c r="C119" s="323"/>
      <c r="D119" s="323"/>
      <c r="E119" s="323"/>
      <c r="F119" s="323"/>
      <c r="G119" s="323"/>
      <c r="H119" s="323"/>
      <c r="I119" s="323"/>
      <c r="J119" s="323"/>
      <c r="K119" s="323"/>
      <c r="L119" s="323"/>
      <c r="M119" s="323"/>
      <c r="N119" s="324"/>
    </row>
    <row r="120" spans="1:14">
      <c r="A120" s="60" t="s">
        <v>950</v>
      </c>
      <c r="B120" s="60"/>
      <c r="C120" s="323"/>
      <c r="D120" s="323"/>
      <c r="E120" s="323"/>
      <c r="F120" s="323"/>
      <c r="G120" s="323"/>
      <c r="H120" s="323"/>
      <c r="I120" s="323"/>
      <c r="J120" s="323"/>
      <c r="K120" s="323"/>
      <c r="L120" s="323"/>
      <c r="M120" s="323"/>
      <c r="N120" s="324"/>
    </row>
    <row r="121" spans="1:14">
      <c r="A121" s="60" t="s">
        <v>951</v>
      </c>
      <c r="B121" s="60"/>
      <c r="C121" s="323"/>
      <c r="D121" s="323"/>
      <c r="E121" s="323"/>
      <c r="F121" s="323"/>
      <c r="G121" s="323"/>
      <c r="H121" s="323"/>
      <c r="I121" s="323"/>
      <c r="J121" s="323"/>
      <c r="K121" s="323"/>
      <c r="L121" s="323"/>
      <c r="M121" s="323"/>
      <c r="N121" s="324"/>
    </row>
    <row r="122" spans="1:14">
      <c r="A122" s="60" t="s">
        <v>952</v>
      </c>
      <c r="B122" s="60"/>
      <c r="C122" s="323"/>
      <c r="D122" s="323"/>
      <c r="E122" s="323"/>
      <c r="F122" s="323"/>
      <c r="G122" s="323"/>
      <c r="H122" s="323"/>
      <c r="I122" s="323"/>
      <c r="J122" s="323"/>
      <c r="K122" s="323"/>
      <c r="L122" s="323"/>
      <c r="M122" s="323"/>
      <c r="N122" s="324"/>
    </row>
    <row r="123" spans="1:14">
      <c r="A123" s="60" t="s">
        <v>953</v>
      </c>
      <c r="B123" s="60"/>
      <c r="C123" s="323"/>
      <c r="D123" s="323"/>
      <c r="E123" s="323"/>
      <c r="F123" s="323"/>
      <c r="G123" s="323"/>
      <c r="H123" s="323"/>
      <c r="I123" s="323"/>
      <c r="J123" s="323"/>
      <c r="K123" s="323"/>
      <c r="L123" s="323"/>
      <c r="M123" s="323"/>
      <c r="N123" s="324"/>
    </row>
    <row r="124" spans="1:14">
      <c r="A124" s="60" t="s">
        <v>954</v>
      </c>
      <c r="B124" s="60"/>
      <c r="C124" s="323"/>
      <c r="D124" s="323"/>
      <c r="E124" s="323"/>
      <c r="F124" s="323"/>
      <c r="G124" s="323"/>
      <c r="H124" s="323"/>
      <c r="I124" s="323"/>
      <c r="J124" s="323"/>
      <c r="K124" s="323"/>
      <c r="L124" s="323"/>
      <c r="M124" s="323"/>
      <c r="N124" s="324"/>
    </row>
    <row r="125" spans="1:14">
      <c r="A125" s="60" t="s">
        <v>955</v>
      </c>
      <c r="B125" s="60"/>
      <c r="C125" s="323"/>
      <c r="D125" s="323"/>
      <c r="E125" s="323"/>
      <c r="F125" s="323"/>
      <c r="G125" s="323"/>
      <c r="H125" s="323"/>
      <c r="I125" s="323"/>
      <c r="J125" s="323"/>
      <c r="K125" s="323"/>
      <c r="L125" s="323"/>
      <c r="M125" s="323"/>
      <c r="N125" s="324"/>
    </row>
    <row r="126" spans="1:14">
      <c r="A126" s="60"/>
      <c r="B126" s="60"/>
      <c r="C126" s="323"/>
      <c r="D126" s="323"/>
      <c r="E126" s="323"/>
      <c r="F126" s="323"/>
      <c r="G126" s="323"/>
      <c r="H126" s="323"/>
      <c r="I126" s="323"/>
      <c r="J126" s="323"/>
      <c r="K126" s="323"/>
      <c r="L126" s="323"/>
      <c r="M126" s="323"/>
      <c r="N126" s="324"/>
    </row>
    <row r="127" spans="1:14">
      <c r="A127" s="60"/>
      <c r="B127" s="60"/>
      <c r="C127" s="323"/>
      <c r="D127" s="323"/>
      <c r="E127" s="323"/>
      <c r="F127" s="323"/>
      <c r="G127" s="323"/>
      <c r="H127" s="323"/>
      <c r="I127" s="323"/>
      <c r="J127" s="323"/>
      <c r="K127" s="323"/>
      <c r="L127" s="323"/>
      <c r="M127" s="323"/>
      <c r="N127" s="324"/>
    </row>
    <row r="128" spans="1:14">
      <c r="A128" s="60"/>
      <c r="B128" s="60"/>
      <c r="C128" s="323"/>
      <c r="D128" s="323"/>
      <c r="E128" s="323"/>
      <c r="F128" s="323"/>
      <c r="G128" s="323"/>
      <c r="H128" s="323"/>
      <c r="I128" s="323"/>
      <c r="J128" s="323"/>
      <c r="K128" s="323"/>
      <c r="L128" s="323"/>
      <c r="M128" s="323"/>
      <c r="N128" s="324"/>
    </row>
    <row r="129" spans="1:14">
      <c r="A129" s="60"/>
      <c r="B129" s="60"/>
      <c r="C129" s="323"/>
      <c r="D129" s="323"/>
      <c r="E129" s="323"/>
      <c r="F129" s="323"/>
      <c r="G129" s="323"/>
      <c r="H129" s="323"/>
      <c r="I129" s="323"/>
      <c r="J129" s="323"/>
      <c r="K129" s="323"/>
      <c r="L129" s="323"/>
      <c r="M129" s="323"/>
      <c r="N129" s="324"/>
    </row>
    <row r="130" spans="1:14">
      <c r="A130" s="60"/>
      <c r="B130" s="60"/>
      <c r="C130" s="323"/>
      <c r="D130" s="323"/>
      <c r="E130" s="323"/>
      <c r="F130" s="323"/>
      <c r="G130" s="323"/>
      <c r="H130" s="323"/>
      <c r="I130" s="323"/>
      <c r="J130" s="323"/>
      <c r="K130" s="323"/>
      <c r="L130" s="323"/>
      <c r="M130" s="323"/>
      <c r="N130" s="324"/>
    </row>
    <row r="131" spans="1:14">
      <c r="A131" s="60"/>
      <c r="B131" s="60"/>
      <c r="C131" s="323"/>
      <c r="D131" s="323"/>
      <c r="E131" s="323"/>
      <c r="F131" s="323"/>
      <c r="G131" s="323"/>
      <c r="H131" s="323"/>
      <c r="I131" s="323"/>
      <c r="J131" s="323"/>
      <c r="K131" s="323"/>
      <c r="L131" s="323"/>
      <c r="M131" s="323"/>
      <c r="N131" s="324"/>
    </row>
    <row r="132" spans="1:14">
      <c r="A132" s="60"/>
      <c r="B132" s="60"/>
      <c r="C132" s="323"/>
      <c r="D132" s="323"/>
      <c r="E132" s="323"/>
      <c r="F132" s="323"/>
      <c r="G132" s="323"/>
      <c r="H132" s="323"/>
      <c r="I132" s="323"/>
      <c r="J132" s="323"/>
      <c r="K132" s="323"/>
      <c r="L132" s="323"/>
      <c r="M132" s="323"/>
      <c r="N132" s="324"/>
    </row>
    <row r="133" spans="1:14">
      <c r="A133" s="60"/>
      <c r="B133" s="60"/>
      <c r="C133" s="323"/>
      <c r="D133" s="323"/>
      <c r="E133" s="323"/>
      <c r="F133" s="323"/>
      <c r="G133" s="323"/>
      <c r="H133" s="323"/>
      <c r="I133" s="323"/>
      <c r="J133" s="323"/>
      <c r="K133" s="323"/>
      <c r="L133" s="323"/>
      <c r="M133" s="323"/>
      <c r="N133" s="324"/>
    </row>
    <row r="134" spans="1:14">
      <c r="A134" s="60"/>
      <c r="B134" s="60"/>
      <c r="C134" s="323"/>
      <c r="D134" s="323"/>
      <c r="E134" s="323"/>
      <c r="F134" s="323"/>
      <c r="G134" s="323"/>
      <c r="H134" s="323"/>
      <c r="I134" s="323"/>
      <c r="J134" s="323"/>
      <c r="K134" s="323"/>
      <c r="L134" s="323"/>
      <c r="M134" s="323"/>
      <c r="N134" s="324"/>
    </row>
    <row r="135" spans="1:14">
      <c r="A135" s="60"/>
      <c r="B135" s="60"/>
      <c r="C135" s="323"/>
      <c r="D135" s="323"/>
      <c r="E135" s="323"/>
      <c r="F135" s="323"/>
      <c r="G135" s="323"/>
      <c r="H135" s="323"/>
      <c r="I135" s="323"/>
      <c r="J135" s="323"/>
      <c r="K135" s="323"/>
      <c r="L135" s="323"/>
      <c r="M135" s="323"/>
      <c r="N135" s="324"/>
    </row>
    <row r="136" spans="1:14">
      <c r="A136" s="60"/>
      <c r="B136" s="60"/>
      <c r="C136" s="323"/>
      <c r="D136" s="323"/>
      <c r="E136" s="323"/>
      <c r="F136" s="323"/>
      <c r="G136" s="323"/>
      <c r="H136" s="323"/>
      <c r="I136" s="323"/>
      <c r="J136" s="323"/>
      <c r="K136" s="323"/>
      <c r="L136" s="323"/>
      <c r="M136" s="323"/>
      <c r="N136" s="324"/>
    </row>
    <row r="137" spans="1:14">
      <c r="A137" s="60"/>
      <c r="B137" s="60"/>
      <c r="C137" s="323"/>
      <c r="D137" s="323"/>
      <c r="E137" s="323"/>
      <c r="F137" s="323"/>
      <c r="G137" s="323"/>
      <c r="H137" s="323"/>
      <c r="I137" s="323"/>
      <c r="J137" s="323"/>
      <c r="K137" s="323"/>
      <c r="L137" s="323"/>
      <c r="M137" s="323"/>
      <c r="N137" s="324"/>
    </row>
    <row r="138" spans="1:14">
      <c r="A138" s="60"/>
      <c r="B138" s="60"/>
      <c r="C138" s="323"/>
      <c r="D138" s="323"/>
      <c r="E138" s="323"/>
      <c r="F138" s="323"/>
      <c r="G138" s="323"/>
      <c r="H138" s="323"/>
      <c r="I138" s="323"/>
      <c r="J138" s="323"/>
      <c r="K138" s="323"/>
      <c r="L138" s="323"/>
      <c r="M138" s="323"/>
      <c r="N138" s="324"/>
    </row>
    <row r="139" spans="1:14">
      <c r="A139" s="60"/>
      <c r="B139" s="60"/>
      <c r="C139" s="323"/>
      <c r="D139" s="323"/>
      <c r="E139" s="323"/>
      <c r="F139" s="323"/>
      <c r="G139" s="323"/>
      <c r="H139" s="323"/>
      <c r="I139" s="323"/>
      <c r="J139" s="323"/>
      <c r="K139" s="323"/>
      <c r="L139" s="323"/>
      <c r="M139" s="323"/>
      <c r="N139" s="324"/>
    </row>
    <row r="140" spans="1:14">
      <c r="A140" s="60"/>
      <c r="B140" s="60"/>
      <c r="C140" s="323"/>
      <c r="D140" s="323"/>
      <c r="E140" s="323"/>
      <c r="F140" s="323"/>
      <c r="G140" s="323"/>
      <c r="H140" s="323"/>
      <c r="I140" s="323"/>
      <c r="J140" s="323"/>
      <c r="K140" s="323"/>
      <c r="L140" s="323"/>
      <c r="M140" s="323"/>
      <c r="N140" s="324"/>
    </row>
    <row r="141" spans="1:14">
      <c r="A141" s="60"/>
      <c r="B141" s="60"/>
      <c r="C141" s="323"/>
      <c r="D141" s="323"/>
      <c r="E141" s="323"/>
      <c r="F141" s="323"/>
      <c r="G141" s="323"/>
      <c r="H141" s="323"/>
      <c r="I141" s="323"/>
      <c r="J141" s="323"/>
      <c r="K141" s="323"/>
      <c r="L141" s="323"/>
      <c r="M141" s="323"/>
      <c r="N141" s="324"/>
    </row>
    <row r="142" spans="1:14">
      <c r="A142" s="60"/>
      <c r="B142" s="60"/>
      <c r="C142" s="323"/>
      <c r="D142" s="323"/>
      <c r="E142" s="323"/>
      <c r="F142" s="323"/>
      <c r="G142" s="323"/>
      <c r="H142" s="323"/>
      <c r="I142" s="323"/>
      <c r="J142" s="323"/>
      <c r="K142" s="323"/>
      <c r="L142" s="323"/>
      <c r="M142" s="323"/>
      <c r="N142" s="324"/>
    </row>
    <row r="143" spans="1:14">
      <c r="A143" s="60"/>
      <c r="B143" s="60"/>
      <c r="C143" s="323"/>
      <c r="D143" s="323"/>
      <c r="E143" s="323"/>
      <c r="F143" s="323"/>
      <c r="G143" s="323"/>
      <c r="H143" s="323"/>
      <c r="I143" s="323"/>
      <c r="J143" s="323"/>
      <c r="K143" s="323"/>
      <c r="L143" s="323"/>
      <c r="M143" s="323"/>
      <c r="N143" s="324"/>
    </row>
    <row r="144" spans="1:14">
      <c r="A144" s="60"/>
      <c r="B144" s="60"/>
      <c r="C144" s="323"/>
      <c r="D144" s="323"/>
      <c r="E144" s="323"/>
      <c r="F144" s="323"/>
      <c r="G144" s="323"/>
      <c r="H144" s="323"/>
      <c r="I144" s="323"/>
      <c r="J144" s="323"/>
      <c r="K144" s="323"/>
      <c r="L144" s="323"/>
      <c r="M144" s="323"/>
      <c r="N144" s="324"/>
    </row>
    <row r="145" spans="1:14">
      <c r="A145" s="60"/>
      <c r="B145" s="60"/>
      <c r="C145" s="323"/>
      <c r="D145" s="323"/>
      <c r="E145" s="323"/>
      <c r="F145" s="323"/>
      <c r="G145" s="323"/>
      <c r="H145" s="323"/>
      <c r="I145" s="323"/>
      <c r="J145" s="323"/>
      <c r="K145" s="323"/>
      <c r="L145" s="323"/>
      <c r="M145" s="323"/>
      <c r="N145" s="324"/>
    </row>
    <row r="146" spans="1:14">
      <c r="A146" s="60"/>
      <c r="B146" s="60"/>
      <c r="C146" s="323"/>
      <c r="D146" s="323"/>
      <c r="E146" s="323"/>
      <c r="F146" s="323"/>
      <c r="G146" s="323"/>
      <c r="H146" s="323"/>
      <c r="I146" s="323"/>
      <c r="J146" s="323"/>
      <c r="K146" s="323"/>
      <c r="L146" s="323"/>
      <c r="M146" s="323"/>
      <c r="N146" s="324"/>
    </row>
    <row r="147" spans="1:14">
      <c r="A147" s="60"/>
      <c r="B147" s="60"/>
      <c r="C147" s="323"/>
      <c r="D147" s="323"/>
      <c r="E147" s="323"/>
      <c r="F147" s="323"/>
      <c r="G147" s="323"/>
      <c r="H147" s="323"/>
      <c r="I147" s="323"/>
      <c r="J147" s="323"/>
      <c r="K147" s="323"/>
      <c r="L147" s="323"/>
      <c r="M147" s="323"/>
      <c r="N147" s="324"/>
    </row>
    <row r="148" spans="1:14">
      <c r="A148" s="60"/>
      <c r="B148" s="60"/>
      <c r="C148" s="323"/>
      <c r="D148" s="323"/>
      <c r="E148" s="323"/>
      <c r="F148" s="323"/>
      <c r="G148" s="323"/>
      <c r="H148" s="323"/>
      <c r="I148" s="323"/>
      <c r="J148" s="323"/>
      <c r="K148" s="323"/>
      <c r="L148" s="323"/>
      <c r="M148" s="323"/>
      <c r="N148" s="324"/>
    </row>
    <row r="149" spans="1:14">
      <c r="A149" s="60"/>
      <c r="B149" s="60"/>
      <c r="C149" s="323"/>
      <c r="D149" s="323"/>
      <c r="E149" s="323"/>
      <c r="F149" s="323"/>
      <c r="G149" s="323"/>
      <c r="H149" s="323"/>
      <c r="I149" s="323"/>
      <c r="J149" s="323"/>
      <c r="K149" s="323"/>
      <c r="L149" s="323"/>
      <c r="M149" s="323"/>
      <c r="N149" s="324"/>
    </row>
    <row r="150" spans="1:14">
      <c r="A150" s="60"/>
      <c r="B150" s="60"/>
      <c r="C150" s="323"/>
      <c r="D150" s="323"/>
      <c r="E150" s="323"/>
      <c r="F150" s="323"/>
      <c r="G150" s="323"/>
      <c r="H150" s="323"/>
      <c r="I150" s="323"/>
      <c r="J150" s="323"/>
      <c r="K150" s="323"/>
      <c r="L150" s="323"/>
      <c r="M150" s="323"/>
      <c r="N150" s="324"/>
    </row>
    <row r="151" spans="1:14">
      <c r="A151" s="60"/>
      <c r="B151" s="60"/>
      <c r="C151" s="323"/>
      <c r="D151" s="323"/>
      <c r="E151" s="323"/>
      <c r="F151" s="323"/>
      <c r="G151" s="323"/>
      <c r="H151" s="323"/>
      <c r="I151" s="323"/>
      <c r="J151" s="323"/>
      <c r="K151" s="323"/>
      <c r="L151" s="323"/>
      <c r="M151" s="323"/>
      <c r="N151" s="324"/>
    </row>
    <row r="152" spans="1:14">
      <c r="A152" s="60"/>
      <c r="B152" s="60"/>
      <c r="C152" s="323"/>
      <c r="D152" s="323"/>
      <c r="E152" s="323"/>
      <c r="F152" s="323"/>
      <c r="G152" s="323"/>
      <c r="H152" s="323"/>
      <c r="I152" s="323"/>
      <c r="J152" s="323"/>
      <c r="K152" s="323"/>
      <c r="L152" s="323"/>
      <c r="M152" s="323"/>
      <c r="N152" s="324"/>
    </row>
    <row r="153" spans="1:14">
      <c r="A153" s="60"/>
      <c r="B153" s="60"/>
      <c r="C153" s="323"/>
      <c r="D153" s="323"/>
      <c r="E153" s="323"/>
      <c r="F153" s="323"/>
      <c r="G153" s="323"/>
      <c r="H153" s="323"/>
      <c r="I153" s="323"/>
      <c r="J153" s="323"/>
      <c r="K153" s="323"/>
      <c r="L153" s="323"/>
      <c r="M153" s="323"/>
      <c r="N153" s="324"/>
    </row>
    <row r="154" spans="1:14">
      <c r="A154" s="60"/>
      <c r="B154" s="60"/>
      <c r="C154" s="323"/>
      <c r="D154" s="323"/>
      <c r="E154" s="323"/>
      <c r="F154" s="323"/>
      <c r="G154" s="323"/>
      <c r="H154" s="323"/>
      <c r="I154" s="323"/>
      <c r="J154" s="323"/>
      <c r="K154" s="323"/>
      <c r="L154" s="323"/>
      <c r="M154" s="323"/>
      <c r="N154" s="324"/>
    </row>
    <row r="155" spans="1:14">
      <c r="A155" s="60"/>
      <c r="B155" s="60"/>
      <c r="C155" s="323"/>
      <c r="D155" s="323"/>
      <c r="E155" s="323"/>
      <c r="F155" s="323"/>
      <c r="G155" s="323"/>
      <c r="H155" s="323"/>
      <c r="I155" s="323"/>
      <c r="J155" s="323"/>
      <c r="K155" s="323"/>
      <c r="L155" s="323"/>
      <c r="M155" s="323"/>
      <c r="N155" s="324"/>
    </row>
    <row r="156" spans="1:14">
      <c r="A156" s="60"/>
      <c r="B156" s="60"/>
      <c r="C156" s="323"/>
      <c r="D156" s="323"/>
      <c r="E156" s="323"/>
      <c r="F156" s="323"/>
      <c r="G156" s="323"/>
      <c r="H156" s="323"/>
      <c r="I156" s="323"/>
      <c r="J156" s="323"/>
      <c r="K156" s="323"/>
      <c r="L156" s="323"/>
      <c r="M156" s="323"/>
      <c r="N156" s="324"/>
    </row>
    <row r="157" spans="1:14">
      <c r="A157" s="60"/>
      <c r="B157" s="60"/>
      <c r="C157" s="323"/>
      <c r="D157" s="323"/>
      <c r="E157" s="323"/>
      <c r="F157" s="323"/>
      <c r="G157" s="323"/>
      <c r="H157" s="323"/>
      <c r="I157" s="323"/>
      <c r="J157" s="323"/>
      <c r="K157" s="323"/>
      <c r="L157" s="323"/>
      <c r="M157" s="323"/>
      <c r="N157" s="324"/>
    </row>
    <row r="158" spans="1:14">
      <c r="A158" s="60"/>
      <c r="B158" s="60"/>
      <c r="C158" s="323"/>
      <c r="D158" s="323"/>
      <c r="E158" s="323"/>
      <c r="F158" s="323"/>
      <c r="G158" s="323"/>
      <c r="H158" s="323"/>
      <c r="I158" s="323"/>
      <c r="J158" s="323"/>
      <c r="K158" s="323"/>
      <c r="L158" s="323"/>
      <c r="M158" s="323"/>
      <c r="N158" s="324"/>
    </row>
    <row r="159" spans="1:14">
      <c r="A159" s="60"/>
      <c r="B159" s="60"/>
      <c r="C159" s="323"/>
      <c r="D159" s="323"/>
      <c r="E159" s="323"/>
      <c r="F159" s="323"/>
      <c r="G159" s="323"/>
      <c r="H159" s="323"/>
      <c r="I159" s="323"/>
      <c r="J159" s="323"/>
      <c r="K159" s="323"/>
      <c r="L159" s="323"/>
      <c r="M159" s="323"/>
      <c r="N159" s="324"/>
    </row>
    <row r="160" spans="1:14">
      <c r="A160" s="60"/>
      <c r="B160" s="60"/>
      <c r="C160" s="323"/>
      <c r="D160" s="323"/>
      <c r="E160" s="323"/>
      <c r="F160" s="323"/>
      <c r="G160" s="323"/>
      <c r="H160" s="323"/>
      <c r="I160" s="323"/>
      <c r="J160" s="323"/>
      <c r="K160" s="323"/>
      <c r="L160" s="323"/>
      <c r="M160" s="323"/>
      <c r="N160" s="324"/>
    </row>
    <row r="161" spans="1:14">
      <c r="A161" s="60"/>
      <c r="B161" s="60"/>
      <c r="C161" s="323"/>
      <c r="D161" s="323"/>
      <c r="E161" s="323"/>
      <c r="F161" s="323"/>
      <c r="G161" s="323"/>
      <c r="H161" s="323"/>
      <c r="I161" s="323"/>
      <c r="J161" s="323"/>
      <c r="K161" s="323"/>
      <c r="L161" s="323"/>
      <c r="M161" s="323"/>
      <c r="N161" s="324"/>
    </row>
    <row r="162" spans="1:14">
      <c r="A162" s="60"/>
      <c r="B162" s="60"/>
      <c r="C162" s="323"/>
      <c r="D162" s="323"/>
      <c r="E162" s="323"/>
      <c r="F162" s="323"/>
      <c r="G162" s="323"/>
      <c r="H162" s="323"/>
      <c r="I162" s="323"/>
      <c r="J162" s="323"/>
      <c r="K162" s="323"/>
      <c r="L162" s="323"/>
      <c r="M162" s="323"/>
      <c r="N162" s="324"/>
    </row>
    <row r="163" spans="1:14">
      <c r="A163" s="60"/>
      <c r="B163" s="60"/>
      <c r="C163" s="323"/>
      <c r="D163" s="323"/>
      <c r="E163" s="323"/>
      <c r="F163" s="323"/>
      <c r="G163" s="323"/>
      <c r="H163" s="323"/>
      <c r="I163" s="323"/>
      <c r="J163" s="323"/>
      <c r="K163" s="323"/>
      <c r="L163" s="323"/>
      <c r="M163" s="323"/>
      <c r="N163" s="324"/>
    </row>
    <row r="164" spans="1:14">
      <c r="A164" s="60"/>
      <c r="B164" s="60"/>
      <c r="C164" s="323"/>
      <c r="D164" s="323"/>
      <c r="E164" s="323"/>
      <c r="F164" s="323"/>
      <c r="G164" s="323"/>
      <c r="H164" s="323"/>
      <c r="I164" s="323"/>
      <c r="J164" s="323"/>
      <c r="K164" s="323"/>
      <c r="L164" s="323"/>
      <c r="M164" s="323"/>
      <c r="N164" s="324"/>
    </row>
    <row r="165" spans="1:14">
      <c r="A165" s="60"/>
      <c r="B165" s="60"/>
      <c r="C165" s="323"/>
      <c r="D165" s="323"/>
      <c r="E165" s="323"/>
      <c r="F165" s="323"/>
      <c r="G165" s="323"/>
      <c r="H165" s="323"/>
      <c r="I165" s="323"/>
      <c r="J165" s="323"/>
      <c r="K165" s="323"/>
      <c r="L165" s="323"/>
      <c r="M165" s="323"/>
      <c r="N165" s="324"/>
    </row>
    <row r="166" spans="1:14">
      <c r="A166" s="60"/>
      <c r="B166" s="60"/>
      <c r="C166" s="323"/>
      <c r="D166" s="323"/>
      <c r="E166" s="323"/>
      <c r="F166" s="323"/>
      <c r="G166" s="323"/>
      <c r="H166" s="323"/>
      <c r="I166" s="323"/>
      <c r="J166" s="323"/>
      <c r="K166" s="323"/>
      <c r="L166" s="323"/>
      <c r="M166" s="323"/>
      <c r="N166" s="324"/>
    </row>
    <row r="167" spans="1:14">
      <c r="A167" s="60"/>
      <c r="B167" s="60"/>
      <c r="C167" s="323"/>
      <c r="D167" s="323"/>
      <c r="E167" s="323"/>
      <c r="F167" s="323"/>
      <c r="G167" s="323"/>
      <c r="H167" s="323"/>
      <c r="I167" s="323"/>
      <c r="J167" s="323"/>
      <c r="K167" s="323"/>
      <c r="L167" s="323"/>
      <c r="M167" s="323"/>
      <c r="N167" s="324"/>
    </row>
    <row r="168" spans="1:14">
      <c r="A168" s="60"/>
      <c r="B168" s="60"/>
      <c r="C168" s="323"/>
      <c r="D168" s="323"/>
      <c r="E168" s="323"/>
      <c r="F168" s="323"/>
      <c r="G168" s="323"/>
      <c r="H168" s="323"/>
      <c r="I168" s="323"/>
      <c r="J168" s="323"/>
      <c r="K168" s="323"/>
      <c r="L168" s="323"/>
      <c r="M168" s="323"/>
      <c r="N168" s="324"/>
    </row>
    <row r="169" spans="1:14">
      <c r="A169" s="60"/>
      <c r="B169" s="60"/>
      <c r="C169" s="323"/>
      <c r="D169" s="323"/>
      <c r="E169" s="323"/>
      <c r="F169" s="323"/>
      <c r="G169" s="323"/>
      <c r="H169" s="323"/>
      <c r="I169" s="323"/>
      <c r="J169" s="323"/>
      <c r="K169" s="323"/>
      <c r="L169" s="323"/>
      <c r="M169" s="323"/>
      <c r="N169" s="324"/>
    </row>
    <row r="170" spans="1:14">
      <c r="A170" s="60"/>
      <c r="B170" s="60"/>
      <c r="C170" s="323"/>
      <c r="D170" s="323"/>
      <c r="E170" s="323"/>
      <c r="F170" s="323"/>
      <c r="G170" s="323"/>
      <c r="H170" s="323"/>
      <c r="I170" s="323"/>
      <c r="J170" s="323"/>
      <c r="K170" s="323"/>
      <c r="L170" s="323"/>
      <c r="M170" s="323"/>
      <c r="N170" s="324"/>
    </row>
    <row r="171" spans="1:14">
      <c r="A171" s="60"/>
      <c r="B171" s="60"/>
      <c r="C171" s="323"/>
      <c r="D171" s="323"/>
      <c r="E171" s="323"/>
      <c r="F171" s="323"/>
      <c r="G171" s="323"/>
      <c r="H171" s="323"/>
      <c r="I171" s="323"/>
      <c r="J171" s="323"/>
      <c r="K171" s="323"/>
      <c r="L171" s="323"/>
      <c r="M171" s="323"/>
      <c r="N171" s="324"/>
    </row>
    <row r="172" spans="1:14">
      <c r="A172" s="60"/>
      <c r="B172" s="60"/>
      <c r="C172" s="323"/>
      <c r="D172" s="323"/>
      <c r="E172" s="323"/>
      <c r="F172" s="323"/>
      <c r="G172" s="323"/>
      <c r="H172" s="323"/>
      <c r="I172" s="323"/>
      <c r="J172" s="323"/>
      <c r="K172" s="323"/>
      <c r="L172" s="323"/>
      <c r="M172" s="323"/>
      <c r="N172" s="324"/>
    </row>
    <row r="173" spans="1:14">
      <c r="A173" s="60"/>
      <c r="B173" s="60"/>
      <c r="C173" s="323"/>
      <c r="D173" s="323"/>
      <c r="E173" s="323"/>
      <c r="F173" s="323"/>
      <c r="G173" s="323"/>
      <c r="H173" s="323"/>
      <c r="I173" s="323"/>
      <c r="J173" s="323"/>
      <c r="K173" s="323"/>
      <c r="L173" s="323"/>
      <c r="M173" s="323"/>
      <c r="N173" s="324"/>
    </row>
    <row r="174" spans="1:14">
      <c r="A174" s="60"/>
      <c r="B174" s="60"/>
      <c r="C174" s="323"/>
      <c r="D174" s="323"/>
      <c r="E174" s="323"/>
      <c r="F174" s="323"/>
      <c r="G174" s="323"/>
      <c r="H174" s="323"/>
      <c r="I174" s="323"/>
      <c r="J174" s="323"/>
      <c r="K174" s="323"/>
      <c r="L174" s="323"/>
      <c r="M174" s="323"/>
      <c r="N174" s="324"/>
    </row>
    <row r="175" spans="1:14">
      <c r="A175" s="60"/>
      <c r="B175" s="60"/>
      <c r="C175" s="323"/>
      <c r="D175" s="323"/>
      <c r="E175" s="323"/>
      <c r="F175" s="323"/>
      <c r="G175" s="323"/>
      <c r="H175" s="323"/>
      <c r="I175" s="323"/>
      <c r="J175" s="323"/>
      <c r="K175" s="323"/>
      <c r="L175" s="323"/>
      <c r="M175" s="323"/>
      <c r="N175" s="324"/>
    </row>
    <row r="176" spans="1:14">
      <c r="A176" s="60"/>
      <c r="B176" s="60"/>
      <c r="C176" s="323"/>
      <c r="D176" s="323"/>
      <c r="E176" s="323"/>
      <c r="F176" s="323"/>
      <c r="G176" s="323"/>
      <c r="H176" s="323"/>
      <c r="I176" s="323"/>
      <c r="J176" s="323"/>
      <c r="K176" s="323"/>
      <c r="L176" s="323"/>
      <c r="M176" s="323"/>
      <c r="N176" s="324"/>
    </row>
    <row r="177" spans="1:14">
      <c r="A177" s="60"/>
      <c r="B177" s="60"/>
      <c r="C177" s="323"/>
      <c r="D177" s="323"/>
      <c r="E177" s="323"/>
      <c r="F177" s="323"/>
      <c r="G177" s="323"/>
      <c r="H177" s="323"/>
      <c r="I177" s="323"/>
      <c r="J177" s="323"/>
      <c r="K177" s="323"/>
      <c r="L177" s="323"/>
      <c r="M177" s="323"/>
      <c r="N177" s="324"/>
    </row>
    <row r="178" spans="1:14">
      <c r="A178" s="60"/>
      <c r="B178" s="60"/>
      <c r="C178" s="323"/>
      <c r="D178" s="323"/>
      <c r="E178" s="323"/>
      <c r="F178" s="323"/>
      <c r="G178" s="323"/>
      <c r="H178" s="323"/>
      <c r="I178" s="323"/>
      <c r="J178" s="323"/>
      <c r="K178" s="323"/>
      <c r="L178" s="323"/>
      <c r="M178" s="323"/>
      <c r="N178" s="324"/>
    </row>
    <row r="179" spans="1:14">
      <c r="A179" s="60"/>
      <c r="B179" s="60"/>
      <c r="C179" s="323"/>
      <c r="D179" s="323"/>
      <c r="E179" s="323"/>
      <c r="F179" s="323"/>
      <c r="G179" s="323"/>
      <c r="H179" s="323"/>
      <c r="I179" s="323"/>
      <c r="J179" s="323"/>
      <c r="K179" s="323"/>
      <c r="L179" s="323"/>
      <c r="M179" s="323"/>
      <c r="N179" s="324"/>
    </row>
    <row r="180" spans="1:14">
      <c r="A180" s="60"/>
      <c r="B180" s="60"/>
      <c r="C180" s="323"/>
      <c r="D180" s="323"/>
      <c r="E180" s="323"/>
      <c r="F180" s="323"/>
      <c r="G180" s="323"/>
      <c r="H180" s="323"/>
      <c r="I180" s="323"/>
      <c r="J180" s="323"/>
      <c r="K180" s="323"/>
      <c r="L180" s="323"/>
      <c r="M180" s="323"/>
      <c r="N180" s="324"/>
    </row>
    <row r="181" spans="1:14">
      <c r="A181" s="60"/>
      <c r="B181" s="60"/>
      <c r="C181" s="323"/>
      <c r="D181" s="323"/>
      <c r="E181" s="323"/>
      <c r="F181" s="323"/>
      <c r="G181" s="323"/>
      <c r="H181" s="323"/>
      <c r="I181" s="323"/>
      <c r="J181" s="323"/>
      <c r="K181" s="323"/>
      <c r="L181" s="323"/>
      <c r="M181" s="323"/>
      <c r="N181" s="324"/>
    </row>
    <row r="182" spans="1:14">
      <c r="A182" s="60"/>
      <c r="B182" s="60"/>
      <c r="C182" s="323"/>
      <c r="D182" s="323"/>
      <c r="E182" s="323"/>
      <c r="F182" s="323"/>
      <c r="G182" s="323"/>
      <c r="H182" s="323"/>
      <c r="I182" s="323"/>
      <c r="J182" s="323"/>
      <c r="K182" s="323"/>
      <c r="L182" s="323"/>
      <c r="M182" s="323"/>
      <c r="N182" s="324"/>
    </row>
    <row r="183" spans="1:14">
      <c r="A183" s="60"/>
      <c r="B183" s="60"/>
      <c r="C183" s="323"/>
      <c r="D183" s="323"/>
      <c r="E183" s="323"/>
      <c r="F183" s="323"/>
      <c r="G183" s="323"/>
      <c r="H183" s="323"/>
      <c r="I183" s="323"/>
      <c r="J183" s="323"/>
      <c r="K183" s="323"/>
      <c r="L183" s="323"/>
      <c r="M183" s="323"/>
      <c r="N183" s="324"/>
    </row>
    <row r="184" spans="1:14">
      <c r="A184" s="60"/>
      <c r="B184" s="60"/>
      <c r="C184" s="323"/>
      <c r="D184" s="323"/>
      <c r="E184" s="323"/>
      <c r="F184" s="323"/>
      <c r="G184" s="323"/>
      <c r="H184" s="323"/>
      <c r="I184" s="323"/>
      <c r="J184" s="323"/>
      <c r="K184" s="323"/>
      <c r="L184" s="323"/>
      <c r="M184" s="323"/>
      <c r="N184" s="324"/>
    </row>
    <row r="185" spans="1:14">
      <c r="A185" s="60"/>
      <c r="B185" s="60"/>
      <c r="C185" s="323"/>
      <c r="D185" s="323"/>
      <c r="E185" s="323"/>
      <c r="F185" s="323"/>
      <c r="G185" s="323"/>
      <c r="H185" s="323"/>
      <c r="I185" s="323"/>
      <c r="J185" s="323"/>
      <c r="K185" s="323"/>
      <c r="L185" s="323"/>
      <c r="M185" s="323"/>
      <c r="N185" s="324"/>
    </row>
    <row r="186" spans="1:14">
      <c r="A186" s="60"/>
      <c r="B186" s="60"/>
      <c r="C186" s="323"/>
      <c r="D186" s="323"/>
      <c r="E186" s="323"/>
      <c r="F186" s="323"/>
      <c r="G186" s="323"/>
      <c r="H186" s="323"/>
      <c r="I186" s="323"/>
      <c r="J186" s="323"/>
      <c r="K186" s="323"/>
      <c r="L186" s="323"/>
      <c r="M186" s="323"/>
      <c r="N186" s="324"/>
    </row>
    <row r="187" spans="1:14">
      <c r="A187" s="60"/>
      <c r="B187" s="60"/>
      <c r="C187" s="323"/>
      <c r="D187" s="323"/>
      <c r="E187" s="323"/>
      <c r="F187" s="323"/>
      <c r="G187" s="323"/>
      <c r="H187" s="323"/>
      <c r="I187" s="323"/>
      <c r="J187" s="323"/>
      <c r="K187" s="323"/>
      <c r="L187" s="323"/>
      <c r="M187" s="323"/>
      <c r="N187" s="324"/>
    </row>
    <row r="188" spans="1:14">
      <c r="A188" s="60"/>
      <c r="B188" s="60"/>
      <c r="C188" s="323"/>
      <c r="D188" s="323"/>
      <c r="E188" s="323"/>
      <c r="F188" s="323"/>
      <c r="G188" s="323"/>
      <c r="H188" s="323"/>
      <c r="I188" s="323"/>
      <c r="J188" s="323"/>
      <c r="K188" s="323"/>
      <c r="L188" s="323"/>
      <c r="M188" s="323"/>
      <c r="N188" s="324"/>
    </row>
    <row r="189" spans="1:14">
      <c r="A189" s="60"/>
      <c r="B189" s="60"/>
      <c r="C189" s="323"/>
      <c r="D189" s="323"/>
      <c r="E189" s="323"/>
      <c r="F189" s="323"/>
      <c r="G189" s="323"/>
      <c r="H189" s="323"/>
      <c r="I189" s="323"/>
      <c r="J189" s="323"/>
      <c r="K189" s="323"/>
      <c r="L189" s="323"/>
      <c r="M189" s="323"/>
      <c r="N189" s="324"/>
    </row>
    <row r="190" spans="1:14">
      <c r="A190" s="60"/>
      <c r="B190" s="60"/>
      <c r="C190" s="323"/>
      <c r="D190" s="323"/>
      <c r="E190" s="323"/>
      <c r="F190" s="323"/>
      <c r="G190" s="323"/>
      <c r="H190" s="323"/>
      <c r="I190" s="323"/>
      <c r="J190" s="323"/>
      <c r="K190" s="323"/>
      <c r="L190" s="323"/>
      <c r="M190" s="323"/>
      <c r="N190" s="324"/>
    </row>
    <row r="191" spans="1:14">
      <c r="A191" s="60"/>
      <c r="B191" s="60"/>
      <c r="C191" s="323"/>
      <c r="D191" s="323"/>
      <c r="E191" s="323"/>
      <c r="F191" s="323"/>
      <c r="G191" s="323"/>
      <c r="H191" s="323"/>
      <c r="I191" s="323"/>
      <c r="J191" s="323"/>
      <c r="K191" s="323"/>
      <c r="L191" s="323"/>
      <c r="M191" s="323"/>
      <c r="N191" s="324"/>
    </row>
    <row r="192" spans="1:14">
      <c r="A192" s="60"/>
      <c r="B192" s="60"/>
      <c r="C192" s="323"/>
      <c r="D192" s="323"/>
      <c r="E192" s="323"/>
      <c r="F192" s="323"/>
      <c r="G192" s="323"/>
      <c r="H192" s="323"/>
      <c r="I192" s="323"/>
      <c r="J192" s="323"/>
      <c r="K192" s="323"/>
      <c r="L192" s="323"/>
      <c r="M192" s="323"/>
      <c r="N192" s="324"/>
    </row>
    <row r="193" spans="1:14">
      <c r="A193" s="60"/>
      <c r="B193" s="60"/>
      <c r="C193" s="323"/>
      <c r="D193" s="323"/>
      <c r="E193" s="323"/>
      <c r="F193" s="323"/>
      <c r="G193" s="323"/>
      <c r="H193" s="323"/>
      <c r="I193" s="323"/>
      <c r="J193" s="323"/>
      <c r="K193" s="323"/>
      <c r="L193" s="323"/>
      <c r="M193" s="323"/>
      <c r="N193" s="324"/>
    </row>
    <row r="194" spans="1:14">
      <c r="A194" s="60"/>
      <c r="B194" s="60"/>
      <c r="C194" s="323"/>
      <c r="D194" s="323"/>
      <c r="E194" s="323"/>
      <c r="F194" s="323"/>
      <c r="G194" s="323"/>
      <c r="H194" s="323"/>
      <c r="I194" s="323"/>
      <c r="J194" s="323"/>
      <c r="K194" s="323"/>
      <c r="L194" s="323"/>
      <c r="M194" s="323"/>
      <c r="N194" s="324"/>
    </row>
    <row r="195" spans="1:14">
      <c r="A195" s="60"/>
      <c r="B195" s="60"/>
      <c r="C195" s="323"/>
      <c r="D195" s="323"/>
      <c r="E195" s="323"/>
      <c r="F195" s="323"/>
      <c r="G195" s="323"/>
      <c r="H195" s="323"/>
      <c r="I195" s="323"/>
      <c r="J195" s="323"/>
      <c r="K195" s="323"/>
      <c r="L195" s="323"/>
      <c r="M195" s="323"/>
      <c r="N195" s="324"/>
    </row>
    <row r="196" spans="1:14">
      <c r="A196" s="60"/>
      <c r="B196" s="60"/>
      <c r="C196" s="323"/>
      <c r="D196" s="323"/>
      <c r="E196" s="323"/>
      <c r="F196" s="323"/>
      <c r="G196" s="323"/>
      <c r="H196" s="323"/>
      <c r="I196" s="323"/>
      <c r="J196" s="323"/>
      <c r="K196" s="323"/>
      <c r="L196" s="323"/>
      <c r="M196" s="323"/>
      <c r="N196" s="324"/>
    </row>
    <row r="197" spans="1:14">
      <c r="A197" s="60"/>
      <c r="B197" s="60"/>
      <c r="C197" s="323"/>
      <c r="D197" s="323"/>
      <c r="E197" s="323"/>
      <c r="F197" s="323"/>
      <c r="G197" s="323"/>
      <c r="H197" s="323"/>
      <c r="I197" s="323"/>
      <c r="J197" s="323"/>
      <c r="K197" s="323"/>
      <c r="L197" s="323"/>
      <c r="M197" s="323"/>
      <c r="N197" s="324"/>
    </row>
    <row r="198" spans="1:14">
      <c r="A198" s="60"/>
      <c r="B198" s="60"/>
      <c r="C198" s="323"/>
      <c r="D198" s="323"/>
      <c r="E198" s="323"/>
      <c r="F198" s="323"/>
      <c r="G198" s="323"/>
      <c r="H198" s="323"/>
      <c r="I198" s="323"/>
      <c r="J198" s="323"/>
      <c r="K198" s="323"/>
      <c r="L198" s="323"/>
      <c r="M198" s="323"/>
      <c r="N198" s="324"/>
    </row>
    <row r="199" spans="1:14">
      <c r="A199" s="60"/>
      <c r="B199" s="60"/>
      <c r="C199" s="323"/>
      <c r="D199" s="323"/>
      <c r="E199" s="323"/>
      <c r="F199" s="323"/>
      <c r="G199" s="323"/>
      <c r="H199" s="323"/>
      <c r="I199" s="323"/>
      <c r="J199" s="323"/>
      <c r="K199" s="323"/>
      <c r="L199" s="323"/>
      <c r="M199" s="323"/>
      <c r="N199" s="324"/>
    </row>
    <row r="200" spans="1:14">
      <c r="A200" s="60"/>
      <c r="B200" s="60"/>
      <c r="C200" s="323"/>
      <c r="D200" s="323"/>
      <c r="E200" s="323"/>
      <c r="F200" s="323"/>
      <c r="G200" s="323"/>
      <c r="H200" s="323"/>
      <c r="I200" s="323"/>
      <c r="J200" s="323"/>
      <c r="K200" s="323"/>
      <c r="L200" s="323"/>
      <c r="M200" s="323"/>
      <c r="N200" s="324"/>
    </row>
    <row r="201" spans="1:14">
      <c r="A201" s="60"/>
      <c r="B201" s="60"/>
      <c r="C201" s="323"/>
      <c r="D201" s="323"/>
      <c r="E201" s="323"/>
      <c r="F201" s="323"/>
      <c r="G201" s="323"/>
      <c r="H201" s="323"/>
      <c r="I201" s="323"/>
      <c r="J201" s="323"/>
      <c r="K201" s="323"/>
      <c r="L201" s="323"/>
      <c r="M201" s="323"/>
      <c r="N201" s="324"/>
    </row>
    <row r="202" spans="1:14">
      <c r="A202" s="60"/>
      <c r="B202" s="60"/>
      <c r="C202" s="323"/>
      <c r="D202" s="323"/>
      <c r="E202" s="323"/>
      <c r="F202" s="323"/>
      <c r="G202" s="323"/>
      <c r="H202" s="323"/>
      <c r="I202" s="323"/>
      <c r="J202" s="323"/>
      <c r="K202" s="323"/>
      <c r="L202" s="323"/>
      <c r="M202" s="323"/>
      <c r="N202" s="324"/>
    </row>
    <row r="203" spans="1:14">
      <c r="A203" s="60"/>
      <c r="B203" s="60"/>
      <c r="C203" s="323"/>
      <c r="D203" s="323"/>
      <c r="E203" s="323"/>
      <c r="F203" s="323"/>
      <c r="G203" s="323"/>
      <c r="H203" s="323"/>
      <c r="I203" s="323"/>
      <c r="J203" s="323"/>
      <c r="K203" s="323"/>
      <c r="L203" s="323"/>
      <c r="M203" s="323"/>
      <c r="N203" s="324"/>
    </row>
    <row r="204" spans="1:14">
      <c r="A204" s="60"/>
      <c r="B204" s="60"/>
      <c r="C204" s="323"/>
      <c r="D204" s="323"/>
      <c r="E204" s="323"/>
      <c r="F204" s="323"/>
      <c r="G204" s="323"/>
      <c r="H204" s="323"/>
      <c r="I204" s="323"/>
      <c r="J204" s="323"/>
      <c r="K204" s="323"/>
      <c r="L204" s="323"/>
      <c r="M204" s="323"/>
      <c r="N204" s="324"/>
    </row>
    <row r="205" spans="1:14">
      <c r="A205" s="60"/>
      <c r="B205" s="60"/>
      <c r="C205" s="323"/>
      <c r="D205" s="323"/>
      <c r="E205" s="323"/>
      <c r="F205" s="323"/>
      <c r="G205" s="323"/>
      <c r="H205" s="323"/>
      <c r="I205" s="323"/>
      <c r="J205" s="323"/>
      <c r="K205" s="323"/>
      <c r="L205" s="323"/>
      <c r="M205" s="323"/>
      <c r="N205" s="324"/>
    </row>
    <row r="206" spans="1:14">
      <c r="A206" s="60"/>
      <c r="B206" s="60"/>
      <c r="C206" s="323"/>
      <c r="D206" s="323"/>
      <c r="E206" s="323"/>
      <c r="F206" s="323"/>
      <c r="G206" s="323"/>
      <c r="H206" s="323"/>
      <c r="I206" s="323"/>
      <c r="J206" s="323"/>
      <c r="K206" s="323"/>
      <c r="L206" s="323"/>
      <c r="M206" s="323"/>
      <c r="N206" s="324"/>
    </row>
    <row r="207" spans="1:14">
      <c r="A207" s="60"/>
      <c r="B207" s="60"/>
      <c r="C207" s="323"/>
      <c r="D207" s="323"/>
      <c r="E207" s="323"/>
      <c r="F207" s="323"/>
      <c r="G207" s="323"/>
      <c r="H207" s="323"/>
      <c r="I207" s="323"/>
      <c r="J207" s="323"/>
      <c r="K207" s="323"/>
      <c r="L207" s="323"/>
      <c r="M207" s="323"/>
      <c r="N207" s="324"/>
    </row>
    <row r="208" spans="1:14">
      <c r="A208" s="60"/>
      <c r="B208" s="60"/>
      <c r="C208" s="323"/>
      <c r="D208" s="323"/>
      <c r="E208" s="323"/>
      <c r="F208" s="323"/>
      <c r="G208" s="323"/>
      <c r="H208" s="323"/>
      <c r="I208" s="323"/>
      <c r="J208" s="323"/>
      <c r="K208" s="323"/>
      <c r="L208" s="323"/>
      <c r="M208" s="323"/>
      <c r="N208" s="324"/>
    </row>
    <row r="209" spans="1:14">
      <c r="A209" s="60"/>
      <c r="B209" s="60"/>
      <c r="C209" s="323"/>
      <c r="D209" s="323"/>
      <c r="E209" s="323"/>
      <c r="F209" s="323"/>
      <c r="G209" s="323"/>
      <c r="H209" s="323"/>
      <c r="I209" s="323"/>
      <c r="J209" s="323"/>
      <c r="K209" s="323"/>
      <c r="L209" s="323"/>
      <c r="M209" s="323"/>
      <c r="N209" s="324"/>
    </row>
    <row r="210" spans="1:14">
      <c r="A210" s="60"/>
      <c r="B210" s="60"/>
      <c r="C210" s="323"/>
      <c r="D210" s="323"/>
      <c r="E210" s="323"/>
      <c r="F210" s="323"/>
      <c r="G210" s="323"/>
      <c r="H210" s="323"/>
      <c r="I210" s="323"/>
      <c r="J210" s="323"/>
      <c r="K210" s="323"/>
      <c r="L210" s="323"/>
      <c r="M210" s="323"/>
      <c r="N210" s="324"/>
    </row>
    <row r="211" spans="1:14">
      <c r="A211" s="60"/>
      <c r="B211" s="60"/>
      <c r="C211" s="323"/>
      <c r="D211" s="323"/>
      <c r="E211" s="323"/>
      <c r="F211" s="323"/>
      <c r="G211" s="323"/>
      <c r="H211" s="323"/>
      <c r="I211" s="323"/>
      <c r="J211" s="323"/>
      <c r="K211" s="323"/>
      <c r="L211" s="323"/>
      <c r="M211" s="323"/>
      <c r="N211" s="324"/>
    </row>
    <row r="212" spans="1:14">
      <c r="A212" s="60"/>
      <c r="B212" s="60"/>
      <c r="C212" s="323"/>
      <c r="D212" s="323"/>
      <c r="E212" s="323"/>
      <c r="F212" s="323"/>
      <c r="G212" s="323"/>
      <c r="H212" s="323"/>
      <c r="I212" s="323"/>
      <c r="J212" s="323"/>
      <c r="K212" s="323"/>
      <c r="L212" s="323"/>
      <c r="M212" s="323"/>
      <c r="N212" s="324"/>
    </row>
    <row r="213" spans="1:14">
      <c r="A213" s="60"/>
      <c r="B213" s="60"/>
      <c r="C213" s="323"/>
      <c r="D213" s="323"/>
      <c r="E213" s="323"/>
      <c r="F213" s="323"/>
      <c r="G213" s="323"/>
      <c r="H213" s="323"/>
      <c r="I213" s="323"/>
      <c r="J213" s="323"/>
      <c r="K213" s="323"/>
      <c r="L213" s="323"/>
      <c r="M213" s="323"/>
      <c r="N213" s="324"/>
    </row>
    <row r="214" spans="1:14">
      <c r="A214" s="60"/>
      <c r="B214" s="60"/>
      <c r="C214" s="323"/>
      <c r="D214" s="323"/>
      <c r="E214" s="323"/>
      <c r="F214" s="323"/>
      <c r="G214" s="323"/>
      <c r="H214" s="323"/>
      <c r="I214" s="323"/>
      <c r="J214" s="323"/>
      <c r="K214" s="323"/>
      <c r="L214" s="323"/>
      <c r="M214" s="323"/>
      <c r="N214" s="324"/>
    </row>
    <row r="215" spans="1:14">
      <c r="A215" s="60"/>
      <c r="B215" s="60"/>
      <c r="C215" s="323"/>
      <c r="D215" s="323"/>
      <c r="E215" s="323"/>
      <c r="F215" s="323"/>
      <c r="G215" s="323"/>
      <c r="H215" s="323"/>
      <c r="I215" s="323"/>
      <c r="J215" s="323"/>
      <c r="K215" s="323"/>
      <c r="L215" s="323"/>
      <c r="M215" s="323"/>
      <c r="N215" s="324"/>
    </row>
    <row r="216" spans="1:14">
      <c r="A216" s="60"/>
      <c r="B216" s="60"/>
      <c r="C216" s="323"/>
      <c r="D216" s="323"/>
      <c r="E216" s="323"/>
      <c r="F216" s="323"/>
      <c r="G216" s="323"/>
      <c r="H216" s="323"/>
      <c r="I216" s="323"/>
      <c r="J216" s="323"/>
      <c r="K216" s="323"/>
      <c r="L216" s="323"/>
      <c r="M216" s="323"/>
      <c r="N216" s="324"/>
    </row>
    <row r="217" spans="1:14">
      <c r="A217" s="60"/>
      <c r="B217" s="60"/>
      <c r="C217" s="323"/>
      <c r="D217" s="323"/>
      <c r="E217" s="323"/>
      <c r="F217" s="323"/>
      <c r="G217" s="323"/>
      <c r="H217" s="323"/>
      <c r="I217" s="323"/>
      <c r="J217" s="323"/>
      <c r="K217" s="323"/>
      <c r="L217" s="323"/>
      <c r="M217" s="323"/>
      <c r="N217" s="324"/>
    </row>
    <row r="218" spans="1:14">
      <c r="A218" s="60"/>
      <c r="B218" s="60"/>
      <c r="C218" s="323"/>
      <c r="D218" s="323"/>
      <c r="E218" s="323"/>
      <c r="F218" s="323"/>
      <c r="G218" s="323"/>
      <c r="H218" s="323"/>
      <c r="I218" s="323"/>
      <c r="J218" s="323"/>
      <c r="K218" s="323"/>
      <c r="L218" s="323"/>
      <c r="M218" s="323"/>
      <c r="N218" s="324"/>
    </row>
    <row r="219" spans="1:14">
      <c r="A219" s="60"/>
      <c r="B219" s="60"/>
      <c r="C219" s="323"/>
      <c r="D219" s="323"/>
      <c r="E219" s="323"/>
      <c r="F219" s="323"/>
      <c r="G219" s="323"/>
      <c r="H219" s="323"/>
      <c r="I219" s="323"/>
      <c r="J219" s="323"/>
      <c r="K219" s="323"/>
      <c r="L219" s="323"/>
      <c r="M219" s="323"/>
      <c r="N219" s="324"/>
    </row>
    <row r="220" spans="1:14">
      <c r="A220" s="60"/>
      <c r="B220" s="60"/>
      <c r="C220" s="323"/>
      <c r="D220" s="323"/>
      <c r="E220" s="323"/>
      <c r="F220" s="323"/>
      <c r="G220" s="323"/>
      <c r="H220" s="323"/>
      <c r="I220" s="323"/>
      <c r="J220" s="323"/>
      <c r="K220" s="323"/>
      <c r="L220" s="323"/>
      <c r="M220" s="323"/>
      <c r="N220" s="324"/>
    </row>
    <row r="221" spans="1:14">
      <c r="A221" s="60"/>
      <c r="B221" s="60"/>
      <c r="C221" s="323"/>
      <c r="D221" s="323"/>
      <c r="E221" s="323"/>
      <c r="F221" s="323"/>
      <c r="G221" s="323"/>
      <c r="H221" s="323"/>
      <c r="I221" s="323"/>
      <c r="J221" s="323"/>
      <c r="K221" s="323"/>
      <c r="L221" s="323"/>
      <c r="M221" s="323"/>
      <c r="N221" s="324"/>
    </row>
    <row r="222" spans="1:14">
      <c r="A222" s="60"/>
      <c r="B222" s="60"/>
      <c r="C222" s="323"/>
      <c r="D222" s="323"/>
      <c r="E222" s="323"/>
      <c r="F222" s="323"/>
      <c r="G222" s="323"/>
      <c r="H222" s="323"/>
      <c r="I222" s="323"/>
      <c r="J222" s="323"/>
      <c r="K222" s="323"/>
      <c r="L222" s="323"/>
      <c r="M222" s="323"/>
      <c r="N222" s="324"/>
    </row>
    <row r="223" spans="1:14">
      <c r="A223" s="60"/>
      <c r="B223" s="60"/>
      <c r="C223" s="323"/>
      <c r="D223" s="323"/>
      <c r="E223" s="323"/>
      <c r="F223" s="323"/>
      <c r="G223" s="323"/>
      <c r="H223" s="323"/>
      <c r="I223" s="323"/>
      <c r="J223" s="323"/>
      <c r="K223" s="323"/>
      <c r="L223" s="323"/>
      <c r="M223" s="323"/>
      <c r="N223" s="324"/>
    </row>
    <row r="224" spans="1:14">
      <c r="A224" s="60"/>
      <c r="B224" s="60"/>
      <c r="C224" s="323"/>
      <c r="D224" s="323"/>
      <c r="E224" s="323"/>
      <c r="F224" s="323"/>
      <c r="G224" s="323"/>
      <c r="H224" s="323"/>
      <c r="I224" s="323"/>
      <c r="J224" s="323"/>
      <c r="K224" s="323"/>
      <c r="L224" s="323"/>
      <c r="M224" s="323"/>
      <c r="N224" s="324"/>
    </row>
    <row r="225" spans="1:14">
      <c r="A225" s="60"/>
      <c r="B225" s="60"/>
      <c r="C225" s="323"/>
      <c r="D225" s="323"/>
      <c r="E225" s="323"/>
      <c r="F225" s="323"/>
      <c r="G225" s="323"/>
      <c r="H225" s="323"/>
      <c r="I225" s="323"/>
      <c r="J225" s="323"/>
      <c r="K225" s="323"/>
      <c r="L225" s="323"/>
      <c r="M225" s="323"/>
      <c r="N225" s="324"/>
    </row>
    <row r="226" spans="1:14">
      <c r="A226" s="60"/>
      <c r="B226" s="60"/>
      <c r="C226" s="323"/>
      <c r="D226" s="323"/>
      <c r="E226" s="323"/>
      <c r="F226" s="323"/>
      <c r="G226" s="323"/>
      <c r="H226" s="323"/>
      <c r="I226" s="323"/>
      <c r="J226" s="323"/>
      <c r="K226" s="323"/>
      <c r="L226" s="323"/>
      <c r="M226" s="323"/>
      <c r="N226" s="324"/>
    </row>
    <row r="227" spans="1:14">
      <c r="A227" s="60"/>
      <c r="B227" s="60"/>
      <c r="C227" s="323"/>
      <c r="D227" s="323"/>
      <c r="E227" s="323"/>
      <c r="F227" s="323"/>
      <c r="G227" s="323"/>
      <c r="H227" s="323"/>
      <c r="I227" s="323"/>
      <c r="J227" s="323"/>
      <c r="K227" s="323"/>
      <c r="L227" s="323"/>
      <c r="M227" s="323"/>
      <c r="N227" s="324"/>
    </row>
    <row r="228" spans="1:14">
      <c r="A228" s="60"/>
      <c r="B228" s="60"/>
      <c r="C228" s="323"/>
      <c r="D228" s="323"/>
      <c r="E228" s="323"/>
      <c r="F228" s="323"/>
      <c r="G228" s="323"/>
      <c r="H228" s="323"/>
      <c r="I228" s="323"/>
      <c r="J228" s="323"/>
      <c r="K228" s="323"/>
      <c r="L228" s="323"/>
      <c r="M228" s="323"/>
      <c r="N228" s="324"/>
    </row>
    <row r="229" spans="1:14">
      <c r="A229" s="60"/>
      <c r="B229" s="60"/>
      <c r="C229" s="323"/>
      <c r="D229" s="323"/>
      <c r="E229" s="323"/>
      <c r="F229" s="323"/>
      <c r="G229" s="323"/>
      <c r="H229" s="323"/>
      <c r="I229" s="323"/>
      <c r="J229" s="323"/>
      <c r="K229" s="323"/>
      <c r="L229" s="323"/>
      <c r="M229" s="323"/>
      <c r="N229" s="324"/>
    </row>
    <row r="230" spans="1:14">
      <c r="A230" s="60"/>
      <c r="B230" s="60"/>
      <c r="C230" s="323"/>
      <c r="D230" s="323"/>
      <c r="E230" s="323"/>
      <c r="F230" s="323"/>
      <c r="G230" s="323"/>
      <c r="H230" s="323"/>
      <c r="I230" s="323"/>
      <c r="J230" s="323"/>
      <c r="K230" s="323"/>
      <c r="L230" s="323"/>
      <c r="M230" s="323"/>
      <c r="N230" s="324"/>
    </row>
    <row r="231" spans="1:14">
      <c r="A231" s="60"/>
      <c r="B231" s="60"/>
      <c r="C231" s="323"/>
      <c r="D231" s="323"/>
      <c r="E231" s="323"/>
      <c r="F231" s="323"/>
      <c r="G231" s="323"/>
      <c r="H231" s="323"/>
      <c r="I231" s="323"/>
      <c r="J231" s="323"/>
      <c r="K231" s="323"/>
      <c r="L231" s="323"/>
      <c r="M231" s="323"/>
      <c r="N231" s="324"/>
    </row>
    <row r="232" spans="1:14">
      <c r="A232" s="60"/>
      <c r="B232" s="60"/>
      <c r="C232" s="323"/>
      <c r="D232" s="323"/>
      <c r="E232" s="323"/>
      <c r="F232" s="323"/>
      <c r="G232" s="323"/>
      <c r="H232" s="323"/>
      <c r="I232" s="323"/>
      <c r="J232" s="323"/>
      <c r="K232" s="323"/>
      <c r="L232" s="323"/>
      <c r="M232" s="323"/>
      <c r="N232" s="324"/>
    </row>
    <row r="233" spans="1:14">
      <c r="A233" s="60"/>
      <c r="B233" s="60"/>
      <c r="C233" s="323"/>
      <c r="D233" s="323"/>
      <c r="E233" s="323"/>
      <c r="F233" s="323"/>
      <c r="G233" s="323"/>
      <c r="H233" s="323"/>
      <c r="I233" s="323"/>
      <c r="J233" s="323"/>
      <c r="K233" s="323"/>
      <c r="L233" s="323"/>
      <c r="M233" s="323"/>
      <c r="N233" s="324"/>
    </row>
    <row r="234" spans="1:14">
      <c r="A234" s="60"/>
      <c r="B234" s="60"/>
      <c r="C234" s="323"/>
      <c r="D234" s="323"/>
      <c r="E234" s="323"/>
      <c r="F234" s="323"/>
      <c r="G234" s="323"/>
      <c r="H234" s="323"/>
      <c r="I234" s="323"/>
      <c r="J234" s="323"/>
      <c r="K234" s="323"/>
      <c r="L234" s="323"/>
      <c r="M234" s="323"/>
      <c r="N234" s="324"/>
    </row>
    <row r="235" spans="1:14">
      <c r="A235" s="60"/>
      <c r="B235" s="60"/>
      <c r="C235" s="323"/>
      <c r="D235" s="323"/>
      <c r="E235" s="323"/>
      <c r="F235" s="323"/>
      <c r="G235" s="323"/>
      <c r="H235" s="323"/>
      <c r="I235" s="323"/>
      <c r="J235" s="323"/>
      <c r="K235" s="323"/>
      <c r="L235" s="323"/>
      <c r="M235" s="323"/>
      <c r="N235" s="324"/>
    </row>
    <row r="236" spans="1:14">
      <c r="A236" s="60"/>
      <c r="B236" s="60"/>
      <c r="C236" s="323"/>
      <c r="D236" s="323"/>
      <c r="E236" s="323"/>
      <c r="F236" s="323"/>
      <c r="G236" s="323"/>
      <c r="H236" s="323"/>
      <c r="I236" s="323"/>
      <c r="J236" s="323"/>
      <c r="K236" s="323"/>
      <c r="L236" s="323"/>
      <c r="M236" s="323"/>
      <c r="N236" s="324"/>
    </row>
    <row r="237" spans="1:14">
      <c r="A237" s="60"/>
      <c r="B237" s="60"/>
      <c r="C237" s="323"/>
      <c r="D237" s="323"/>
      <c r="E237" s="323"/>
      <c r="F237" s="323"/>
      <c r="G237" s="323"/>
      <c r="H237" s="323"/>
      <c r="I237" s="323"/>
      <c r="J237" s="323"/>
      <c r="K237" s="323"/>
      <c r="L237" s="323"/>
      <c r="M237" s="323"/>
      <c r="N237" s="324"/>
    </row>
    <row r="238" spans="1:14">
      <c r="A238" s="60"/>
      <c r="B238" s="60"/>
      <c r="C238" s="323"/>
      <c r="D238" s="323"/>
      <c r="E238" s="323"/>
      <c r="F238" s="323"/>
      <c r="G238" s="323"/>
      <c r="H238" s="323"/>
      <c r="I238" s="323"/>
      <c r="J238" s="323"/>
      <c r="K238" s="323"/>
      <c r="L238" s="323"/>
      <c r="M238" s="323"/>
      <c r="N238" s="324"/>
    </row>
    <row r="239" spans="1:14">
      <c r="A239" s="60"/>
      <c r="B239" s="60"/>
      <c r="C239" s="323"/>
      <c r="D239" s="323"/>
      <c r="E239" s="323"/>
      <c r="F239" s="323"/>
      <c r="G239" s="323"/>
      <c r="H239" s="323"/>
      <c r="I239" s="323"/>
      <c r="J239" s="323"/>
      <c r="K239" s="323"/>
      <c r="L239" s="323"/>
      <c r="M239" s="323"/>
      <c r="N239" s="324"/>
    </row>
    <row r="240" spans="1:14">
      <c r="A240" s="60"/>
      <c r="B240" s="60"/>
      <c r="C240" s="323"/>
      <c r="D240" s="323"/>
      <c r="E240" s="323"/>
      <c r="F240" s="323"/>
      <c r="G240" s="323"/>
      <c r="H240" s="323"/>
      <c r="I240" s="323"/>
      <c r="J240" s="323"/>
      <c r="K240" s="323"/>
      <c r="L240" s="323"/>
      <c r="M240" s="323"/>
      <c r="N240" s="324"/>
    </row>
    <row r="241" spans="1:14">
      <c r="A241" s="60"/>
      <c r="B241" s="60"/>
      <c r="C241" s="323"/>
      <c r="D241" s="323"/>
      <c r="E241" s="323"/>
      <c r="F241" s="323"/>
      <c r="G241" s="323"/>
      <c r="H241" s="323"/>
      <c r="I241" s="323"/>
      <c r="J241" s="323"/>
      <c r="K241" s="323"/>
      <c r="L241" s="323"/>
      <c r="M241" s="323"/>
      <c r="N241" s="324"/>
    </row>
    <row r="242" spans="1:14">
      <c r="A242" s="60"/>
      <c r="B242" s="60"/>
      <c r="C242" s="323"/>
      <c r="D242" s="323"/>
      <c r="E242" s="323"/>
      <c r="F242" s="323"/>
      <c r="G242" s="323"/>
      <c r="H242" s="323"/>
      <c r="I242" s="323"/>
      <c r="J242" s="323"/>
      <c r="K242" s="323"/>
      <c r="L242" s="323"/>
      <c r="M242" s="323"/>
      <c r="N242" s="324"/>
    </row>
    <row r="243" spans="1:14">
      <c r="A243" s="60"/>
      <c r="B243" s="60"/>
      <c r="C243" s="323"/>
      <c r="D243" s="323"/>
      <c r="E243" s="323"/>
      <c r="F243" s="323"/>
      <c r="G243" s="323"/>
      <c r="H243" s="323"/>
      <c r="I243" s="323"/>
      <c r="J243" s="323"/>
      <c r="K243" s="323"/>
      <c r="L243" s="323"/>
      <c r="M243" s="323"/>
      <c r="N243" s="324"/>
    </row>
    <row r="244" spans="1:14">
      <c r="A244" s="60"/>
      <c r="B244" s="60"/>
      <c r="C244" s="323"/>
      <c r="D244" s="323"/>
      <c r="E244" s="323"/>
      <c r="F244" s="323"/>
      <c r="G244" s="323"/>
      <c r="H244" s="323"/>
      <c r="I244" s="323"/>
      <c r="J244" s="323"/>
      <c r="K244" s="323"/>
      <c r="L244" s="323"/>
      <c r="M244" s="323"/>
      <c r="N244" s="324"/>
    </row>
    <row r="245" spans="1:14">
      <c r="A245" s="60"/>
      <c r="B245" s="60"/>
      <c r="C245" s="323"/>
      <c r="D245" s="323"/>
      <c r="E245" s="323"/>
      <c r="F245" s="323"/>
      <c r="G245" s="323"/>
      <c r="H245" s="323"/>
      <c r="I245" s="323"/>
      <c r="J245" s="323"/>
      <c r="K245" s="323"/>
      <c r="L245" s="323"/>
      <c r="M245" s="323"/>
      <c r="N245" s="324"/>
    </row>
    <row r="246" spans="1:14">
      <c r="A246" s="60"/>
      <c r="B246" s="60"/>
      <c r="C246" s="323"/>
      <c r="D246" s="323"/>
      <c r="E246" s="323"/>
      <c r="F246" s="323"/>
      <c r="G246" s="323"/>
      <c r="H246" s="323"/>
      <c r="I246" s="323"/>
      <c r="J246" s="323"/>
      <c r="K246" s="323"/>
      <c r="L246" s="323"/>
      <c r="M246" s="323"/>
      <c r="N246" s="324"/>
    </row>
    <row r="247" spans="1:14">
      <c r="A247" s="60"/>
      <c r="B247" s="60"/>
      <c r="C247" s="323"/>
      <c r="D247" s="323"/>
      <c r="E247" s="323"/>
      <c r="F247" s="323"/>
      <c r="G247" s="323"/>
      <c r="H247" s="323"/>
      <c r="I247" s="323"/>
      <c r="J247" s="323"/>
      <c r="K247" s="323"/>
      <c r="L247" s="323"/>
      <c r="M247" s="323"/>
      <c r="N247" s="324"/>
    </row>
    <row r="248" spans="1:14">
      <c r="A248" s="60"/>
      <c r="B248" s="60"/>
      <c r="C248" s="323"/>
      <c r="D248" s="323"/>
      <c r="E248" s="323"/>
      <c r="F248" s="323"/>
      <c r="G248" s="323"/>
      <c r="H248" s="323"/>
      <c r="I248" s="323"/>
      <c r="J248" s="323"/>
      <c r="K248" s="323"/>
      <c r="L248" s="323"/>
      <c r="M248" s="323"/>
      <c r="N248" s="324"/>
    </row>
    <row r="249" spans="1:14">
      <c r="A249" s="60"/>
      <c r="B249" s="60"/>
      <c r="C249" s="323"/>
      <c r="D249" s="323"/>
      <c r="E249" s="323"/>
      <c r="F249" s="323"/>
      <c r="G249" s="323"/>
      <c r="H249" s="323"/>
      <c r="I249" s="323"/>
      <c r="J249" s="323"/>
      <c r="K249" s="323"/>
      <c r="L249" s="323"/>
      <c r="M249" s="323"/>
      <c r="N249" s="324"/>
    </row>
    <row r="250" spans="1:14">
      <c r="A250" s="60"/>
      <c r="B250" s="60"/>
      <c r="C250" s="323"/>
      <c r="D250" s="323"/>
      <c r="E250" s="323"/>
      <c r="F250" s="323"/>
      <c r="G250" s="323"/>
      <c r="H250" s="323"/>
      <c r="I250" s="323"/>
      <c r="J250" s="323"/>
      <c r="K250" s="323"/>
      <c r="L250" s="323"/>
      <c r="M250" s="323"/>
      <c r="N250" s="324"/>
    </row>
    <row r="251" spans="1:14">
      <c r="A251" s="60"/>
      <c r="B251" s="60"/>
      <c r="C251" s="323"/>
      <c r="D251" s="323"/>
      <c r="E251" s="323"/>
      <c r="F251" s="323"/>
      <c r="G251" s="323"/>
      <c r="H251" s="323"/>
      <c r="I251" s="323"/>
      <c r="J251" s="323"/>
      <c r="K251" s="323"/>
      <c r="L251" s="323"/>
      <c r="M251" s="323"/>
      <c r="N251" s="324"/>
    </row>
    <row r="252" spans="1:14">
      <c r="A252" s="60"/>
      <c r="B252" s="60"/>
      <c r="C252" s="323"/>
      <c r="D252" s="323"/>
      <c r="E252" s="323"/>
      <c r="F252" s="323"/>
      <c r="G252" s="323"/>
      <c r="H252" s="323"/>
      <c r="I252" s="323"/>
      <c r="J252" s="323"/>
      <c r="K252" s="323"/>
      <c r="L252" s="323"/>
      <c r="M252" s="323"/>
      <c r="N252" s="324"/>
    </row>
    <row r="253" spans="1:14">
      <c r="A253" s="60"/>
      <c r="B253" s="60"/>
      <c r="C253" s="323"/>
      <c r="D253" s="323"/>
      <c r="E253" s="323"/>
      <c r="F253" s="323"/>
      <c r="G253" s="323"/>
      <c r="H253" s="323"/>
      <c r="I253" s="323"/>
      <c r="J253" s="323"/>
      <c r="K253" s="323"/>
      <c r="L253" s="323"/>
      <c r="M253" s="323"/>
      <c r="N253" s="324"/>
    </row>
    <row r="254" spans="1:14">
      <c r="A254" s="60"/>
      <c r="B254" s="60"/>
      <c r="C254" s="323"/>
      <c r="D254" s="323"/>
      <c r="E254" s="323"/>
      <c r="F254" s="323"/>
      <c r="G254" s="323"/>
      <c r="H254" s="323"/>
      <c r="I254" s="323"/>
      <c r="J254" s="323"/>
      <c r="K254" s="323"/>
      <c r="L254" s="323"/>
      <c r="M254" s="323"/>
      <c r="N254" s="324"/>
    </row>
    <row r="255" spans="1:14">
      <c r="A255" s="60"/>
      <c r="B255" s="60"/>
      <c r="C255" s="323"/>
      <c r="D255" s="323"/>
      <c r="E255" s="323"/>
      <c r="F255" s="323"/>
      <c r="G255" s="323"/>
      <c r="H255" s="323"/>
      <c r="I255" s="323"/>
      <c r="J255" s="323"/>
      <c r="K255" s="323"/>
      <c r="L255" s="323"/>
      <c r="M255" s="323"/>
      <c r="N255" s="324"/>
    </row>
    <row r="256" spans="1:14">
      <c r="A256" s="60"/>
      <c r="B256" s="60"/>
      <c r="C256" s="323"/>
      <c r="D256" s="323"/>
      <c r="E256" s="323"/>
      <c r="F256" s="323"/>
      <c r="G256" s="323"/>
      <c r="H256" s="323"/>
      <c r="I256" s="323"/>
      <c r="J256" s="323"/>
      <c r="K256" s="323"/>
      <c r="L256" s="323"/>
      <c r="M256" s="323"/>
      <c r="N256" s="324"/>
    </row>
    <row r="257" spans="1:14">
      <c r="A257" s="60"/>
      <c r="B257" s="60"/>
      <c r="C257" s="323"/>
      <c r="D257" s="323"/>
      <c r="E257" s="323"/>
      <c r="F257" s="323"/>
      <c r="G257" s="323"/>
      <c r="H257" s="323"/>
      <c r="I257" s="323"/>
      <c r="J257" s="323"/>
      <c r="K257" s="323"/>
      <c r="L257" s="323"/>
      <c r="M257" s="323"/>
      <c r="N257" s="324"/>
    </row>
    <row r="258" spans="1:14">
      <c r="A258" s="60"/>
      <c r="B258" s="60"/>
      <c r="C258" s="323"/>
      <c r="D258" s="323"/>
      <c r="E258" s="323"/>
      <c r="F258" s="323"/>
      <c r="G258" s="323"/>
      <c r="H258" s="323"/>
      <c r="I258" s="323"/>
      <c r="J258" s="323"/>
      <c r="K258" s="323"/>
      <c r="L258" s="323"/>
      <c r="M258" s="323"/>
      <c r="N258" s="324"/>
    </row>
    <row r="259" spans="1:14">
      <c r="A259" s="60"/>
      <c r="B259" s="60"/>
      <c r="C259" s="323"/>
      <c r="D259" s="323"/>
      <c r="E259" s="323"/>
      <c r="F259" s="323"/>
      <c r="G259" s="323"/>
      <c r="H259" s="323"/>
      <c r="I259" s="323"/>
      <c r="J259" s="323"/>
      <c r="K259" s="323"/>
      <c r="L259" s="323"/>
      <c r="M259" s="323"/>
      <c r="N259" s="324"/>
    </row>
    <row r="260" spans="1:14">
      <c r="A260" s="60"/>
      <c r="B260" s="60"/>
      <c r="C260" s="323"/>
      <c r="D260" s="323"/>
      <c r="E260" s="323"/>
      <c r="F260" s="323"/>
      <c r="G260" s="323"/>
      <c r="H260" s="323"/>
      <c r="I260" s="323"/>
      <c r="J260" s="323"/>
      <c r="K260" s="323"/>
      <c r="L260" s="323"/>
      <c r="M260" s="323"/>
      <c r="N260" s="324"/>
    </row>
    <row r="261" spans="1:14">
      <c r="A261" s="60"/>
      <c r="B261" s="60"/>
      <c r="C261" s="323"/>
      <c r="D261" s="323"/>
      <c r="E261" s="323"/>
      <c r="F261" s="323"/>
      <c r="G261" s="323"/>
      <c r="H261" s="323"/>
      <c r="I261" s="323"/>
      <c r="J261" s="323"/>
      <c r="K261" s="323"/>
      <c r="L261" s="323"/>
      <c r="M261" s="323"/>
      <c r="N261" s="324"/>
    </row>
    <row r="262" spans="1:14">
      <c r="A262" s="60"/>
      <c r="B262" s="60"/>
      <c r="C262" s="323"/>
      <c r="D262" s="323"/>
      <c r="E262" s="323"/>
      <c r="F262" s="323"/>
      <c r="G262" s="323"/>
      <c r="H262" s="323"/>
      <c r="I262" s="323"/>
      <c r="J262" s="323"/>
      <c r="K262" s="323"/>
      <c r="L262" s="323"/>
      <c r="M262" s="323"/>
      <c r="N262" s="324"/>
    </row>
    <row r="263" spans="1:14">
      <c r="A263" s="60"/>
      <c r="B263" s="60"/>
      <c r="C263" s="323"/>
      <c r="D263" s="323"/>
      <c r="E263" s="323"/>
      <c r="F263" s="323"/>
      <c r="G263" s="323"/>
      <c r="H263" s="323"/>
      <c r="I263" s="323"/>
      <c r="J263" s="323"/>
      <c r="K263" s="323"/>
      <c r="L263" s="323"/>
      <c r="M263" s="323"/>
      <c r="N263" s="324"/>
    </row>
    <row r="264" spans="1:14">
      <c r="A264" s="60"/>
      <c r="B264" s="60"/>
      <c r="C264" s="323"/>
      <c r="D264" s="323"/>
      <c r="E264" s="323"/>
      <c r="F264" s="323"/>
      <c r="G264" s="323"/>
      <c r="H264" s="323"/>
      <c r="I264" s="323"/>
      <c r="J264" s="323"/>
      <c r="K264" s="323"/>
      <c r="L264" s="323"/>
      <c r="M264" s="323"/>
      <c r="N264" s="324"/>
    </row>
    <row r="265" spans="1:14">
      <c r="A265" s="60"/>
      <c r="B265" s="60"/>
      <c r="C265" s="323"/>
      <c r="D265" s="323"/>
      <c r="E265" s="323"/>
      <c r="F265" s="323"/>
      <c r="G265" s="323"/>
      <c r="H265" s="323"/>
      <c r="I265" s="323"/>
      <c r="J265" s="323"/>
      <c r="K265" s="323"/>
      <c r="L265" s="323"/>
      <c r="M265" s="323"/>
      <c r="N265" s="324"/>
    </row>
    <row r="266" spans="1:14">
      <c r="A266" s="60"/>
      <c r="B266" s="60"/>
      <c r="C266" s="323"/>
      <c r="D266" s="323"/>
      <c r="E266" s="323"/>
      <c r="F266" s="323"/>
      <c r="G266" s="323"/>
      <c r="H266" s="323"/>
      <c r="I266" s="323"/>
      <c r="J266" s="323"/>
      <c r="K266" s="323"/>
      <c r="L266" s="323"/>
      <c r="M266" s="323"/>
      <c r="N266" s="324"/>
    </row>
    <row r="267" spans="1:14">
      <c r="A267" s="60"/>
      <c r="B267" s="60"/>
      <c r="C267" s="323"/>
      <c r="D267" s="323"/>
      <c r="E267" s="323"/>
      <c r="F267" s="323"/>
      <c r="G267" s="323"/>
      <c r="H267" s="323"/>
      <c r="I267" s="323"/>
      <c r="J267" s="323"/>
      <c r="K267" s="323"/>
      <c r="L267" s="323"/>
      <c r="M267" s="323"/>
      <c r="N267" s="324"/>
    </row>
    <row r="268" spans="1:14">
      <c r="A268" s="60"/>
      <c r="B268" s="60"/>
      <c r="C268" s="323"/>
      <c r="D268" s="323"/>
      <c r="E268" s="323"/>
      <c r="F268" s="323"/>
      <c r="G268" s="323"/>
      <c r="H268" s="323"/>
      <c r="I268" s="323"/>
      <c r="J268" s="323"/>
      <c r="K268" s="323"/>
      <c r="L268" s="323"/>
      <c r="M268" s="323"/>
      <c r="N268" s="324"/>
    </row>
    <row r="269" spans="1:14">
      <c r="A269" s="60"/>
      <c r="B269" s="60"/>
      <c r="C269" s="323"/>
      <c r="D269" s="323"/>
      <c r="E269" s="323"/>
      <c r="F269" s="323"/>
      <c r="G269" s="323"/>
      <c r="H269" s="323"/>
      <c r="I269" s="323"/>
      <c r="J269" s="323"/>
      <c r="K269" s="323"/>
      <c r="L269" s="323"/>
      <c r="M269" s="323"/>
      <c r="N269" s="324"/>
    </row>
    <row r="270" spans="1:14">
      <c r="A270" s="60"/>
      <c r="B270" s="60"/>
      <c r="C270" s="323"/>
      <c r="D270" s="323"/>
      <c r="E270" s="323"/>
      <c r="F270" s="323"/>
      <c r="G270" s="323"/>
      <c r="H270" s="323"/>
      <c r="I270" s="323"/>
      <c r="J270" s="323"/>
      <c r="K270" s="323"/>
      <c r="L270" s="323"/>
      <c r="M270" s="323"/>
      <c r="N270" s="324"/>
    </row>
    <row r="271" spans="1:14">
      <c r="A271" s="60"/>
      <c r="B271" s="60"/>
      <c r="C271" s="323"/>
      <c r="D271" s="323"/>
      <c r="E271" s="323"/>
      <c r="F271" s="323"/>
      <c r="G271" s="323"/>
      <c r="H271" s="323"/>
      <c r="I271" s="323"/>
      <c r="J271" s="323"/>
      <c r="K271" s="323"/>
      <c r="L271" s="323"/>
      <c r="M271" s="323"/>
      <c r="N271" s="324"/>
    </row>
    <row r="272" spans="1:14">
      <c r="A272" s="60"/>
      <c r="B272" s="60"/>
      <c r="C272" s="323"/>
      <c r="D272" s="323"/>
      <c r="E272" s="323"/>
      <c r="F272" s="323"/>
      <c r="G272" s="323"/>
      <c r="H272" s="323"/>
      <c r="I272" s="323"/>
      <c r="J272" s="323"/>
      <c r="K272" s="323"/>
      <c r="L272" s="323"/>
      <c r="M272" s="323"/>
      <c r="N272" s="324"/>
    </row>
    <row r="273" spans="1:14">
      <c r="A273" s="60"/>
      <c r="B273" s="60"/>
      <c r="C273" s="323"/>
      <c r="D273" s="323"/>
      <c r="E273" s="323"/>
      <c r="F273" s="323"/>
      <c r="G273" s="323"/>
      <c r="H273" s="323"/>
      <c r="I273" s="323"/>
      <c r="J273" s="323"/>
      <c r="K273" s="323"/>
      <c r="L273" s="323"/>
      <c r="M273" s="323"/>
      <c r="N273" s="324"/>
    </row>
    <row r="274" spans="1:14">
      <c r="A274" s="60"/>
      <c r="B274" s="60"/>
      <c r="C274" s="323"/>
      <c r="D274" s="323"/>
      <c r="E274" s="323"/>
      <c r="F274" s="323"/>
      <c r="G274" s="323"/>
      <c r="H274" s="323"/>
      <c r="I274" s="323"/>
      <c r="J274" s="323"/>
      <c r="K274" s="323"/>
      <c r="L274" s="323"/>
      <c r="M274" s="323"/>
      <c r="N274" s="324"/>
    </row>
    <row r="275" spans="1:14">
      <c r="A275" s="60"/>
      <c r="B275" s="60"/>
      <c r="C275" s="323"/>
      <c r="D275" s="323"/>
      <c r="E275" s="323"/>
      <c r="F275" s="323"/>
      <c r="G275" s="323"/>
      <c r="H275" s="323"/>
      <c r="I275" s="323"/>
      <c r="J275" s="323"/>
      <c r="K275" s="323"/>
      <c r="L275" s="323"/>
      <c r="M275" s="323"/>
      <c r="N275" s="324"/>
    </row>
  </sheetData>
  <dataValidations count="3">
    <dataValidation type="list" allowBlank="1" showInputMessage="1" showErrorMessage="1" sqref="L1:L1048576">
      <formula1>"Validated, Not yet validated, Obsolete, Output to Risk/Issue"</formula1>
    </dataValidation>
    <dataValidation type="list" allowBlank="1" showInputMessage="1" showErrorMessage="1" sqref="C2:C1048576">
      <formula1>"App &amp; Data Migration, Change Management, IT Transition, M&amp;C Program, SharePoint, Technology Foundation, Unified Communications"</formula1>
    </dataValidation>
    <dataValidation type="list" allowBlank="1" showInputMessage="1" showErrorMessage="1" sqref="D1:D1048576">
      <formula1>"TF - Messaging, TF - Lync, TF - SPF, SP - People, SP - Communities, SP - CMS, SP - Metadata Management, SP - Search, SP - Research Tools, SP - Subscribe and Deliver, SP - User Experience"</formula1>
    </dataValidation>
  </dataValidations>
  <pageMargins left="1" right="0.7109375" top="0.75" bottom="0.75" header="0.3" footer="0.3"/>
  <pageSetup paperSize="9" scale="96" orientation="landscape" r:id="rId1"/>
  <headerFooter>
    <oddHeader>&amp;L&amp;"EYInterstate Light,Bold"[Project name]
Assumption Log&amp;R&amp;"EYInterstate Light,Regular"&amp;9Last Updated: DD-MMM-YYYY</oddHeader>
    <oddFooter>&amp;L&amp;"EYInterstate Light,Regular"&amp;9Template: Blueprint V4.4.X - RAID (June 2011)&amp;R&amp;"EYInterstate Light,Regular"&amp;9&amp;P</oddFooter>
  </headerFooter>
  <ignoredErrors>
    <ignoredError sqref="L1 L276:L1048576 D1" listDataValidation="1"/>
  </ignoredErrors>
  <tableParts count="1">
    <tablePart r:id="rId2"/>
  </tableParts>
</worksheet>
</file>

<file path=xl/worksheets/sheet6.xml><?xml version="1.0" encoding="utf-8"?>
<worksheet xmlns="http://schemas.openxmlformats.org/spreadsheetml/2006/main" xmlns:r="http://schemas.openxmlformats.org/officeDocument/2006/relationships">
  <sheetPr>
    <pageSetUpPr fitToPage="1"/>
  </sheetPr>
  <dimension ref="A1:R403"/>
  <sheetViews>
    <sheetView zoomScale="90" zoomScaleNormal="90" workbookViewId="0">
      <pane ySplit="1" topLeftCell="A77" activePane="bottomLeft" state="frozen"/>
      <selection pane="bottomLeft" activeCell="G85" sqref="G85"/>
    </sheetView>
  </sheetViews>
  <sheetFormatPr defaultRowHeight="13.5"/>
  <cols>
    <col min="1" max="1" width="5.42578125" style="60" customWidth="1"/>
    <col min="2" max="2" width="11.5703125" style="60" customWidth="1"/>
    <col min="3" max="3" width="11" style="265" customWidth="1"/>
    <col min="4" max="4" width="9.140625" style="265" customWidth="1"/>
    <col min="5" max="6" width="10.140625" style="323" customWidth="1"/>
    <col min="7" max="7" width="11.140625" style="323" customWidth="1"/>
    <col min="8" max="8" width="13.7109375" style="162" customWidth="1"/>
    <col min="9" max="9" width="12" style="261" bestFit="1" customWidth="1"/>
    <col min="10" max="10" width="13.85546875" style="323" customWidth="1"/>
    <col min="11" max="11" width="45.7109375" style="323" customWidth="1"/>
    <col min="12" max="12" width="12.140625" style="162" customWidth="1"/>
    <col min="13" max="13" width="36.42578125" style="323" customWidth="1"/>
    <col min="14" max="14" width="9.140625" style="188"/>
    <col min="15" max="15" width="17.140625" style="188" customWidth="1"/>
    <col min="16" max="16" width="9.140625" style="188"/>
    <col min="17" max="17" width="12.85546875" style="188" customWidth="1"/>
    <col min="18" max="16384" width="9.140625" style="188"/>
  </cols>
  <sheetData>
    <row r="1" spans="1:18" ht="64.5" customHeight="1">
      <c r="A1" s="351" t="s">
        <v>0</v>
      </c>
      <c r="B1" s="351" t="s">
        <v>1896</v>
      </c>
      <c r="C1" s="351" t="s">
        <v>26</v>
      </c>
      <c r="D1" s="351" t="s">
        <v>17</v>
      </c>
      <c r="E1" s="352" t="s">
        <v>2756</v>
      </c>
      <c r="F1" s="352" t="s">
        <v>2755</v>
      </c>
      <c r="G1" s="352" t="s">
        <v>4</v>
      </c>
      <c r="H1" s="352" t="s">
        <v>56</v>
      </c>
      <c r="I1" s="353" t="s">
        <v>1</v>
      </c>
      <c r="J1" s="352" t="s">
        <v>2</v>
      </c>
      <c r="K1" s="354" t="s">
        <v>74</v>
      </c>
      <c r="L1" s="352" t="s">
        <v>2123</v>
      </c>
      <c r="M1" s="354" t="s">
        <v>72</v>
      </c>
      <c r="O1" s="381" t="s">
        <v>2124</v>
      </c>
      <c r="P1" s="188" t="s">
        <v>2858</v>
      </c>
      <c r="Q1" s="417">
        <f ca="1">TODAY()</f>
        <v>40990</v>
      </c>
      <c r="R1" s="355"/>
    </row>
    <row r="2" spans="1:18" ht="310.5">
      <c r="A2" s="60" t="s">
        <v>1454</v>
      </c>
      <c r="B2" s="60" t="s">
        <v>1570</v>
      </c>
      <c r="C2" s="265" t="s">
        <v>1562</v>
      </c>
      <c r="D2" s="265" t="s">
        <v>1562</v>
      </c>
      <c r="E2" s="323" t="s">
        <v>70</v>
      </c>
      <c r="G2" s="323" t="s">
        <v>676</v>
      </c>
      <c r="H2" s="162">
        <v>40954</v>
      </c>
      <c r="I2" s="261" t="s">
        <v>2181</v>
      </c>
      <c r="J2" s="323" t="s">
        <v>1835</v>
      </c>
      <c r="K2" s="323" t="s">
        <v>1898</v>
      </c>
      <c r="L2" s="162">
        <v>40959</v>
      </c>
      <c r="M2" s="323" t="s">
        <v>2182</v>
      </c>
      <c r="P2" s="188" t="b">
        <f ca="1">IF($Q$1&gt;Table1343[[#This Row],[Target Date]],TRUE,FALSE)</f>
        <v>1</v>
      </c>
    </row>
    <row r="3" spans="1:18" ht="54">
      <c r="A3" s="60" t="s">
        <v>2371</v>
      </c>
      <c r="C3" s="268"/>
      <c r="D3" s="268"/>
      <c r="E3" s="268" t="s">
        <v>70</v>
      </c>
      <c r="F3" s="268"/>
      <c r="G3" s="323" t="s">
        <v>676</v>
      </c>
      <c r="H3" s="270">
        <v>40877</v>
      </c>
      <c r="I3" s="270"/>
      <c r="J3" s="268" t="s">
        <v>1443</v>
      </c>
      <c r="K3" s="268" t="s">
        <v>1444</v>
      </c>
      <c r="L3" s="313"/>
      <c r="M3" s="146" t="s">
        <v>1445</v>
      </c>
      <c r="P3" s="188" t="b">
        <f ca="1">IF($Q$1&gt;Table1343[[#This Row],[Target Date]],TRUE,FALSE)</f>
        <v>1</v>
      </c>
    </row>
    <row r="4" spans="1:18" ht="67.5">
      <c r="A4" s="60" t="s">
        <v>2372</v>
      </c>
      <c r="B4" s="60" t="s">
        <v>1570</v>
      </c>
      <c r="C4" s="265" t="s">
        <v>835</v>
      </c>
      <c r="D4" s="265" t="s">
        <v>296</v>
      </c>
      <c r="E4" s="323" t="s">
        <v>70</v>
      </c>
      <c r="G4" s="323" t="s">
        <v>73</v>
      </c>
      <c r="H4" s="162">
        <v>40998</v>
      </c>
      <c r="J4" s="323" t="s">
        <v>1861</v>
      </c>
      <c r="K4" s="323" t="s">
        <v>2558</v>
      </c>
      <c r="M4" s="324" t="s">
        <v>2563</v>
      </c>
      <c r="P4" s="188" t="b">
        <f ca="1">IF($Q$1&gt;Table1343[[#This Row],[Target Date]],TRUE,FALSE)</f>
        <v>0</v>
      </c>
    </row>
    <row r="5" spans="1:18" ht="108">
      <c r="A5" s="60" t="s">
        <v>2419</v>
      </c>
      <c r="B5" s="60" t="s">
        <v>1570</v>
      </c>
      <c r="C5" s="265" t="s">
        <v>835</v>
      </c>
      <c r="D5" s="265" t="s">
        <v>296</v>
      </c>
      <c r="E5" s="323" t="s">
        <v>70</v>
      </c>
      <c r="G5" s="323" t="s">
        <v>73</v>
      </c>
      <c r="H5" s="162">
        <v>40991</v>
      </c>
      <c r="J5" s="323" t="s">
        <v>2555</v>
      </c>
      <c r="K5" s="323" t="s">
        <v>1862</v>
      </c>
      <c r="M5" s="324" t="s">
        <v>2994</v>
      </c>
      <c r="P5" s="188" t="b">
        <f ca="1">IF($Q$1&gt;Table1343[[#This Row],[Target Date]],TRUE,FALSE)</f>
        <v>0</v>
      </c>
    </row>
    <row r="6" spans="1:18" ht="54">
      <c r="A6" s="60" t="s">
        <v>2532</v>
      </c>
      <c r="B6" s="385">
        <v>40973</v>
      </c>
      <c r="C6" s="265" t="s">
        <v>296</v>
      </c>
      <c r="D6" s="265" t="s">
        <v>296</v>
      </c>
      <c r="E6" s="323" t="s">
        <v>70</v>
      </c>
      <c r="G6" s="323" t="s">
        <v>73</v>
      </c>
      <c r="H6" s="162">
        <v>41060</v>
      </c>
      <c r="J6" s="323" t="s">
        <v>2557</v>
      </c>
      <c r="K6" s="323" t="s">
        <v>2556</v>
      </c>
      <c r="M6" s="324"/>
      <c r="P6" s="188" t="b">
        <f ca="1">IF($Q$1&gt;Table1343[[#This Row],[Target Date]],TRUE,FALSE)</f>
        <v>0</v>
      </c>
    </row>
    <row r="7" spans="1:18" ht="81">
      <c r="A7" s="60" t="s">
        <v>1337</v>
      </c>
      <c r="C7" s="268"/>
      <c r="D7" s="268"/>
      <c r="E7" s="268" t="s">
        <v>148</v>
      </c>
      <c r="F7" s="268"/>
      <c r="G7" s="268" t="s">
        <v>676</v>
      </c>
      <c r="H7" s="268"/>
      <c r="I7" s="270">
        <v>40814</v>
      </c>
      <c r="J7" s="268" t="s">
        <v>1401</v>
      </c>
      <c r="K7" s="268" t="s">
        <v>1408</v>
      </c>
      <c r="L7" s="313">
        <v>40952</v>
      </c>
      <c r="M7" s="146" t="s">
        <v>2077</v>
      </c>
      <c r="P7" s="188" t="b">
        <f ca="1">IF($Q$1&gt;Table1343[[#This Row],[Target Date]],TRUE,FALSE)</f>
        <v>1</v>
      </c>
    </row>
    <row r="8" spans="1:18" ht="40.5">
      <c r="A8" s="60" t="s">
        <v>1464</v>
      </c>
      <c r="B8" s="60" t="s">
        <v>1570</v>
      </c>
      <c r="C8" s="60" t="s">
        <v>166</v>
      </c>
      <c r="D8" s="60" t="s">
        <v>166</v>
      </c>
      <c r="E8" s="323" t="s">
        <v>149</v>
      </c>
      <c r="G8" s="323" t="s">
        <v>676</v>
      </c>
      <c r="H8" s="323"/>
      <c r="I8" s="261">
        <v>40933</v>
      </c>
      <c r="J8" s="323" t="s">
        <v>1749</v>
      </c>
      <c r="K8" s="323" t="s">
        <v>1748</v>
      </c>
      <c r="L8" s="162">
        <v>40933</v>
      </c>
      <c r="M8" s="324" t="s">
        <v>1750</v>
      </c>
      <c r="P8" s="188" t="b">
        <f ca="1">IF($Q$1&gt;Table1343[[#This Row],[Target Date]],TRUE,FALSE)</f>
        <v>1</v>
      </c>
    </row>
    <row r="9" spans="1:18" ht="54">
      <c r="A9" s="60" t="s">
        <v>1139</v>
      </c>
      <c r="B9" s="60" t="s">
        <v>1570</v>
      </c>
      <c r="C9" s="268" t="s">
        <v>1570</v>
      </c>
      <c r="D9" s="268"/>
      <c r="E9" s="268" t="s">
        <v>149</v>
      </c>
      <c r="F9" s="268"/>
      <c r="G9" s="268" t="s">
        <v>676</v>
      </c>
      <c r="H9" s="268"/>
      <c r="I9" s="270">
        <v>40289</v>
      </c>
      <c r="J9" s="268" t="s">
        <v>1218</v>
      </c>
      <c r="K9" s="268" t="s">
        <v>1219</v>
      </c>
      <c r="L9" s="313">
        <v>40966</v>
      </c>
      <c r="M9" s="146" t="s">
        <v>2249</v>
      </c>
      <c r="P9" s="188" t="b">
        <f ca="1">IF($Q$1&gt;Table1343[[#This Row],[Target Date]],TRUE,FALSE)</f>
        <v>1</v>
      </c>
    </row>
    <row r="10" spans="1:18" ht="54">
      <c r="A10" s="60" t="s">
        <v>1232</v>
      </c>
      <c r="B10" s="60" t="s">
        <v>1570</v>
      </c>
      <c r="C10" s="268" t="s">
        <v>1570</v>
      </c>
      <c r="D10" s="268"/>
      <c r="E10" s="268" t="s">
        <v>149</v>
      </c>
      <c r="F10" s="268"/>
      <c r="G10" s="268" t="s">
        <v>676</v>
      </c>
      <c r="H10" s="268"/>
      <c r="I10" s="270">
        <v>40289</v>
      </c>
      <c r="J10" s="268" t="s">
        <v>1218</v>
      </c>
      <c r="K10" s="268" t="s">
        <v>1233</v>
      </c>
      <c r="L10" s="313"/>
      <c r="M10" s="146" t="s">
        <v>2743</v>
      </c>
      <c r="P10" s="188" t="b">
        <f ca="1">IF($Q$1&gt;Table1343[[#This Row],[Target Date]],TRUE,FALSE)</f>
        <v>1</v>
      </c>
    </row>
    <row r="11" spans="1:18" s="125" customFormat="1" ht="56.25" hidden="1">
      <c r="A11" s="121" t="s">
        <v>1249</v>
      </c>
      <c r="B11" s="121" t="s">
        <v>1570</v>
      </c>
      <c r="C11" s="122" t="s">
        <v>1570</v>
      </c>
      <c r="D11" s="122"/>
      <c r="E11" s="122" t="s">
        <v>149</v>
      </c>
      <c r="F11" s="122"/>
      <c r="G11" s="122" t="s">
        <v>965</v>
      </c>
      <c r="H11" s="122"/>
      <c r="I11" s="123">
        <v>40289</v>
      </c>
      <c r="J11" s="122" t="s">
        <v>1218</v>
      </c>
      <c r="K11" s="122" t="s">
        <v>1252</v>
      </c>
      <c r="L11" s="311"/>
      <c r="M11" s="124" t="s">
        <v>2254</v>
      </c>
      <c r="O11" s="362"/>
      <c r="P11" s="188" t="b">
        <f ca="1">IF($Q$1&gt;Table1343[[#This Row],[Target Date]],TRUE,FALSE)</f>
        <v>1</v>
      </c>
    </row>
    <row r="12" spans="1:18" s="125" customFormat="1" ht="67.5" hidden="1">
      <c r="A12" s="121" t="s">
        <v>1259</v>
      </c>
      <c r="B12" s="121" t="s">
        <v>1570</v>
      </c>
      <c r="C12" s="122" t="s">
        <v>1570</v>
      </c>
      <c r="D12" s="122"/>
      <c r="E12" s="122" t="s">
        <v>149</v>
      </c>
      <c r="F12" s="122"/>
      <c r="G12" s="122" t="s">
        <v>965</v>
      </c>
      <c r="H12" s="122"/>
      <c r="I12" s="123">
        <v>40289</v>
      </c>
      <c r="J12" s="122" t="s">
        <v>1218</v>
      </c>
      <c r="K12" s="122" t="s">
        <v>1264</v>
      </c>
      <c r="L12" s="311"/>
      <c r="M12" s="124" t="s">
        <v>2255</v>
      </c>
      <c r="O12" s="362"/>
      <c r="P12" s="188" t="b">
        <f ca="1">IF($Q$1&gt;Table1343[[#This Row],[Target Date]],TRUE,FALSE)</f>
        <v>1</v>
      </c>
    </row>
    <row r="13" spans="1:18" ht="108">
      <c r="A13" s="60" t="s">
        <v>1239</v>
      </c>
      <c r="B13" s="60" t="s">
        <v>1570</v>
      </c>
      <c r="C13" s="268" t="s">
        <v>1570</v>
      </c>
      <c r="D13" s="268"/>
      <c r="E13" s="268" t="s">
        <v>149</v>
      </c>
      <c r="F13" s="268"/>
      <c r="G13" s="268" t="s">
        <v>676</v>
      </c>
      <c r="H13" s="268"/>
      <c r="I13" s="270">
        <v>40289</v>
      </c>
      <c r="J13" s="268" t="s">
        <v>1218</v>
      </c>
      <c r="K13" s="268" t="s">
        <v>2250</v>
      </c>
      <c r="L13" s="313">
        <v>40966</v>
      </c>
      <c r="M13" s="146" t="s">
        <v>2251</v>
      </c>
      <c r="P13" s="188" t="b">
        <f ca="1">IF($Q$1&gt;Table1343[[#This Row],[Target Date]],TRUE,FALSE)</f>
        <v>1</v>
      </c>
    </row>
    <row r="14" spans="1:18" ht="54" hidden="1">
      <c r="A14" s="60" t="s">
        <v>40</v>
      </c>
      <c r="B14" s="60" t="s">
        <v>1570</v>
      </c>
      <c r="C14" s="268" t="s">
        <v>1570</v>
      </c>
      <c r="D14" s="268"/>
      <c r="E14" s="268" t="s">
        <v>149</v>
      </c>
      <c r="F14" s="268"/>
      <c r="G14" s="268" t="s">
        <v>965</v>
      </c>
      <c r="H14" s="268"/>
      <c r="I14" s="270">
        <v>40493</v>
      </c>
      <c r="J14" s="268" t="s">
        <v>1377</v>
      </c>
      <c r="K14" s="268" t="s">
        <v>1378</v>
      </c>
      <c r="L14" s="313"/>
      <c r="M14" s="146" t="s">
        <v>2269</v>
      </c>
      <c r="P14" s="188" t="b">
        <f ca="1">IF($Q$1&gt;Table1343[[#This Row],[Target Date]],TRUE,FALSE)</f>
        <v>1</v>
      </c>
    </row>
    <row r="15" spans="1:18" s="125" customFormat="1" ht="67.5" hidden="1">
      <c r="A15" s="121" t="s">
        <v>1330</v>
      </c>
      <c r="B15" s="121" t="s">
        <v>1570</v>
      </c>
      <c r="C15" s="122" t="s">
        <v>1570</v>
      </c>
      <c r="D15" s="122"/>
      <c r="E15" s="122" t="s">
        <v>149</v>
      </c>
      <c r="F15" s="122"/>
      <c r="G15" s="122" t="s">
        <v>965</v>
      </c>
      <c r="H15" s="122"/>
      <c r="I15" s="123">
        <v>40813</v>
      </c>
      <c r="J15" s="122" t="s">
        <v>1401</v>
      </c>
      <c r="K15" s="122" t="s">
        <v>1402</v>
      </c>
      <c r="L15" s="311"/>
      <c r="M15" s="124" t="s">
        <v>2259</v>
      </c>
      <c r="O15" s="362"/>
      <c r="P15" s="188" t="b">
        <f ca="1">IF($Q$1&gt;Table1343[[#This Row],[Target Date]],TRUE,FALSE)</f>
        <v>1</v>
      </c>
    </row>
    <row r="16" spans="1:18" ht="54">
      <c r="A16" s="60" t="s">
        <v>1273</v>
      </c>
      <c r="B16" s="60" t="s">
        <v>1570</v>
      </c>
      <c r="C16" s="268" t="s">
        <v>1570</v>
      </c>
      <c r="D16" s="268"/>
      <c r="E16" s="268" t="s">
        <v>149</v>
      </c>
      <c r="F16" s="268"/>
      <c r="G16" s="268" t="s">
        <v>676</v>
      </c>
      <c r="H16" s="268"/>
      <c r="I16" s="270">
        <v>40289</v>
      </c>
      <c r="J16" s="268" t="s">
        <v>1218</v>
      </c>
      <c r="K16" s="268" t="s">
        <v>1276</v>
      </c>
      <c r="L16" s="313">
        <v>40966</v>
      </c>
      <c r="M16" s="146" t="s">
        <v>2258</v>
      </c>
      <c r="P16" s="188" t="b">
        <f ca="1">IF($Q$1&gt;Table1343[[#This Row],[Target Date]],TRUE,FALSE)</f>
        <v>1</v>
      </c>
    </row>
    <row r="17" spans="1:16" ht="81">
      <c r="A17" s="60" t="s">
        <v>1335</v>
      </c>
      <c r="B17" s="60" t="s">
        <v>1570</v>
      </c>
      <c r="C17" s="268" t="s">
        <v>1570</v>
      </c>
      <c r="D17" s="268"/>
      <c r="E17" s="268" t="s">
        <v>149</v>
      </c>
      <c r="F17" s="268"/>
      <c r="G17" s="268" t="s">
        <v>676</v>
      </c>
      <c r="H17" s="268"/>
      <c r="I17" s="270">
        <v>40814</v>
      </c>
      <c r="J17" s="268" t="s">
        <v>1401</v>
      </c>
      <c r="K17" s="268" t="s">
        <v>2260</v>
      </c>
      <c r="L17" s="313">
        <v>40966</v>
      </c>
      <c r="M17" s="146" t="s">
        <v>2261</v>
      </c>
      <c r="P17" s="188" t="b">
        <f ca="1">IF($Q$1&gt;Table1343[[#This Row],[Target Date]],TRUE,FALSE)</f>
        <v>1</v>
      </c>
    </row>
    <row r="18" spans="1:16" s="125" customFormat="1" ht="22.5" hidden="1">
      <c r="A18" s="121" t="s">
        <v>1411</v>
      </c>
      <c r="B18" s="121"/>
      <c r="C18" s="122"/>
      <c r="D18" s="122"/>
      <c r="E18" s="122" t="s">
        <v>149</v>
      </c>
      <c r="F18" s="122"/>
      <c r="G18" s="122" t="s">
        <v>965</v>
      </c>
      <c r="H18" s="122"/>
      <c r="I18" s="123">
        <v>40493</v>
      </c>
      <c r="J18" s="122" t="s">
        <v>1389</v>
      </c>
      <c r="K18" s="122" t="s">
        <v>2184</v>
      </c>
      <c r="L18" s="311"/>
      <c r="M18" s="124" t="s">
        <v>1412</v>
      </c>
      <c r="O18" s="362"/>
      <c r="P18" s="188" t="b">
        <f ca="1">IF($Q$1&gt;Table1343[[#This Row],[Target Date]],TRUE,FALSE)</f>
        <v>1</v>
      </c>
    </row>
    <row r="19" spans="1:16" ht="81">
      <c r="A19" s="60" t="s">
        <v>1340</v>
      </c>
      <c r="B19" s="60" t="s">
        <v>1570</v>
      </c>
      <c r="C19" s="268" t="s">
        <v>1570</v>
      </c>
      <c r="D19" s="268"/>
      <c r="E19" s="268" t="s">
        <v>149</v>
      </c>
      <c r="F19" s="268"/>
      <c r="G19" s="268" t="s">
        <v>676</v>
      </c>
      <c r="H19" s="268"/>
      <c r="I19" s="270">
        <v>40814</v>
      </c>
      <c r="J19" s="268" t="s">
        <v>1401</v>
      </c>
      <c r="K19" s="268" t="s">
        <v>2183</v>
      </c>
      <c r="L19" s="313">
        <v>40966</v>
      </c>
      <c r="M19" s="146" t="s">
        <v>2262</v>
      </c>
      <c r="P19" s="188" t="b">
        <f ca="1">IF($Q$1&gt;Table1343[[#This Row],[Target Date]],TRUE,FALSE)</f>
        <v>1</v>
      </c>
    </row>
    <row r="20" spans="1:16" ht="54">
      <c r="A20" s="60" t="s">
        <v>1449</v>
      </c>
      <c r="B20" s="60" t="s">
        <v>1570</v>
      </c>
      <c r="C20" s="268" t="s">
        <v>1570</v>
      </c>
      <c r="D20" s="268"/>
      <c r="E20" s="268" t="s">
        <v>149</v>
      </c>
      <c r="F20" s="268"/>
      <c r="G20" s="268" t="s">
        <v>676</v>
      </c>
      <c r="H20" s="268"/>
      <c r="I20" s="270">
        <v>40289</v>
      </c>
      <c r="J20" s="268" t="s">
        <v>1218</v>
      </c>
      <c r="K20" s="268" t="s">
        <v>2264</v>
      </c>
      <c r="L20" s="313">
        <v>40966</v>
      </c>
      <c r="M20" s="146" t="s">
        <v>2263</v>
      </c>
      <c r="P20" s="188" t="b">
        <f ca="1">IF($Q$1&gt;Table1343[[#This Row],[Target Date]],TRUE,FALSE)</f>
        <v>1</v>
      </c>
    </row>
    <row r="21" spans="1:16" ht="108">
      <c r="A21" s="60" t="s">
        <v>1448</v>
      </c>
      <c r="B21" s="60" t="s">
        <v>1570</v>
      </c>
      <c r="C21" s="268" t="s">
        <v>1570</v>
      </c>
      <c r="D21" s="268"/>
      <c r="E21" s="268" t="s">
        <v>149</v>
      </c>
      <c r="F21" s="268"/>
      <c r="G21" s="268" t="s">
        <v>73</v>
      </c>
      <c r="H21" s="356">
        <v>40998</v>
      </c>
      <c r="I21" s="270"/>
      <c r="J21" s="268" t="s">
        <v>2265</v>
      </c>
      <c r="K21" s="268" t="s">
        <v>2266</v>
      </c>
      <c r="L21" s="313"/>
      <c r="M21" s="146" t="s">
        <v>2860</v>
      </c>
      <c r="P21" s="188" t="b">
        <f ca="1">IF($Q$1&gt;Table1343[[#This Row],[Target Date]],TRUE,FALSE)</f>
        <v>0</v>
      </c>
    </row>
    <row r="22" spans="1:16" s="125" customFormat="1" ht="54" hidden="1">
      <c r="A22" s="60" t="s">
        <v>1461</v>
      </c>
      <c r="B22" s="60" t="s">
        <v>1570</v>
      </c>
      <c r="C22" s="265" t="s">
        <v>166</v>
      </c>
      <c r="D22" s="265" t="s">
        <v>166</v>
      </c>
      <c r="E22" s="323" t="s">
        <v>149</v>
      </c>
      <c r="F22" s="323"/>
      <c r="G22" s="323" t="s">
        <v>965</v>
      </c>
      <c r="H22" s="162">
        <v>40940</v>
      </c>
      <c r="I22" s="261"/>
      <c r="J22" s="323" t="s">
        <v>1736</v>
      </c>
      <c r="K22" s="323" t="s">
        <v>1738</v>
      </c>
      <c r="L22" s="162"/>
      <c r="M22" s="266" t="s">
        <v>2011</v>
      </c>
      <c r="O22" s="362"/>
      <c r="P22" s="188" t="b">
        <f ca="1">IF($Q$1&gt;Table1343[[#This Row],[Target Date]],TRUE,FALSE)</f>
        <v>1</v>
      </c>
    </row>
    <row r="23" spans="1:16" s="125" customFormat="1" ht="114.75" hidden="1">
      <c r="A23" s="219" t="s">
        <v>1453</v>
      </c>
      <c r="B23" s="219"/>
      <c r="C23" s="227" t="s">
        <v>1562</v>
      </c>
      <c r="D23" s="227"/>
      <c r="E23" s="220" t="s">
        <v>149</v>
      </c>
      <c r="F23" s="220"/>
      <c r="G23" s="220" t="s">
        <v>965</v>
      </c>
      <c r="H23" s="230"/>
      <c r="I23" s="221"/>
      <c r="J23" s="220" t="s">
        <v>1450</v>
      </c>
      <c r="K23" s="220" t="s">
        <v>1880</v>
      </c>
      <c r="L23" s="230"/>
      <c r="M23" s="229" t="s">
        <v>1893</v>
      </c>
      <c r="O23" s="362"/>
      <c r="P23" s="188" t="b">
        <f ca="1">IF($Q$1&gt;Table1343[[#This Row],[Target Date]],TRUE,FALSE)</f>
        <v>1</v>
      </c>
    </row>
    <row r="24" spans="1:16" ht="40.5">
      <c r="A24" s="60" t="s">
        <v>2116</v>
      </c>
      <c r="B24" s="61">
        <v>40966</v>
      </c>
      <c r="C24" s="265" t="s">
        <v>567</v>
      </c>
      <c r="E24" s="323" t="s">
        <v>149</v>
      </c>
      <c r="G24" s="323" t="s">
        <v>676</v>
      </c>
      <c r="I24" s="261">
        <v>40966</v>
      </c>
      <c r="J24" s="323" t="s">
        <v>567</v>
      </c>
      <c r="K24" s="357" t="s">
        <v>2256</v>
      </c>
      <c r="L24" s="162">
        <v>40966</v>
      </c>
      <c r="M24" s="324" t="s">
        <v>2257</v>
      </c>
      <c r="P24" s="188" t="b">
        <f ca="1">IF($Q$1&gt;Table1343[[#This Row],[Target Date]],TRUE,FALSE)</f>
        <v>1</v>
      </c>
    </row>
    <row r="25" spans="1:16" ht="81">
      <c r="A25" s="60" t="s">
        <v>1465</v>
      </c>
      <c r="B25" s="61">
        <v>40946</v>
      </c>
      <c r="C25" s="265" t="s">
        <v>818</v>
      </c>
      <c r="D25" s="265" t="s">
        <v>2232</v>
      </c>
      <c r="E25" s="323" t="s">
        <v>149</v>
      </c>
      <c r="G25" s="323" t="s">
        <v>73</v>
      </c>
      <c r="H25" s="162">
        <v>40961</v>
      </c>
      <c r="J25" s="323" t="s">
        <v>2214</v>
      </c>
      <c r="K25" s="129" t="s">
        <v>1944</v>
      </c>
      <c r="M25" s="324" t="s">
        <v>2231</v>
      </c>
      <c r="P25" s="188" t="b">
        <f ca="1">IF($Q$1&gt;Table1343[[#This Row],[Target Date]],TRUE,FALSE)</f>
        <v>1</v>
      </c>
    </row>
    <row r="26" spans="1:16" ht="40.5">
      <c r="A26" s="60" t="s">
        <v>2115</v>
      </c>
      <c r="B26" s="61">
        <v>40966</v>
      </c>
      <c r="C26" s="265" t="s">
        <v>567</v>
      </c>
      <c r="D26" s="265" t="s">
        <v>2252</v>
      </c>
      <c r="E26" s="323" t="s">
        <v>149</v>
      </c>
      <c r="G26" s="323" t="s">
        <v>676</v>
      </c>
      <c r="H26" s="162">
        <v>40975</v>
      </c>
      <c r="I26" s="261">
        <v>40980</v>
      </c>
      <c r="J26" s="323" t="s">
        <v>567</v>
      </c>
      <c r="K26" s="323" t="s">
        <v>2253</v>
      </c>
      <c r="L26" s="162">
        <v>40980</v>
      </c>
      <c r="M26" s="324" t="s">
        <v>2744</v>
      </c>
      <c r="P26" s="188" t="b">
        <f ca="1">IF($Q$1&gt;Table1343[[#This Row],[Target Date]],TRUE,FALSE)</f>
        <v>1</v>
      </c>
    </row>
    <row r="27" spans="1:16" ht="94.5">
      <c r="A27" s="60" t="s">
        <v>2535</v>
      </c>
      <c r="B27" s="61">
        <v>40981</v>
      </c>
      <c r="C27" s="265" t="s">
        <v>2801</v>
      </c>
      <c r="D27" s="265" t="s">
        <v>2801</v>
      </c>
      <c r="E27" s="323" t="s">
        <v>149</v>
      </c>
      <c r="G27" s="323" t="s">
        <v>676</v>
      </c>
      <c r="H27" s="162">
        <v>40981</v>
      </c>
      <c r="I27" s="261">
        <v>40981</v>
      </c>
      <c r="K27" s="323" t="s">
        <v>2849</v>
      </c>
      <c r="L27" s="162">
        <v>40981</v>
      </c>
      <c r="M27" s="324" t="s">
        <v>2850</v>
      </c>
      <c r="P27" s="188" t="b">
        <f ca="1">IF($Q$1&gt;Table1343[[#This Row],[Target Date]],TRUE,FALSE)</f>
        <v>1</v>
      </c>
    </row>
    <row r="28" spans="1:16" ht="27">
      <c r="A28" s="60" t="s">
        <v>1140</v>
      </c>
      <c r="C28" s="268" t="s">
        <v>261</v>
      </c>
      <c r="D28" s="268"/>
      <c r="E28" s="268" t="s">
        <v>150</v>
      </c>
      <c r="F28" s="268"/>
      <c r="G28" s="268" t="s">
        <v>676</v>
      </c>
      <c r="H28" s="356">
        <v>40831</v>
      </c>
      <c r="I28" s="270">
        <v>40831</v>
      </c>
      <c r="J28" s="268" t="s">
        <v>1220</v>
      </c>
      <c r="K28" s="268" t="s">
        <v>1221</v>
      </c>
      <c r="L28" s="313">
        <v>40966</v>
      </c>
      <c r="M28" s="146" t="s">
        <v>2349</v>
      </c>
      <c r="P28" s="188" t="b">
        <f ca="1">IF($Q$1&gt;Table1343[[#This Row],[Target Date]],TRUE,FALSE)</f>
        <v>1</v>
      </c>
    </row>
    <row r="29" spans="1:16" ht="27">
      <c r="A29" s="60" t="s">
        <v>1141</v>
      </c>
      <c r="C29" s="268" t="s">
        <v>261</v>
      </c>
      <c r="D29" s="268"/>
      <c r="E29" s="268" t="s">
        <v>150</v>
      </c>
      <c r="F29" s="268"/>
      <c r="G29" s="268" t="s">
        <v>676</v>
      </c>
      <c r="H29" s="356">
        <v>40831</v>
      </c>
      <c r="I29" s="270">
        <v>40831</v>
      </c>
      <c r="J29" s="268" t="s">
        <v>1222</v>
      </c>
      <c r="K29" s="268" t="s">
        <v>1223</v>
      </c>
      <c r="L29" s="313">
        <v>40966</v>
      </c>
      <c r="M29" s="146" t="s">
        <v>2349</v>
      </c>
      <c r="P29" s="188" t="b">
        <f ca="1">IF($Q$1&gt;Table1343[[#This Row],[Target Date]],TRUE,FALSE)</f>
        <v>1</v>
      </c>
    </row>
    <row r="30" spans="1:16" ht="81">
      <c r="A30" s="60" t="s">
        <v>1142</v>
      </c>
      <c r="C30" s="268" t="s">
        <v>261</v>
      </c>
      <c r="D30" s="268"/>
      <c r="E30" s="268" t="s">
        <v>150</v>
      </c>
      <c r="F30" s="268"/>
      <c r="G30" s="268" t="s">
        <v>676</v>
      </c>
      <c r="H30" s="356">
        <v>40854</v>
      </c>
      <c r="I30" s="270">
        <v>40854</v>
      </c>
      <c r="J30" s="268" t="s">
        <v>261</v>
      </c>
      <c r="K30" s="268" t="s">
        <v>1224</v>
      </c>
      <c r="L30" s="313">
        <v>40966</v>
      </c>
      <c r="M30" s="146" t="s">
        <v>2349</v>
      </c>
      <c r="P30" s="188" t="b">
        <f ca="1">IF($Q$1&gt;Table1343[[#This Row],[Target Date]],TRUE,FALSE)</f>
        <v>1</v>
      </c>
    </row>
    <row r="31" spans="1:16" ht="27">
      <c r="A31" s="60" t="s">
        <v>1143</v>
      </c>
      <c r="C31" s="268" t="s">
        <v>261</v>
      </c>
      <c r="D31" s="268"/>
      <c r="E31" s="268" t="s">
        <v>150</v>
      </c>
      <c r="F31" s="268"/>
      <c r="G31" s="268" t="s">
        <v>676</v>
      </c>
      <c r="H31" s="356">
        <v>40854</v>
      </c>
      <c r="I31" s="270">
        <v>40854</v>
      </c>
      <c r="J31" s="268" t="s">
        <v>1222</v>
      </c>
      <c r="K31" s="268" t="s">
        <v>1225</v>
      </c>
      <c r="L31" s="313">
        <v>40966</v>
      </c>
      <c r="M31" s="146" t="s">
        <v>2349</v>
      </c>
      <c r="P31" s="188" t="b">
        <f ca="1">IF($Q$1&gt;Table1343[[#This Row],[Target Date]],TRUE,FALSE)</f>
        <v>1</v>
      </c>
    </row>
    <row r="32" spans="1:16" ht="40.5">
      <c r="A32" s="60" t="s">
        <v>1144</v>
      </c>
      <c r="C32" s="268" t="s">
        <v>261</v>
      </c>
      <c r="D32" s="268"/>
      <c r="E32" s="268" t="s">
        <v>150</v>
      </c>
      <c r="F32" s="268"/>
      <c r="G32" s="268" t="s">
        <v>676</v>
      </c>
      <c r="H32" s="356">
        <v>40854</v>
      </c>
      <c r="I32" s="270">
        <v>40854</v>
      </c>
      <c r="J32" s="268" t="s">
        <v>261</v>
      </c>
      <c r="K32" s="268" t="s">
        <v>1226</v>
      </c>
      <c r="L32" s="313">
        <v>40966</v>
      </c>
      <c r="M32" s="146" t="s">
        <v>2349</v>
      </c>
      <c r="P32" s="188" t="b">
        <f ca="1">IF($Q$1&gt;Table1343[[#This Row],[Target Date]],TRUE,FALSE)</f>
        <v>1</v>
      </c>
    </row>
    <row r="33" spans="1:16" ht="40.5" hidden="1">
      <c r="A33" s="60" t="s">
        <v>1287</v>
      </c>
      <c r="C33" s="268" t="s">
        <v>261</v>
      </c>
      <c r="D33" s="268"/>
      <c r="E33" s="268" t="s">
        <v>150</v>
      </c>
      <c r="F33" s="268"/>
      <c r="G33" s="268" t="s">
        <v>965</v>
      </c>
      <c r="H33" s="356">
        <v>40809</v>
      </c>
      <c r="I33" s="270">
        <v>40809</v>
      </c>
      <c r="J33" s="268" t="s">
        <v>962</v>
      </c>
      <c r="K33" s="146" t="s">
        <v>1288</v>
      </c>
      <c r="L33" s="402">
        <v>40986</v>
      </c>
      <c r="M33" s="146" t="s">
        <v>2928</v>
      </c>
      <c r="P33" s="188" t="b">
        <f ca="1">IF($Q$1&gt;Table1343[[#This Row],[Target Date]],TRUE,FALSE)</f>
        <v>1</v>
      </c>
    </row>
    <row r="34" spans="1:16" ht="27" hidden="1">
      <c r="A34" s="60" t="s">
        <v>1297</v>
      </c>
      <c r="C34" s="268" t="s">
        <v>261</v>
      </c>
      <c r="D34" s="268"/>
      <c r="E34" s="268" t="s">
        <v>150</v>
      </c>
      <c r="F34" s="268"/>
      <c r="G34" s="268" t="s">
        <v>965</v>
      </c>
      <c r="H34" s="356">
        <v>40809</v>
      </c>
      <c r="I34" s="270">
        <v>40809</v>
      </c>
      <c r="J34" s="268" t="s">
        <v>962</v>
      </c>
      <c r="K34" s="268" t="s">
        <v>1299</v>
      </c>
      <c r="L34" s="402">
        <v>40986</v>
      </c>
      <c r="M34" s="146" t="s">
        <v>3089</v>
      </c>
      <c r="P34" s="188" t="b">
        <f ca="1">IF($Q$1&gt;Table1343[[#This Row],[Target Date]],TRUE,FALSE)</f>
        <v>1</v>
      </c>
    </row>
    <row r="35" spans="1:16" ht="27">
      <c r="A35" s="60" t="s">
        <v>1215</v>
      </c>
      <c r="C35" s="323" t="s">
        <v>261</v>
      </c>
      <c r="D35" s="323"/>
      <c r="E35" s="323" t="s">
        <v>150</v>
      </c>
      <c r="G35" s="323" t="s">
        <v>676</v>
      </c>
      <c r="H35" s="218">
        <v>40885</v>
      </c>
      <c r="I35" s="218">
        <v>40885</v>
      </c>
      <c r="J35" s="323" t="s">
        <v>709</v>
      </c>
      <c r="K35" s="323" t="s">
        <v>1306</v>
      </c>
      <c r="L35" s="313">
        <v>40966</v>
      </c>
      <c r="M35" s="146" t="s">
        <v>2349</v>
      </c>
      <c r="P35" s="188" t="b">
        <f ca="1">IF($Q$1&gt;Table1343[[#This Row],[Target Date]],TRUE,FALSE)</f>
        <v>1</v>
      </c>
    </row>
    <row r="36" spans="1:16" ht="94.5">
      <c r="A36" s="60" t="s">
        <v>1216</v>
      </c>
      <c r="C36" s="323" t="s">
        <v>261</v>
      </c>
      <c r="D36" s="323"/>
      <c r="E36" s="323" t="s">
        <v>150</v>
      </c>
      <c r="G36" s="323" t="s">
        <v>676</v>
      </c>
      <c r="H36" s="55">
        <v>40885</v>
      </c>
      <c r="I36" s="218">
        <v>40885</v>
      </c>
      <c r="J36" s="323" t="s">
        <v>1307</v>
      </c>
      <c r="K36" s="323" t="s">
        <v>1308</v>
      </c>
      <c r="L36" s="313">
        <v>40966</v>
      </c>
      <c r="M36" s="146" t="s">
        <v>2349</v>
      </c>
      <c r="P36" s="188" t="b">
        <f ca="1">IF($Q$1&gt;Table1343[[#This Row],[Target Date]],TRUE,FALSE)</f>
        <v>1</v>
      </c>
    </row>
    <row r="37" spans="1:16" ht="40.5">
      <c r="A37" s="60" t="s">
        <v>1309</v>
      </c>
      <c r="C37" s="268" t="s">
        <v>261</v>
      </c>
      <c r="D37" s="268"/>
      <c r="E37" s="268" t="s">
        <v>150</v>
      </c>
      <c r="F37" s="268"/>
      <c r="G37" s="268" t="s">
        <v>676</v>
      </c>
      <c r="H37" s="356">
        <v>40809</v>
      </c>
      <c r="I37" s="270">
        <v>40809</v>
      </c>
      <c r="J37" s="268" t="s">
        <v>962</v>
      </c>
      <c r="K37" s="268" t="s">
        <v>1375</v>
      </c>
      <c r="L37" s="402">
        <v>40986</v>
      </c>
      <c r="M37" s="146" t="s">
        <v>2929</v>
      </c>
      <c r="P37" s="188" t="b">
        <f ca="1">IF($Q$1&gt;Table1343[[#This Row],[Target Date]],TRUE,FALSE)</f>
        <v>1</v>
      </c>
    </row>
    <row r="38" spans="1:16" ht="27">
      <c r="A38" s="60" t="s">
        <v>1310</v>
      </c>
      <c r="C38" s="268" t="s">
        <v>261</v>
      </c>
      <c r="D38" s="268"/>
      <c r="E38" s="268" t="s">
        <v>150</v>
      </c>
      <c r="F38" s="268"/>
      <c r="G38" s="268" t="s">
        <v>676</v>
      </c>
      <c r="H38" s="356">
        <v>40809</v>
      </c>
      <c r="I38" s="270">
        <v>40809</v>
      </c>
      <c r="J38" s="268" t="s">
        <v>962</v>
      </c>
      <c r="K38" s="268" t="s">
        <v>1376</v>
      </c>
      <c r="L38" s="402">
        <v>40986</v>
      </c>
      <c r="M38" s="146" t="s">
        <v>2929</v>
      </c>
      <c r="P38" s="188" t="b">
        <f ca="1">IF($Q$1&gt;Table1343[[#This Row],[Target Date]],TRUE,FALSE)</f>
        <v>1</v>
      </c>
    </row>
    <row r="39" spans="1:16" ht="27" hidden="1">
      <c r="A39" s="60" t="s">
        <v>1311</v>
      </c>
      <c r="C39" s="268" t="s">
        <v>261</v>
      </c>
      <c r="D39" s="268"/>
      <c r="E39" s="268" t="s">
        <v>150</v>
      </c>
      <c r="F39" s="268"/>
      <c r="G39" s="268" t="s">
        <v>965</v>
      </c>
      <c r="H39" s="356">
        <v>40809</v>
      </c>
      <c r="I39" s="270">
        <v>40809</v>
      </c>
      <c r="J39" s="268" t="s">
        <v>962</v>
      </c>
      <c r="K39" s="268" t="s">
        <v>1379</v>
      </c>
      <c r="L39" s="402">
        <v>40986</v>
      </c>
      <c r="M39" s="146" t="s">
        <v>2930</v>
      </c>
      <c r="P39" s="188" t="b">
        <f ca="1">IF($Q$1&gt;Table1343[[#This Row],[Target Date]],TRUE,FALSE)</f>
        <v>1</v>
      </c>
    </row>
    <row r="40" spans="1:16" s="125" customFormat="1" ht="40.5">
      <c r="A40" s="60" t="s">
        <v>1312</v>
      </c>
      <c r="B40" s="60"/>
      <c r="C40" s="268" t="s">
        <v>261</v>
      </c>
      <c r="D40" s="268"/>
      <c r="E40" s="268" t="s">
        <v>150</v>
      </c>
      <c r="F40" s="268"/>
      <c r="G40" s="268" t="s">
        <v>676</v>
      </c>
      <c r="H40" s="356">
        <v>40798</v>
      </c>
      <c r="I40" s="270">
        <v>40809</v>
      </c>
      <c r="J40" s="268" t="s">
        <v>962</v>
      </c>
      <c r="K40" s="268" t="s">
        <v>1380</v>
      </c>
      <c r="L40" s="313">
        <v>40966</v>
      </c>
      <c r="M40" s="146" t="s">
        <v>2350</v>
      </c>
      <c r="O40" s="362"/>
      <c r="P40" s="188" t="b">
        <f ca="1">IF($Q$1&gt;Table1343[[#This Row],[Target Date]],TRUE,FALSE)</f>
        <v>1</v>
      </c>
    </row>
    <row r="41" spans="1:16" ht="22.5" hidden="1">
      <c r="A41" s="121" t="s">
        <v>1317</v>
      </c>
      <c r="B41" s="121"/>
      <c r="C41" s="122" t="s">
        <v>261</v>
      </c>
      <c r="D41" s="122"/>
      <c r="E41" s="122" t="s">
        <v>150</v>
      </c>
      <c r="F41" s="122"/>
      <c r="G41" s="122" t="s">
        <v>965</v>
      </c>
      <c r="H41" s="194">
        <v>40809</v>
      </c>
      <c r="I41" s="123">
        <v>40809</v>
      </c>
      <c r="J41" s="122" t="s">
        <v>962</v>
      </c>
      <c r="K41" s="126" t="s">
        <v>1385</v>
      </c>
      <c r="L41" s="312"/>
      <c r="M41" s="124" t="s">
        <v>1684</v>
      </c>
      <c r="P41" s="188" t="b">
        <f ca="1">IF($Q$1&gt;Table1343[[#This Row],[Target Date]],TRUE,FALSE)</f>
        <v>1</v>
      </c>
    </row>
    <row r="42" spans="1:16" ht="67.5" hidden="1">
      <c r="A42" s="60" t="s">
        <v>1313</v>
      </c>
      <c r="C42" s="268" t="s">
        <v>261</v>
      </c>
      <c r="D42" s="268"/>
      <c r="E42" s="268" t="s">
        <v>150</v>
      </c>
      <c r="F42" s="268"/>
      <c r="G42" s="268" t="s">
        <v>965</v>
      </c>
      <c r="H42" s="356">
        <v>40809</v>
      </c>
      <c r="I42" s="270">
        <v>40809</v>
      </c>
      <c r="J42" s="268" t="s">
        <v>962</v>
      </c>
      <c r="K42" s="268" t="s">
        <v>1381</v>
      </c>
      <c r="L42" s="313">
        <v>40966</v>
      </c>
      <c r="M42" s="146" t="s">
        <v>2351</v>
      </c>
      <c r="P42" s="188" t="b">
        <f ca="1">IF($Q$1&gt;Table1343[[#This Row],[Target Date]],TRUE,FALSE)</f>
        <v>1</v>
      </c>
    </row>
    <row r="43" spans="1:16" ht="27">
      <c r="A43" s="60" t="s">
        <v>1314</v>
      </c>
      <c r="C43" s="268" t="s">
        <v>261</v>
      </c>
      <c r="D43" s="268"/>
      <c r="E43" s="268" t="s">
        <v>150</v>
      </c>
      <c r="F43" s="268"/>
      <c r="G43" s="268" t="s">
        <v>676</v>
      </c>
      <c r="H43" s="356">
        <v>40809</v>
      </c>
      <c r="I43" s="270">
        <v>40809</v>
      </c>
      <c r="J43" s="268" t="s">
        <v>962</v>
      </c>
      <c r="K43" s="268" t="s">
        <v>1382</v>
      </c>
      <c r="L43" s="313">
        <v>40966</v>
      </c>
      <c r="M43" s="146" t="s">
        <v>2350</v>
      </c>
      <c r="P43" s="188" t="b">
        <f ca="1">IF($Q$1&gt;Table1343[[#This Row],[Target Date]],TRUE,FALSE)</f>
        <v>1</v>
      </c>
    </row>
    <row r="44" spans="1:16" ht="27">
      <c r="A44" s="60" t="s">
        <v>1315</v>
      </c>
      <c r="C44" s="268" t="s">
        <v>261</v>
      </c>
      <c r="D44" s="268"/>
      <c r="E44" s="268" t="s">
        <v>150</v>
      </c>
      <c r="F44" s="268"/>
      <c r="G44" s="268" t="s">
        <v>676</v>
      </c>
      <c r="H44" s="356">
        <v>40809</v>
      </c>
      <c r="I44" s="270">
        <v>40809</v>
      </c>
      <c r="J44" s="268" t="s">
        <v>962</v>
      </c>
      <c r="K44" s="268" t="s">
        <v>1383</v>
      </c>
      <c r="L44" s="313">
        <v>40966</v>
      </c>
      <c r="M44" s="146" t="s">
        <v>2352</v>
      </c>
      <c r="P44" s="188" t="b">
        <f ca="1">IF($Q$1&gt;Table1343[[#This Row],[Target Date]],TRUE,FALSE)</f>
        <v>1</v>
      </c>
    </row>
    <row r="45" spans="1:16" ht="40.5">
      <c r="A45" s="60" t="s">
        <v>1316</v>
      </c>
      <c r="C45" s="268" t="s">
        <v>261</v>
      </c>
      <c r="D45" s="268"/>
      <c r="E45" s="268" t="s">
        <v>150</v>
      </c>
      <c r="F45" s="268"/>
      <c r="G45" s="268" t="s">
        <v>676</v>
      </c>
      <c r="H45" s="356">
        <v>40809</v>
      </c>
      <c r="I45" s="270">
        <v>40809</v>
      </c>
      <c r="J45" s="268" t="s">
        <v>962</v>
      </c>
      <c r="K45" s="268" t="s">
        <v>1384</v>
      </c>
      <c r="L45" s="313">
        <v>40966</v>
      </c>
      <c r="M45" s="146" t="s">
        <v>2352</v>
      </c>
      <c r="P45" s="188" t="b">
        <f ca="1">IF($Q$1&gt;Table1343[[#This Row],[Target Date]],TRUE,FALSE)</f>
        <v>1</v>
      </c>
    </row>
    <row r="46" spans="1:16" ht="27">
      <c r="A46" s="60" t="s">
        <v>1318</v>
      </c>
      <c r="C46" s="268" t="s">
        <v>261</v>
      </c>
      <c r="D46" s="268"/>
      <c r="E46" s="268" t="s">
        <v>150</v>
      </c>
      <c r="F46" s="268"/>
      <c r="G46" s="268" t="s">
        <v>676</v>
      </c>
      <c r="H46" s="356">
        <v>40809</v>
      </c>
      <c r="I46" s="270">
        <v>40809</v>
      </c>
      <c r="J46" s="268" t="s">
        <v>962</v>
      </c>
      <c r="K46" s="268" t="s">
        <v>1386</v>
      </c>
      <c r="L46" s="313">
        <v>40966</v>
      </c>
      <c r="M46" s="146" t="s">
        <v>2352</v>
      </c>
      <c r="P46" s="188" t="b">
        <f ca="1">IF($Q$1&gt;Table1343[[#This Row],[Target Date]],TRUE,FALSE)</f>
        <v>1</v>
      </c>
    </row>
    <row r="47" spans="1:16" ht="27">
      <c r="A47" s="60" t="s">
        <v>1319</v>
      </c>
      <c r="C47" s="268" t="s">
        <v>261</v>
      </c>
      <c r="D47" s="268"/>
      <c r="E47" s="268" t="s">
        <v>150</v>
      </c>
      <c r="F47" s="268"/>
      <c r="G47" s="268" t="s">
        <v>676</v>
      </c>
      <c r="H47" s="356">
        <v>40809</v>
      </c>
      <c r="I47" s="270">
        <v>40809</v>
      </c>
      <c r="J47" s="268" t="s">
        <v>962</v>
      </c>
      <c r="K47" s="268" t="s">
        <v>1387</v>
      </c>
      <c r="L47" s="313">
        <v>40966</v>
      </c>
      <c r="M47" s="146" t="s">
        <v>2352</v>
      </c>
      <c r="P47" s="188" t="b">
        <f ca="1">IF($Q$1&gt;Table1343[[#This Row],[Target Date]],TRUE,FALSE)</f>
        <v>1</v>
      </c>
    </row>
    <row r="48" spans="1:16" ht="40.5" hidden="1">
      <c r="A48" s="60" t="s">
        <v>1320</v>
      </c>
      <c r="C48" s="268" t="s">
        <v>261</v>
      </c>
      <c r="D48" s="268"/>
      <c r="E48" s="268" t="s">
        <v>150</v>
      </c>
      <c r="F48" s="268"/>
      <c r="G48" s="268" t="s">
        <v>965</v>
      </c>
      <c r="H48" s="356">
        <v>40809</v>
      </c>
      <c r="I48" s="270">
        <v>40809</v>
      </c>
      <c r="J48" s="268" t="s">
        <v>962</v>
      </c>
      <c r="K48" s="268" t="s">
        <v>1388</v>
      </c>
      <c r="L48" s="313">
        <v>40966</v>
      </c>
      <c r="M48" s="146" t="s">
        <v>2352</v>
      </c>
      <c r="O48" s="323"/>
      <c r="P48" s="188" t="b">
        <f ca="1">IF($Q$1&gt;Table1343[[#This Row],[Target Date]],TRUE,FALSE)</f>
        <v>1</v>
      </c>
    </row>
    <row r="49" spans="1:16" ht="27" hidden="1">
      <c r="A49" s="60" t="s">
        <v>41</v>
      </c>
      <c r="C49" s="268" t="s">
        <v>261</v>
      </c>
      <c r="D49" s="268"/>
      <c r="E49" s="268" t="s">
        <v>150</v>
      </c>
      <c r="F49" s="268"/>
      <c r="G49" s="268" t="s">
        <v>965</v>
      </c>
      <c r="H49" s="268"/>
      <c r="I49" s="270">
        <v>40493</v>
      </c>
      <c r="J49" s="268" t="s">
        <v>1389</v>
      </c>
      <c r="K49" s="268" t="s">
        <v>1390</v>
      </c>
      <c r="L49" s="313">
        <v>40966</v>
      </c>
      <c r="M49" s="146" t="s">
        <v>2352</v>
      </c>
      <c r="P49" s="188" t="b">
        <f ca="1">IF($Q$1&gt;Table1343[[#This Row],[Target Date]],TRUE,FALSE)</f>
        <v>1</v>
      </c>
    </row>
    <row r="50" spans="1:16" ht="27" hidden="1">
      <c r="A50" s="60" t="s">
        <v>1321</v>
      </c>
      <c r="C50" s="268" t="s">
        <v>261</v>
      </c>
      <c r="D50" s="268"/>
      <c r="E50" s="268" t="s">
        <v>150</v>
      </c>
      <c r="F50" s="268"/>
      <c r="G50" s="268" t="s">
        <v>965</v>
      </c>
      <c r="H50" s="356">
        <v>40809</v>
      </c>
      <c r="I50" s="270">
        <v>40809</v>
      </c>
      <c r="J50" s="268" t="s">
        <v>962</v>
      </c>
      <c r="K50" s="268" t="s">
        <v>1391</v>
      </c>
      <c r="L50" s="313">
        <v>40966</v>
      </c>
      <c r="M50" s="146" t="s">
        <v>2353</v>
      </c>
      <c r="P50" s="188" t="b">
        <f ca="1">IF($Q$1&gt;Table1343[[#This Row],[Target Date]],TRUE,FALSE)</f>
        <v>1</v>
      </c>
    </row>
    <row r="51" spans="1:16" ht="27">
      <c r="A51" s="60" t="s">
        <v>1322</v>
      </c>
      <c r="C51" s="268" t="s">
        <v>261</v>
      </c>
      <c r="D51" s="268"/>
      <c r="E51" s="268" t="s">
        <v>150</v>
      </c>
      <c r="F51" s="268"/>
      <c r="G51" s="268" t="s">
        <v>676</v>
      </c>
      <c r="H51" s="356">
        <v>40809</v>
      </c>
      <c r="I51" s="270">
        <v>40809</v>
      </c>
      <c r="J51" s="268" t="s">
        <v>962</v>
      </c>
      <c r="K51" s="268" t="s">
        <v>1392</v>
      </c>
      <c r="L51" s="313">
        <v>40966</v>
      </c>
      <c r="M51" s="146" t="s">
        <v>2352</v>
      </c>
      <c r="P51" s="188" t="b">
        <f ca="1">IF($Q$1&gt;Table1343[[#This Row],[Target Date]],TRUE,FALSE)</f>
        <v>1</v>
      </c>
    </row>
    <row r="52" spans="1:16" ht="27">
      <c r="A52" s="60" t="s">
        <v>1323</v>
      </c>
      <c r="C52" s="268" t="s">
        <v>261</v>
      </c>
      <c r="D52" s="268"/>
      <c r="E52" s="268" t="s">
        <v>150</v>
      </c>
      <c r="F52" s="268"/>
      <c r="G52" s="268" t="s">
        <v>676</v>
      </c>
      <c r="H52" s="356">
        <v>40809</v>
      </c>
      <c r="I52" s="270">
        <v>40809</v>
      </c>
      <c r="J52" s="268" t="s">
        <v>962</v>
      </c>
      <c r="K52" s="268" t="s">
        <v>1393</v>
      </c>
      <c r="L52" s="313">
        <v>40966</v>
      </c>
      <c r="M52" s="146" t="s">
        <v>2352</v>
      </c>
      <c r="P52" s="188" t="b">
        <f ca="1">IF($Q$1&gt;Table1343[[#This Row],[Target Date]],TRUE,FALSE)</f>
        <v>1</v>
      </c>
    </row>
    <row r="53" spans="1:16" ht="27">
      <c r="A53" s="60" t="s">
        <v>1324</v>
      </c>
      <c r="C53" s="268" t="s">
        <v>261</v>
      </c>
      <c r="D53" s="268"/>
      <c r="E53" s="268" t="s">
        <v>150</v>
      </c>
      <c r="F53" s="268"/>
      <c r="G53" s="268" t="s">
        <v>676</v>
      </c>
      <c r="H53" s="356">
        <v>40809</v>
      </c>
      <c r="I53" s="270">
        <v>40809</v>
      </c>
      <c r="J53" s="268" t="s">
        <v>962</v>
      </c>
      <c r="K53" s="268" t="s">
        <v>1394</v>
      </c>
      <c r="L53" s="313">
        <v>40966</v>
      </c>
      <c r="M53" s="146" t="s">
        <v>2352</v>
      </c>
      <c r="P53" s="188" t="b">
        <f ca="1">IF($Q$1&gt;Table1343[[#This Row],[Target Date]],TRUE,FALSE)</f>
        <v>1</v>
      </c>
    </row>
    <row r="54" spans="1:16" ht="27">
      <c r="A54" s="60" t="s">
        <v>1325</v>
      </c>
      <c r="C54" s="268" t="s">
        <v>261</v>
      </c>
      <c r="D54" s="268"/>
      <c r="E54" s="268" t="s">
        <v>150</v>
      </c>
      <c r="F54" s="268"/>
      <c r="G54" s="268" t="s">
        <v>676</v>
      </c>
      <c r="H54" s="356">
        <v>40809</v>
      </c>
      <c r="I54" s="270">
        <v>40809</v>
      </c>
      <c r="J54" s="268" t="s">
        <v>962</v>
      </c>
      <c r="K54" s="268" t="s">
        <v>1395</v>
      </c>
      <c r="L54" s="313">
        <v>40966</v>
      </c>
      <c r="M54" s="146" t="s">
        <v>2352</v>
      </c>
      <c r="P54" s="188" t="b">
        <f ca="1">IF($Q$1&gt;Table1343[[#This Row],[Target Date]],TRUE,FALSE)</f>
        <v>1</v>
      </c>
    </row>
    <row r="55" spans="1:16" ht="27">
      <c r="A55" s="60" t="s">
        <v>1326</v>
      </c>
      <c r="C55" s="268" t="s">
        <v>261</v>
      </c>
      <c r="D55" s="268"/>
      <c r="E55" s="268" t="s">
        <v>150</v>
      </c>
      <c r="F55" s="268"/>
      <c r="G55" s="268" t="s">
        <v>676</v>
      </c>
      <c r="H55" s="356">
        <v>40809</v>
      </c>
      <c r="I55" s="270">
        <v>40809</v>
      </c>
      <c r="J55" s="268" t="s">
        <v>962</v>
      </c>
      <c r="K55" s="268" t="s">
        <v>1396</v>
      </c>
      <c r="L55" s="313">
        <v>40966</v>
      </c>
      <c r="M55" s="146" t="s">
        <v>2352</v>
      </c>
      <c r="P55" s="188" t="b">
        <f ca="1">IF($Q$1&gt;Table1343[[#This Row],[Target Date]],TRUE,FALSE)</f>
        <v>1</v>
      </c>
    </row>
    <row r="56" spans="1:16" ht="54">
      <c r="A56" s="60" t="s">
        <v>1327</v>
      </c>
      <c r="C56" s="268" t="s">
        <v>261</v>
      </c>
      <c r="D56" s="268"/>
      <c r="E56" s="268" t="s">
        <v>150</v>
      </c>
      <c r="F56" s="268"/>
      <c r="G56" s="268" t="s">
        <v>676</v>
      </c>
      <c r="H56" s="356">
        <v>40809</v>
      </c>
      <c r="I56" s="270">
        <v>40809</v>
      </c>
      <c r="J56" s="268" t="s">
        <v>962</v>
      </c>
      <c r="K56" s="268" t="s">
        <v>1397</v>
      </c>
      <c r="L56" s="313"/>
      <c r="M56" s="146" t="s">
        <v>1683</v>
      </c>
      <c r="P56" s="188" t="b">
        <f ca="1">IF($Q$1&gt;Table1343[[#This Row],[Target Date]],TRUE,FALSE)</f>
        <v>1</v>
      </c>
    </row>
    <row r="57" spans="1:16" ht="27" hidden="1">
      <c r="A57" s="60" t="s">
        <v>1328</v>
      </c>
      <c r="C57" s="268" t="s">
        <v>261</v>
      </c>
      <c r="D57" s="268"/>
      <c r="E57" s="268" t="s">
        <v>150</v>
      </c>
      <c r="F57" s="268"/>
      <c r="G57" s="268" t="s">
        <v>965</v>
      </c>
      <c r="H57" s="356">
        <v>40809</v>
      </c>
      <c r="I57" s="270">
        <v>40809</v>
      </c>
      <c r="J57" s="268" t="s">
        <v>962</v>
      </c>
      <c r="K57" s="268" t="s">
        <v>1398</v>
      </c>
      <c r="L57" s="313">
        <v>40966</v>
      </c>
      <c r="M57" s="146" t="s">
        <v>2354</v>
      </c>
      <c r="P57" s="188" t="b">
        <f ca="1">IF($Q$1&gt;Table1343[[#This Row],[Target Date]],TRUE,FALSE)</f>
        <v>1</v>
      </c>
    </row>
    <row r="58" spans="1:16" ht="27" hidden="1">
      <c r="A58" s="60" t="s">
        <v>1329</v>
      </c>
      <c r="C58" s="268" t="s">
        <v>261</v>
      </c>
      <c r="D58" s="268"/>
      <c r="E58" s="268" t="s">
        <v>150</v>
      </c>
      <c r="F58" s="268"/>
      <c r="G58" s="268" t="s">
        <v>965</v>
      </c>
      <c r="H58" s="356">
        <v>40809</v>
      </c>
      <c r="I58" s="270">
        <v>40809</v>
      </c>
      <c r="J58" s="268" t="s">
        <v>962</v>
      </c>
      <c r="K58" s="268" t="s">
        <v>1400</v>
      </c>
      <c r="L58" s="313">
        <v>40966</v>
      </c>
      <c r="M58" s="146" t="s">
        <v>2354</v>
      </c>
      <c r="P58" s="188" t="b">
        <f ca="1">IF($Q$1&gt;Table1343[[#This Row],[Target Date]],TRUE,FALSE)</f>
        <v>1</v>
      </c>
    </row>
    <row r="59" spans="1:16" ht="40.5" hidden="1">
      <c r="A59" s="60" t="s">
        <v>1399</v>
      </c>
      <c r="C59" s="268" t="s">
        <v>261</v>
      </c>
      <c r="D59" s="268"/>
      <c r="E59" s="268" t="s">
        <v>150</v>
      </c>
      <c r="F59" s="268"/>
      <c r="G59" s="268" t="s">
        <v>965</v>
      </c>
      <c r="H59" s="356">
        <v>40466</v>
      </c>
      <c r="I59" s="270">
        <v>40466</v>
      </c>
      <c r="J59" s="268" t="s">
        <v>1389</v>
      </c>
      <c r="K59" s="268" t="s">
        <v>1403</v>
      </c>
      <c r="L59" s="313">
        <v>40966</v>
      </c>
      <c r="M59" s="146" t="s">
        <v>2352</v>
      </c>
      <c r="P59" s="188" t="b">
        <f ca="1">IF($Q$1&gt;Table1343[[#This Row],[Target Date]],TRUE,FALSE)</f>
        <v>1</v>
      </c>
    </row>
    <row r="60" spans="1:16" ht="81">
      <c r="A60" s="60" t="s">
        <v>1331</v>
      </c>
      <c r="C60" s="268" t="s">
        <v>261</v>
      </c>
      <c r="D60" s="268"/>
      <c r="E60" s="268" t="s">
        <v>150</v>
      </c>
      <c r="F60" s="268"/>
      <c r="G60" s="268" t="s">
        <v>676</v>
      </c>
      <c r="H60" s="356">
        <v>40813</v>
      </c>
      <c r="I60" s="270">
        <v>40813</v>
      </c>
      <c r="J60" s="268" t="s">
        <v>1401</v>
      </c>
      <c r="K60" s="268" t="s">
        <v>1404</v>
      </c>
      <c r="L60" s="402">
        <v>40988</v>
      </c>
      <c r="M60" s="146" t="s">
        <v>2931</v>
      </c>
      <c r="P60" s="188" t="b">
        <f ca="1">IF($Q$1&gt;Table1343[[#This Row],[Target Date]],TRUE,FALSE)</f>
        <v>1</v>
      </c>
    </row>
    <row r="61" spans="1:16" ht="81">
      <c r="A61" s="60" t="s">
        <v>1332</v>
      </c>
      <c r="C61" s="268" t="s">
        <v>261</v>
      </c>
      <c r="D61" s="268"/>
      <c r="E61" s="268" t="s">
        <v>150</v>
      </c>
      <c r="F61" s="268"/>
      <c r="G61" s="268" t="s">
        <v>676</v>
      </c>
      <c r="H61" s="356">
        <v>40813</v>
      </c>
      <c r="I61" s="270">
        <v>40813</v>
      </c>
      <c r="J61" s="268" t="s">
        <v>1401</v>
      </c>
      <c r="K61" s="268" t="s">
        <v>1405</v>
      </c>
      <c r="L61" s="402">
        <v>40988</v>
      </c>
      <c r="M61" s="146" t="s">
        <v>2348</v>
      </c>
      <c r="P61" s="188" t="b">
        <f ca="1">IF($Q$1&gt;Table1343[[#This Row],[Target Date]],TRUE,FALSE)</f>
        <v>1</v>
      </c>
    </row>
    <row r="62" spans="1:16" ht="81" hidden="1">
      <c r="A62" s="60" t="s">
        <v>1333</v>
      </c>
      <c r="C62" s="268" t="s">
        <v>261</v>
      </c>
      <c r="D62" s="268"/>
      <c r="E62" s="268" t="s">
        <v>150</v>
      </c>
      <c r="F62" s="268"/>
      <c r="G62" s="268" t="s">
        <v>965</v>
      </c>
      <c r="H62" s="356">
        <v>40813</v>
      </c>
      <c r="I62" s="270">
        <v>40813</v>
      </c>
      <c r="J62" s="268" t="s">
        <v>1401</v>
      </c>
      <c r="K62" s="268" t="s">
        <v>1406</v>
      </c>
      <c r="L62" s="402">
        <v>40988</v>
      </c>
      <c r="M62" s="146" t="s">
        <v>2932</v>
      </c>
      <c r="P62" s="188" t="b">
        <f ca="1">IF($Q$1&gt;Table1343[[#This Row],[Target Date]],TRUE,FALSE)</f>
        <v>1</v>
      </c>
    </row>
    <row r="63" spans="1:16" ht="81" hidden="1">
      <c r="A63" s="60" t="s">
        <v>1334</v>
      </c>
      <c r="C63" s="268" t="s">
        <v>261</v>
      </c>
      <c r="D63" s="268"/>
      <c r="E63" s="268" t="s">
        <v>150</v>
      </c>
      <c r="F63" s="268"/>
      <c r="G63" s="268" t="s">
        <v>965</v>
      </c>
      <c r="H63" s="356">
        <v>40813</v>
      </c>
      <c r="I63" s="270">
        <v>40814</v>
      </c>
      <c r="J63" s="268" t="s">
        <v>1401</v>
      </c>
      <c r="K63" s="268" t="s">
        <v>3090</v>
      </c>
      <c r="L63" s="402">
        <v>40988</v>
      </c>
      <c r="M63" s="146" t="s">
        <v>2851</v>
      </c>
      <c r="P63" s="188" t="b">
        <f ca="1">IF($Q$1&gt;Table1343[[#This Row],[Target Date]],TRUE,FALSE)</f>
        <v>1</v>
      </c>
    </row>
    <row r="64" spans="1:16" ht="81">
      <c r="A64" s="60" t="s">
        <v>1336</v>
      </c>
      <c r="C64" s="268" t="s">
        <v>261</v>
      </c>
      <c r="D64" s="268"/>
      <c r="E64" s="268" t="s">
        <v>150</v>
      </c>
      <c r="F64" s="268"/>
      <c r="G64" s="268" t="s">
        <v>676</v>
      </c>
      <c r="H64" s="356">
        <v>40813</v>
      </c>
      <c r="I64" s="270">
        <v>40814</v>
      </c>
      <c r="J64" s="268" t="s">
        <v>1401</v>
      </c>
      <c r="K64" s="268" t="s">
        <v>1407</v>
      </c>
      <c r="L64" s="313">
        <v>40966</v>
      </c>
      <c r="M64" s="146" t="s">
        <v>2349</v>
      </c>
      <c r="P64" s="188" t="b">
        <f ca="1">IF($Q$1&gt;Table1343[[#This Row],[Target Date]],TRUE,FALSE)</f>
        <v>1</v>
      </c>
    </row>
    <row r="65" spans="1:16" ht="81">
      <c r="A65" s="60" t="s">
        <v>1338</v>
      </c>
      <c r="C65" s="268" t="s">
        <v>261</v>
      </c>
      <c r="D65" s="268"/>
      <c r="E65" s="268" t="s">
        <v>150</v>
      </c>
      <c r="F65" s="268"/>
      <c r="G65" s="268" t="s">
        <v>676</v>
      </c>
      <c r="H65" s="356">
        <v>40813</v>
      </c>
      <c r="I65" s="270">
        <v>40814</v>
      </c>
      <c r="J65" s="268" t="s">
        <v>1401</v>
      </c>
      <c r="K65" s="268" t="s">
        <v>1409</v>
      </c>
      <c r="L65" s="313">
        <v>40966</v>
      </c>
      <c r="M65" s="146" t="s">
        <v>2352</v>
      </c>
      <c r="P65" s="188" t="b">
        <f ca="1">IF($Q$1&gt;Table1343[[#This Row],[Target Date]],TRUE,FALSE)</f>
        <v>1</v>
      </c>
    </row>
    <row r="66" spans="1:16" ht="81">
      <c r="A66" s="60" t="s">
        <v>1339</v>
      </c>
      <c r="C66" s="268" t="s">
        <v>261</v>
      </c>
      <c r="D66" s="268"/>
      <c r="E66" s="268" t="s">
        <v>150</v>
      </c>
      <c r="F66" s="268"/>
      <c r="G66" s="268" t="s">
        <v>676</v>
      </c>
      <c r="H66" s="356">
        <v>40813</v>
      </c>
      <c r="I66" s="270">
        <v>40814</v>
      </c>
      <c r="J66" s="268" t="s">
        <v>1401</v>
      </c>
      <c r="K66" s="268" t="s">
        <v>1410</v>
      </c>
      <c r="L66" s="313">
        <v>40966</v>
      </c>
      <c r="M66" s="146" t="s">
        <v>2349</v>
      </c>
      <c r="P66" s="188" t="b">
        <f ca="1">IF($Q$1&gt;Table1343[[#This Row],[Target Date]],TRUE,FALSE)</f>
        <v>1</v>
      </c>
    </row>
    <row r="67" spans="1:16" ht="27">
      <c r="A67" s="60" t="s">
        <v>1425</v>
      </c>
      <c r="C67" s="268" t="s">
        <v>261</v>
      </c>
      <c r="D67" s="268"/>
      <c r="E67" s="268" t="s">
        <v>150</v>
      </c>
      <c r="F67" s="268"/>
      <c r="G67" s="268" t="s">
        <v>676</v>
      </c>
      <c r="H67" s="356">
        <v>40493</v>
      </c>
      <c r="I67" s="270">
        <v>40493</v>
      </c>
      <c r="J67" s="268" t="s">
        <v>1389</v>
      </c>
      <c r="K67" s="268" t="s">
        <v>1426</v>
      </c>
      <c r="L67" s="313">
        <v>40966</v>
      </c>
      <c r="M67" s="146" t="s">
        <v>2355</v>
      </c>
      <c r="P67" s="188" t="b">
        <f ca="1">IF($Q$1&gt;Table1343[[#This Row],[Target Date]],TRUE,FALSE)</f>
        <v>1</v>
      </c>
    </row>
    <row r="68" spans="1:16" ht="27" hidden="1">
      <c r="A68" s="60" t="s">
        <v>1360</v>
      </c>
      <c r="C68" s="268" t="s">
        <v>261</v>
      </c>
      <c r="D68" s="268"/>
      <c r="E68" s="268" t="s">
        <v>150</v>
      </c>
      <c r="F68" s="268"/>
      <c r="G68" s="268" t="s">
        <v>965</v>
      </c>
      <c r="H68" s="270" t="s">
        <v>768</v>
      </c>
      <c r="I68" s="270">
        <v>40848</v>
      </c>
      <c r="J68" s="268" t="s">
        <v>1438</v>
      </c>
      <c r="K68" s="268" t="s">
        <v>1439</v>
      </c>
      <c r="L68" s="313">
        <v>40966</v>
      </c>
      <c r="M68" s="146" t="s">
        <v>2356</v>
      </c>
      <c r="P68" s="188" t="b">
        <f ca="1">IF($Q$1&gt;Table1343[[#This Row],[Target Date]],TRUE,FALSE)</f>
        <v>0</v>
      </c>
    </row>
    <row r="69" spans="1:16" ht="27">
      <c r="A69" s="60" t="s">
        <v>1361</v>
      </c>
      <c r="B69" s="60" t="s">
        <v>1570</v>
      </c>
      <c r="C69" s="267" t="s">
        <v>261</v>
      </c>
      <c r="D69" s="267" t="s">
        <v>261</v>
      </c>
      <c r="E69" s="268" t="s">
        <v>150</v>
      </c>
      <c r="F69" s="268"/>
      <c r="G69" s="268" t="s">
        <v>676</v>
      </c>
      <c r="H69" s="269" t="s">
        <v>768</v>
      </c>
      <c r="I69" s="270"/>
      <c r="J69" s="268" t="s">
        <v>445</v>
      </c>
      <c r="K69" s="268" t="s">
        <v>1892</v>
      </c>
      <c r="L69" s="313">
        <v>40966</v>
      </c>
      <c r="M69" s="146" t="s">
        <v>2357</v>
      </c>
      <c r="P69" s="188" t="b">
        <f ca="1">IF($Q$1&gt;Table1343[[#This Row],[Target Date]],TRUE,FALSE)</f>
        <v>0</v>
      </c>
    </row>
    <row r="70" spans="1:16" ht="40.5">
      <c r="A70" s="60" t="s">
        <v>1362</v>
      </c>
      <c r="B70" s="60" t="s">
        <v>1570</v>
      </c>
      <c r="C70" s="267" t="s">
        <v>261</v>
      </c>
      <c r="D70" s="267" t="s">
        <v>261</v>
      </c>
      <c r="E70" s="268" t="s">
        <v>150</v>
      </c>
      <c r="F70" s="268"/>
      <c r="G70" s="268" t="s">
        <v>676</v>
      </c>
      <c r="H70" s="269" t="s">
        <v>768</v>
      </c>
      <c r="I70" s="270"/>
      <c r="J70" s="268" t="s">
        <v>445</v>
      </c>
      <c r="K70" s="146" t="s">
        <v>2277</v>
      </c>
      <c r="L70" s="313">
        <v>40966</v>
      </c>
      <c r="M70" s="146" t="s">
        <v>2358</v>
      </c>
      <c r="P70" s="188" t="b">
        <f ca="1">IF($Q$1&gt;Table1343[[#This Row],[Target Date]],TRUE,FALSE)</f>
        <v>0</v>
      </c>
    </row>
    <row r="71" spans="1:16" ht="27" hidden="1">
      <c r="A71" s="60" t="s">
        <v>1363</v>
      </c>
      <c r="B71" s="60" t="s">
        <v>1570</v>
      </c>
      <c r="C71" s="267" t="s">
        <v>261</v>
      </c>
      <c r="D71" s="267" t="s">
        <v>261</v>
      </c>
      <c r="E71" s="268" t="s">
        <v>150</v>
      </c>
      <c r="F71" s="268"/>
      <c r="G71" s="268" t="s">
        <v>965</v>
      </c>
      <c r="H71" s="269"/>
      <c r="I71" s="270"/>
      <c r="J71" s="268" t="s">
        <v>1419</v>
      </c>
      <c r="K71" s="268" t="s">
        <v>1441</v>
      </c>
      <c r="L71" s="313">
        <v>40983</v>
      </c>
      <c r="M71" s="146" t="s">
        <v>2901</v>
      </c>
      <c r="P71" s="188" t="b">
        <f ca="1">IF($Q$1&gt;Table1343[[#This Row],[Target Date]],TRUE,FALSE)</f>
        <v>1</v>
      </c>
    </row>
    <row r="72" spans="1:16" ht="27" hidden="1">
      <c r="A72" s="60" t="s">
        <v>1364</v>
      </c>
      <c r="B72" s="60" t="s">
        <v>1570</v>
      </c>
      <c r="C72" s="267" t="s">
        <v>261</v>
      </c>
      <c r="D72" s="267" t="s">
        <v>261</v>
      </c>
      <c r="E72" s="268" t="s">
        <v>150</v>
      </c>
      <c r="F72" s="268"/>
      <c r="G72" s="268" t="s">
        <v>965</v>
      </c>
      <c r="H72" s="269"/>
      <c r="I72" s="270"/>
      <c r="J72" s="268" t="s">
        <v>1419</v>
      </c>
      <c r="K72" s="268" t="s">
        <v>2276</v>
      </c>
      <c r="L72" s="313">
        <v>40983</v>
      </c>
      <c r="M72" s="146" t="s">
        <v>2902</v>
      </c>
      <c r="P72" s="188" t="b">
        <f ca="1">IF($Q$1&gt;Table1343[[#This Row],[Target Date]],TRUE,FALSE)</f>
        <v>1</v>
      </c>
    </row>
    <row r="73" spans="1:16" ht="27" hidden="1">
      <c r="A73" s="60" t="s">
        <v>1365</v>
      </c>
      <c r="B73" s="60" t="s">
        <v>1570</v>
      </c>
      <c r="C73" s="267" t="s">
        <v>261</v>
      </c>
      <c r="D73" s="267" t="s">
        <v>261</v>
      </c>
      <c r="E73" s="268" t="s">
        <v>150</v>
      </c>
      <c r="F73" s="268"/>
      <c r="G73" s="268" t="s">
        <v>965</v>
      </c>
      <c r="H73" s="269"/>
      <c r="I73" s="270"/>
      <c r="J73" s="268" t="s">
        <v>1419</v>
      </c>
      <c r="K73" s="268" t="s">
        <v>1442</v>
      </c>
      <c r="L73" s="313">
        <v>40983</v>
      </c>
      <c r="M73" s="146" t="s">
        <v>2903</v>
      </c>
      <c r="P73" s="188" t="b">
        <f ca="1">IF($Q$1&gt;Table1343[[#This Row],[Target Date]],TRUE,FALSE)</f>
        <v>1</v>
      </c>
    </row>
    <row r="74" spans="1:16" ht="40.5" hidden="1">
      <c r="A74" s="60" t="s">
        <v>1367</v>
      </c>
      <c r="B74" s="60" t="s">
        <v>1570</v>
      </c>
      <c r="C74" s="267" t="s">
        <v>261</v>
      </c>
      <c r="D74" s="267" t="s">
        <v>261</v>
      </c>
      <c r="E74" s="268" t="s">
        <v>150</v>
      </c>
      <c r="F74" s="268"/>
      <c r="G74" s="268" t="s">
        <v>965</v>
      </c>
      <c r="H74" s="269"/>
      <c r="I74" s="270"/>
      <c r="J74" s="268" t="s">
        <v>445</v>
      </c>
      <c r="K74" s="268" t="s">
        <v>1447</v>
      </c>
      <c r="L74" s="313">
        <v>40966</v>
      </c>
      <c r="M74" s="146" t="s">
        <v>2904</v>
      </c>
      <c r="P74" s="188" t="b">
        <f ca="1">IF($Q$1&gt;Table1343[[#This Row],[Target Date]],TRUE,FALSE)</f>
        <v>1</v>
      </c>
    </row>
    <row r="75" spans="1:16" ht="27" hidden="1">
      <c r="A75" s="60" t="s">
        <v>1440</v>
      </c>
      <c r="C75" s="268" t="s">
        <v>261</v>
      </c>
      <c r="D75" s="268"/>
      <c r="E75" s="268" t="s">
        <v>150</v>
      </c>
      <c r="F75" s="268"/>
      <c r="G75" s="268" t="s">
        <v>965</v>
      </c>
      <c r="H75" s="356">
        <v>40493</v>
      </c>
      <c r="I75" s="270">
        <v>40493</v>
      </c>
      <c r="J75" s="268" t="s">
        <v>1389</v>
      </c>
      <c r="K75" s="268" t="s">
        <v>3091</v>
      </c>
      <c r="L75" s="402">
        <v>40988</v>
      </c>
      <c r="M75" s="146" t="s">
        <v>2933</v>
      </c>
      <c r="P75" s="188" t="b">
        <f ca="1">IF($Q$1&gt;Table1343[[#This Row],[Target Date]],TRUE,FALSE)</f>
        <v>1</v>
      </c>
    </row>
    <row r="76" spans="1:16" ht="40.5">
      <c r="A76" s="60" t="s">
        <v>1474</v>
      </c>
      <c r="B76" s="61">
        <v>40954</v>
      </c>
      <c r="C76" s="265" t="s">
        <v>261</v>
      </c>
      <c r="E76" s="323" t="s">
        <v>150</v>
      </c>
      <c r="G76" s="323" t="s">
        <v>676</v>
      </c>
      <c r="I76" s="261">
        <v>40954</v>
      </c>
      <c r="J76" s="323" t="s">
        <v>2136</v>
      </c>
      <c r="K76" s="323" t="s">
        <v>2112</v>
      </c>
      <c r="L76" s="162">
        <v>40954</v>
      </c>
      <c r="M76" s="324" t="s">
        <v>2137</v>
      </c>
      <c r="P76" s="188" t="b">
        <f ca="1">IF($Q$1&gt;Table1343[[#This Row],[Target Date]],TRUE,FALSE)</f>
        <v>1</v>
      </c>
    </row>
    <row r="77" spans="1:16" ht="27">
      <c r="A77" s="60" t="s">
        <v>1475</v>
      </c>
      <c r="B77" s="61">
        <v>40955</v>
      </c>
      <c r="C77" s="265" t="s">
        <v>1634</v>
      </c>
      <c r="E77" s="323" t="s">
        <v>150</v>
      </c>
      <c r="G77" s="323" t="s">
        <v>676</v>
      </c>
      <c r="I77" s="261">
        <v>40954</v>
      </c>
      <c r="J77" s="323" t="s">
        <v>2136</v>
      </c>
      <c r="K77" s="323" t="s">
        <v>2138</v>
      </c>
      <c r="L77" s="162">
        <v>40954</v>
      </c>
      <c r="M77" s="324" t="s">
        <v>2137</v>
      </c>
      <c r="P77" s="188" t="b">
        <f ca="1">IF($Q$1&gt;Table1343[[#This Row],[Target Date]],TRUE,FALSE)</f>
        <v>1</v>
      </c>
    </row>
    <row r="78" spans="1:16" ht="54">
      <c r="A78" s="60" t="s">
        <v>1476</v>
      </c>
      <c r="B78" s="61">
        <v>40955</v>
      </c>
      <c r="C78" s="265" t="s">
        <v>1634</v>
      </c>
      <c r="E78" s="323" t="s">
        <v>150</v>
      </c>
      <c r="G78" s="323" t="s">
        <v>676</v>
      </c>
      <c r="I78" s="261">
        <v>40954</v>
      </c>
      <c r="J78" s="323" t="s">
        <v>2136</v>
      </c>
      <c r="K78" s="323" t="s">
        <v>2139</v>
      </c>
      <c r="L78" s="162">
        <v>40954</v>
      </c>
      <c r="M78" s="324" t="s">
        <v>2137</v>
      </c>
      <c r="P78" s="188" t="b">
        <f ca="1">IF($Q$1&gt;Table1343[[#This Row],[Target Date]],TRUE,FALSE)</f>
        <v>1</v>
      </c>
    </row>
    <row r="79" spans="1:16" ht="54">
      <c r="A79" s="60" t="s">
        <v>1477</v>
      </c>
      <c r="B79" s="61">
        <v>40955</v>
      </c>
      <c r="C79" s="265" t="s">
        <v>1634</v>
      </c>
      <c r="E79" s="323" t="s">
        <v>150</v>
      </c>
      <c r="G79" s="323" t="s">
        <v>676</v>
      </c>
      <c r="I79" s="261">
        <v>40954</v>
      </c>
      <c r="J79" s="323" t="s">
        <v>2136</v>
      </c>
      <c r="K79" s="323" t="s">
        <v>2140</v>
      </c>
      <c r="L79" s="162">
        <v>40954</v>
      </c>
      <c r="M79" s="324" t="s">
        <v>2137</v>
      </c>
      <c r="P79" s="188" t="b">
        <f ca="1">IF($Q$1&gt;Table1343[[#This Row],[Target Date]],TRUE,FALSE)</f>
        <v>1</v>
      </c>
    </row>
    <row r="80" spans="1:16" ht="81">
      <c r="A80" s="60" t="s">
        <v>2113</v>
      </c>
      <c r="B80" s="61">
        <v>40955</v>
      </c>
      <c r="C80" s="265" t="s">
        <v>1634</v>
      </c>
      <c r="E80" s="323" t="s">
        <v>150</v>
      </c>
      <c r="G80" s="323" t="s">
        <v>676</v>
      </c>
      <c r="I80" s="261">
        <v>40954</v>
      </c>
      <c r="J80" s="323" t="s">
        <v>2136</v>
      </c>
      <c r="K80" s="129" t="s">
        <v>2141</v>
      </c>
      <c r="L80" s="162">
        <v>40954</v>
      </c>
      <c r="M80" s="324" t="s">
        <v>2137</v>
      </c>
      <c r="P80" s="188" t="b">
        <f ca="1">IF($Q$1&gt;Table1343[[#This Row],[Target Date]],TRUE,FALSE)</f>
        <v>1</v>
      </c>
    </row>
    <row r="81" spans="1:16" ht="81">
      <c r="A81" s="60" t="s">
        <v>2114</v>
      </c>
      <c r="B81" s="61">
        <v>40955</v>
      </c>
      <c r="C81" s="265" t="s">
        <v>1634</v>
      </c>
      <c r="E81" s="323" t="s">
        <v>150</v>
      </c>
      <c r="G81" s="323" t="s">
        <v>676</v>
      </c>
      <c r="I81" s="261">
        <v>40954</v>
      </c>
      <c r="J81" s="323" t="s">
        <v>2136</v>
      </c>
      <c r="K81" s="129" t="s">
        <v>2142</v>
      </c>
      <c r="L81" s="162">
        <v>40954</v>
      </c>
      <c r="M81" s="324" t="s">
        <v>2137</v>
      </c>
      <c r="P81" s="188" t="b">
        <f ca="1">IF($Q$1&gt;Table1343[[#This Row],[Target Date]],TRUE,FALSE)</f>
        <v>1</v>
      </c>
    </row>
    <row r="82" spans="1:16" ht="27">
      <c r="A82" s="60" t="s">
        <v>2117</v>
      </c>
      <c r="B82" s="273">
        <v>40967</v>
      </c>
      <c r="C82" s="265" t="s">
        <v>261</v>
      </c>
      <c r="D82" s="265" t="s">
        <v>2280</v>
      </c>
      <c r="E82" s="323" t="s">
        <v>150</v>
      </c>
      <c r="G82" s="323" t="s">
        <v>676</v>
      </c>
      <c r="I82" s="261">
        <v>40967</v>
      </c>
      <c r="J82" s="323" t="s">
        <v>445</v>
      </c>
      <c r="K82" s="323" t="s">
        <v>2281</v>
      </c>
      <c r="L82" s="162">
        <v>40967</v>
      </c>
      <c r="M82" s="324"/>
      <c r="P82" s="188" t="b">
        <f ca="1">IF($Q$1&gt;Table1343[[#This Row],[Target Date]],TRUE,FALSE)</f>
        <v>1</v>
      </c>
    </row>
    <row r="83" spans="1:16" ht="27">
      <c r="A83" s="60" t="s">
        <v>2118</v>
      </c>
      <c r="B83" s="273">
        <v>40968</v>
      </c>
      <c r="C83" s="265" t="s">
        <v>2280</v>
      </c>
      <c r="D83" s="265" t="s">
        <v>2280</v>
      </c>
      <c r="E83" s="323" t="s">
        <v>150</v>
      </c>
      <c r="G83" s="323" t="s">
        <v>676</v>
      </c>
      <c r="I83" s="261">
        <v>40967</v>
      </c>
      <c r="J83" s="323" t="s">
        <v>2280</v>
      </c>
      <c r="K83" s="323" t="s">
        <v>2282</v>
      </c>
      <c r="L83" s="162">
        <v>40967</v>
      </c>
      <c r="M83" s="324"/>
      <c r="P83" s="188" t="b">
        <f ca="1">IF($Q$1&gt;Table1343[[#This Row],[Target Date]],TRUE,FALSE)</f>
        <v>1</v>
      </c>
    </row>
    <row r="84" spans="1:16" ht="27">
      <c r="A84" s="60" t="s">
        <v>2120</v>
      </c>
      <c r="B84" s="61">
        <v>40917</v>
      </c>
      <c r="E84" s="323" t="s">
        <v>150</v>
      </c>
      <c r="G84" s="323" t="s">
        <v>676</v>
      </c>
      <c r="I84" s="261">
        <v>40917</v>
      </c>
      <c r="J84" s="323" t="s">
        <v>2381</v>
      </c>
      <c r="K84" s="323" t="s">
        <v>2382</v>
      </c>
      <c r="L84" s="162">
        <v>40974</v>
      </c>
      <c r="M84" s="324" t="s">
        <v>2383</v>
      </c>
      <c r="P84" s="188" t="b">
        <f ca="1">IF($Q$1&gt;Table1343[[#This Row],[Target Date]],TRUE,FALSE)</f>
        <v>1</v>
      </c>
    </row>
    <row r="85" spans="1:16" ht="40.5">
      <c r="A85" s="60" t="s">
        <v>1366</v>
      </c>
      <c r="B85" s="60" t="s">
        <v>1570</v>
      </c>
      <c r="C85" s="267" t="s">
        <v>261</v>
      </c>
      <c r="D85" s="267" t="s">
        <v>261</v>
      </c>
      <c r="E85" s="268" t="s">
        <v>150</v>
      </c>
      <c r="F85" s="268"/>
      <c r="G85" s="268" t="s">
        <v>676</v>
      </c>
      <c r="H85" s="269"/>
      <c r="I85" s="270"/>
      <c r="J85" s="268" t="s">
        <v>445</v>
      </c>
      <c r="K85" s="268" t="s">
        <v>2966</v>
      </c>
      <c r="L85" s="313"/>
      <c r="M85" s="146" t="s">
        <v>1446</v>
      </c>
      <c r="P85" s="188" t="b">
        <f ca="1">IF($Q$1&gt;Table1343[[#This Row],[Target Date]],TRUE,FALSE)</f>
        <v>1</v>
      </c>
    </row>
    <row r="86" spans="1:16" ht="216">
      <c r="A86" s="60" t="s">
        <v>1459</v>
      </c>
      <c r="B86" s="60" t="s">
        <v>1570</v>
      </c>
      <c r="C86" s="265" t="s">
        <v>166</v>
      </c>
      <c r="D86" s="265" t="s">
        <v>166</v>
      </c>
      <c r="E86" s="323" t="s">
        <v>311</v>
      </c>
      <c r="G86" s="323" t="s">
        <v>73</v>
      </c>
      <c r="H86" s="162">
        <v>41001</v>
      </c>
      <c r="J86" s="323" t="s">
        <v>1735</v>
      </c>
      <c r="K86" s="323" t="s">
        <v>2375</v>
      </c>
      <c r="M86" s="323" t="s">
        <v>2922</v>
      </c>
      <c r="P86" s="188" t="b">
        <f ca="1">IF($Q$1&gt;Table1343[[#This Row],[Target Date]],TRUE,FALSE)</f>
        <v>0</v>
      </c>
    </row>
    <row r="87" spans="1:16" ht="202.5">
      <c r="A87" s="60" t="s">
        <v>1458</v>
      </c>
      <c r="B87" s="60" t="s">
        <v>1570</v>
      </c>
      <c r="C87" s="265" t="s">
        <v>166</v>
      </c>
      <c r="D87" s="265" t="s">
        <v>166</v>
      </c>
      <c r="E87" s="323" t="s">
        <v>311</v>
      </c>
      <c r="G87" s="323" t="s">
        <v>73</v>
      </c>
      <c r="H87" s="162">
        <v>41001</v>
      </c>
      <c r="J87" s="323" t="s">
        <v>1735</v>
      </c>
      <c r="K87" s="323" t="s">
        <v>2374</v>
      </c>
      <c r="M87" s="323" t="s">
        <v>2923</v>
      </c>
      <c r="P87" s="188" t="b">
        <f ca="1">IF($Q$1&gt;Table1343[[#This Row],[Target Date]],TRUE,FALSE)</f>
        <v>0</v>
      </c>
    </row>
    <row r="88" spans="1:16" ht="94.5">
      <c r="A88" s="60" t="s">
        <v>1460</v>
      </c>
      <c r="B88" s="60" t="s">
        <v>1570</v>
      </c>
      <c r="C88" s="265" t="s">
        <v>166</v>
      </c>
      <c r="D88" s="265" t="s">
        <v>166</v>
      </c>
      <c r="E88" s="323" t="s">
        <v>311</v>
      </c>
      <c r="G88" s="323" t="s">
        <v>73</v>
      </c>
      <c r="H88" s="162">
        <v>40991</v>
      </c>
      <c r="J88" s="323" t="s">
        <v>1736</v>
      </c>
      <c r="K88" s="323" t="s">
        <v>2376</v>
      </c>
      <c r="M88" s="323" t="s">
        <v>2154</v>
      </c>
      <c r="P88" s="188" t="b">
        <f ca="1">IF($Q$1&gt;Table1343[[#This Row],[Target Date]],TRUE,FALSE)</f>
        <v>0</v>
      </c>
    </row>
    <row r="89" spans="1:16" ht="108">
      <c r="A89" s="60" t="s">
        <v>1463</v>
      </c>
      <c r="B89" s="60" t="s">
        <v>1570</v>
      </c>
      <c r="C89" s="265" t="s">
        <v>166</v>
      </c>
      <c r="D89" s="265" t="s">
        <v>166</v>
      </c>
      <c r="E89" s="323" t="s">
        <v>311</v>
      </c>
      <c r="G89" s="323" t="s">
        <v>676</v>
      </c>
      <c r="H89" s="162">
        <v>40928</v>
      </c>
      <c r="I89" s="261">
        <v>40974</v>
      </c>
      <c r="J89" s="323" t="s">
        <v>1882</v>
      </c>
      <c r="K89" s="323" t="s">
        <v>2418</v>
      </c>
      <c r="L89" s="162">
        <v>40974</v>
      </c>
      <c r="M89" s="323" t="s">
        <v>2417</v>
      </c>
      <c r="P89" s="188" t="b">
        <f ca="1">IF($Q$1&gt;Table1343[[#This Row],[Target Date]],TRUE,FALSE)</f>
        <v>1</v>
      </c>
    </row>
    <row r="90" spans="1:16" ht="283.5">
      <c r="A90" s="60" t="s">
        <v>1462</v>
      </c>
      <c r="B90" s="60" t="s">
        <v>1570</v>
      </c>
      <c r="C90" s="265" t="s">
        <v>166</v>
      </c>
      <c r="D90" s="265" t="s">
        <v>166</v>
      </c>
      <c r="E90" s="323" t="s">
        <v>311</v>
      </c>
      <c r="G90" s="323" t="s">
        <v>73</v>
      </c>
      <c r="H90" s="162">
        <v>41001</v>
      </c>
      <c r="J90" s="323" t="s">
        <v>1881</v>
      </c>
      <c r="K90" s="323" t="s">
        <v>1737</v>
      </c>
      <c r="M90" s="323" t="s">
        <v>2924</v>
      </c>
      <c r="P90" s="188" t="b">
        <f ca="1">IF($Q$1&gt;Table1343[[#This Row],[Target Date]],TRUE,FALSE)</f>
        <v>0</v>
      </c>
    </row>
    <row r="91" spans="1:16" ht="409.5">
      <c r="A91" s="60" t="s">
        <v>1370</v>
      </c>
      <c r="B91" s="60" t="s">
        <v>1570</v>
      </c>
      <c r="C91" s="267" t="s">
        <v>1562</v>
      </c>
      <c r="D91" s="267" t="s">
        <v>1562</v>
      </c>
      <c r="E91" s="268" t="s">
        <v>311</v>
      </c>
      <c r="F91" s="268"/>
      <c r="G91" s="268" t="s">
        <v>73</v>
      </c>
      <c r="H91" s="162">
        <v>41003</v>
      </c>
      <c r="I91" s="270"/>
      <c r="J91" s="268" t="s">
        <v>1834</v>
      </c>
      <c r="K91" s="268" t="s">
        <v>2039</v>
      </c>
      <c r="L91" s="313"/>
      <c r="M91" s="146" t="s">
        <v>2951</v>
      </c>
      <c r="P91" s="188" t="b">
        <f ca="1">IF($Q$1&gt;Table1343[[#This Row],[Target Date]],TRUE,FALSE)</f>
        <v>0</v>
      </c>
    </row>
    <row r="92" spans="1:16" ht="391.5">
      <c r="A92" s="60" t="s">
        <v>1373</v>
      </c>
      <c r="B92" s="60" t="s">
        <v>1570</v>
      </c>
      <c r="C92" s="265" t="s">
        <v>1562</v>
      </c>
      <c r="D92" s="265" t="s">
        <v>166</v>
      </c>
      <c r="E92" s="323" t="s">
        <v>311</v>
      </c>
      <c r="G92" s="323" t="s">
        <v>676</v>
      </c>
      <c r="H92" s="162">
        <v>40981</v>
      </c>
      <c r="I92" s="261">
        <v>40984</v>
      </c>
      <c r="J92" s="323" t="s">
        <v>2935</v>
      </c>
      <c r="K92" s="323" t="s">
        <v>2936</v>
      </c>
      <c r="L92" s="162">
        <v>40984</v>
      </c>
      <c r="M92" s="324" t="s">
        <v>2934</v>
      </c>
      <c r="P92" s="188" t="b">
        <f ca="1">IF($Q$1&gt;Table1343[[#This Row],[Target Date]],TRUE,FALSE)</f>
        <v>1</v>
      </c>
    </row>
    <row r="93" spans="1:16" ht="409.5">
      <c r="A93" s="60" t="s">
        <v>1374</v>
      </c>
      <c r="B93" s="60" t="s">
        <v>1570</v>
      </c>
      <c r="C93" s="265" t="s">
        <v>1562</v>
      </c>
      <c r="D93" s="265" t="s">
        <v>1562</v>
      </c>
      <c r="E93" s="323" t="s">
        <v>311</v>
      </c>
      <c r="G93" s="323" t="s">
        <v>676</v>
      </c>
      <c r="H93" s="162">
        <v>40990</v>
      </c>
      <c r="I93" s="261">
        <v>40975</v>
      </c>
      <c r="J93" s="268" t="s">
        <v>1835</v>
      </c>
      <c r="K93" s="323" t="s">
        <v>2598</v>
      </c>
      <c r="L93" s="162">
        <v>40975</v>
      </c>
      <c r="M93" s="271" t="s">
        <v>2599</v>
      </c>
      <c r="P93" s="188" t="b">
        <f ca="1">IF($Q$1&gt;Table1343[[#This Row],[Target Date]],TRUE,FALSE)</f>
        <v>0</v>
      </c>
    </row>
    <row r="94" spans="1:16" ht="409.5">
      <c r="A94" s="60" t="s">
        <v>1841</v>
      </c>
      <c r="B94" s="60" t="s">
        <v>1570</v>
      </c>
      <c r="C94" s="265" t="s">
        <v>1562</v>
      </c>
      <c r="D94" s="265" t="s">
        <v>1562</v>
      </c>
      <c r="E94" s="323" t="s">
        <v>311</v>
      </c>
      <c r="G94" s="323" t="s">
        <v>73</v>
      </c>
      <c r="H94" s="162">
        <v>40990</v>
      </c>
      <c r="J94" s="323" t="s">
        <v>1835</v>
      </c>
      <c r="K94" s="323" t="s">
        <v>2601</v>
      </c>
      <c r="M94" s="271" t="s">
        <v>2600</v>
      </c>
      <c r="P94" s="188" t="b">
        <f ca="1">IF($Q$1&gt;Table1343[[#This Row],[Target Date]],TRUE,FALSE)</f>
        <v>0</v>
      </c>
    </row>
    <row r="95" spans="1:16" ht="243">
      <c r="A95" s="60" t="s">
        <v>1371</v>
      </c>
      <c r="B95" s="60" t="s">
        <v>1570</v>
      </c>
      <c r="C95" s="265" t="s">
        <v>1562</v>
      </c>
      <c r="D95" s="265" t="s">
        <v>1562</v>
      </c>
      <c r="E95" s="323" t="s">
        <v>311</v>
      </c>
      <c r="G95" s="323" t="s">
        <v>676</v>
      </c>
      <c r="H95" s="162">
        <v>40961</v>
      </c>
      <c r="I95" s="261">
        <v>40949</v>
      </c>
      <c r="J95" s="323" t="s">
        <v>1450</v>
      </c>
      <c r="K95" s="323" t="s">
        <v>2040</v>
      </c>
      <c r="L95" s="162">
        <v>40949</v>
      </c>
      <c r="M95" s="324" t="s">
        <v>2041</v>
      </c>
      <c r="P95" s="188" t="b">
        <f ca="1">IF($Q$1&gt;Table1343[[#This Row],[Target Date]],TRUE,FALSE)</f>
        <v>1</v>
      </c>
    </row>
    <row r="96" spans="1:16" ht="148.5">
      <c r="A96" s="60" t="s">
        <v>1372</v>
      </c>
      <c r="B96" s="60" t="s">
        <v>1570</v>
      </c>
      <c r="C96" s="265" t="s">
        <v>1562</v>
      </c>
      <c r="D96" s="265" t="s">
        <v>1562</v>
      </c>
      <c r="E96" s="323" t="s">
        <v>311</v>
      </c>
      <c r="G96" s="323" t="s">
        <v>676</v>
      </c>
      <c r="H96" s="162">
        <v>40961</v>
      </c>
      <c r="I96" s="261">
        <v>40949</v>
      </c>
      <c r="J96" s="323" t="s">
        <v>1450</v>
      </c>
      <c r="K96" s="323" t="s">
        <v>1899</v>
      </c>
      <c r="L96" s="162">
        <v>40949</v>
      </c>
      <c r="M96" s="324" t="s">
        <v>2029</v>
      </c>
      <c r="P96" s="188" t="b">
        <f ca="1">IF($Q$1&gt;Table1343[[#This Row],[Target Date]],TRUE,FALSE)</f>
        <v>1</v>
      </c>
    </row>
    <row r="97" spans="1:16" ht="135">
      <c r="A97" s="60" t="s">
        <v>1842</v>
      </c>
      <c r="C97" s="265" t="s">
        <v>1562</v>
      </c>
      <c r="E97" s="323" t="s">
        <v>311</v>
      </c>
      <c r="G97" s="323" t="s">
        <v>676</v>
      </c>
      <c r="H97" s="162">
        <v>40942</v>
      </c>
      <c r="I97" s="261">
        <v>40941</v>
      </c>
      <c r="J97" s="323" t="s">
        <v>1450</v>
      </c>
      <c r="K97" s="323" t="s">
        <v>2267</v>
      </c>
      <c r="L97" s="162">
        <v>40941</v>
      </c>
      <c r="M97" s="271" t="s">
        <v>1894</v>
      </c>
      <c r="P97" s="188" t="b">
        <f ca="1">IF($Q$1&gt;Table1343[[#This Row],[Target Date]],TRUE,FALSE)</f>
        <v>1</v>
      </c>
    </row>
    <row r="98" spans="1:16" ht="94.5">
      <c r="A98" s="60" t="s">
        <v>1145</v>
      </c>
      <c r="C98" s="268"/>
      <c r="D98" s="268"/>
      <c r="E98" s="268" t="s">
        <v>311</v>
      </c>
      <c r="F98" s="268"/>
      <c r="G98" s="268" t="s">
        <v>676</v>
      </c>
      <c r="H98" s="268"/>
      <c r="I98" s="270">
        <v>40855</v>
      </c>
      <c r="J98" s="268" t="s">
        <v>1227</v>
      </c>
      <c r="K98" s="268" t="s">
        <v>1228</v>
      </c>
      <c r="L98" s="402"/>
      <c r="M98" s="146" t="s">
        <v>2717</v>
      </c>
      <c r="P98" s="188" t="b">
        <f ca="1">IF($Q$1&gt;Table1343[[#This Row],[Target Date]],TRUE,FALSE)</f>
        <v>1</v>
      </c>
    </row>
    <row r="99" spans="1:16" ht="283.5">
      <c r="A99" s="60" t="s">
        <v>1146</v>
      </c>
      <c r="C99" s="268"/>
      <c r="D99" s="268"/>
      <c r="E99" s="268" t="s">
        <v>311</v>
      </c>
      <c r="F99" s="268"/>
      <c r="G99" s="268" t="s">
        <v>676</v>
      </c>
      <c r="H99" s="268"/>
      <c r="I99" s="270">
        <v>40855</v>
      </c>
      <c r="J99" s="268" t="s">
        <v>1227</v>
      </c>
      <c r="K99" s="268" t="s">
        <v>2657</v>
      </c>
      <c r="L99" s="402"/>
      <c r="M99" s="399" t="s">
        <v>2658</v>
      </c>
      <c r="P99" s="188" t="b">
        <f ca="1">IF($Q$1&gt;Table1343[[#This Row],[Target Date]],TRUE,FALSE)</f>
        <v>1</v>
      </c>
    </row>
    <row r="100" spans="1:16" ht="54">
      <c r="A100" s="60" t="s">
        <v>1148</v>
      </c>
      <c r="C100" s="268"/>
      <c r="D100" s="268"/>
      <c r="E100" s="268" t="s">
        <v>311</v>
      </c>
      <c r="F100" s="268"/>
      <c r="G100" s="268" t="s">
        <v>676</v>
      </c>
      <c r="H100" s="268"/>
      <c r="I100" s="270">
        <v>40851</v>
      </c>
      <c r="J100" s="268" t="s">
        <v>1227</v>
      </c>
      <c r="K100" s="268" t="s">
        <v>1231</v>
      </c>
      <c r="L100" s="313">
        <v>40977</v>
      </c>
      <c r="M100" s="146" t="s">
        <v>2671</v>
      </c>
      <c r="P100" s="188" t="b">
        <f ca="1">IF($Q$1&gt;Table1343[[#This Row],[Target Date]],TRUE,FALSE)</f>
        <v>1</v>
      </c>
    </row>
    <row r="101" spans="1:16" ht="67.5">
      <c r="A101" s="60" t="s">
        <v>1149</v>
      </c>
      <c r="C101" s="268"/>
      <c r="D101" s="268"/>
      <c r="E101" s="268" t="s">
        <v>311</v>
      </c>
      <c r="F101" s="268"/>
      <c r="G101" s="268" t="s">
        <v>676</v>
      </c>
      <c r="H101" s="268"/>
      <c r="I101" s="270">
        <v>40854</v>
      </c>
      <c r="J101" s="268" t="s">
        <v>1227</v>
      </c>
      <c r="K101" s="268" t="s">
        <v>1234</v>
      </c>
      <c r="L101" s="313">
        <v>40977</v>
      </c>
      <c r="M101" s="146" t="s">
        <v>2722</v>
      </c>
      <c r="P101" s="188" t="b">
        <f ca="1">IF($Q$1&gt;Table1343[[#This Row],[Target Date]],TRUE,FALSE)</f>
        <v>1</v>
      </c>
    </row>
    <row r="102" spans="1:16" ht="94.5">
      <c r="A102" s="60" t="s">
        <v>1150</v>
      </c>
      <c r="C102" s="268"/>
      <c r="D102" s="268"/>
      <c r="E102" s="268" t="s">
        <v>311</v>
      </c>
      <c r="F102" s="268"/>
      <c r="G102" s="268" t="s">
        <v>676</v>
      </c>
      <c r="H102" s="268"/>
      <c r="I102" s="270">
        <v>40854</v>
      </c>
      <c r="J102" s="268" t="s">
        <v>1227</v>
      </c>
      <c r="K102" s="268" t="s">
        <v>1235</v>
      </c>
      <c r="L102" s="402"/>
      <c r="M102" s="146" t="s">
        <v>2925</v>
      </c>
      <c r="P102" s="188" t="b">
        <f ca="1">IF($Q$1&gt;Table1343[[#This Row],[Target Date]],TRUE,FALSE)</f>
        <v>1</v>
      </c>
    </row>
    <row r="103" spans="1:16" ht="54">
      <c r="A103" s="60" t="s">
        <v>1151</v>
      </c>
      <c r="C103" s="268"/>
      <c r="D103" s="268"/>
      <c r="E103" s="268" t="s">
        <v>311</v>
      </c>
      <c r="F103" s="268"/>
      <c r="G103" s="268" t="s">
        <v>676</v>
      </c>
      <c r="H103" s="268"/>
      <c r="I103" s="270">
        <v>40854</v>
      </c>
      <c r="J103" s="268" t="s">
        <v>1227</v>
      </c>
      <c r="K103" s="268" t="s">
        <v>2665</v>
      </c>
      <c r="L103" s="313">
        <v>40977</v>
      </c>
      <c r="M103" s="146" t="s">
        <v>2664</v>
      </c>
      <c r="P103" s="188" t="b">
        <f ca="1">IF($Q$1&gt;Table1343[[#This Row],[Target Date]],TRUE,FALSE)</f>
        <v>1</v>
      </c>
    </row>
    <row r="104" spans="1:16" ht="162">
      <c r="A104" s="60" t="s">
        <v>1152</v>
      </c>
      <c r="C104" s="268"/>
      <c r="D104" s="268"/>
      <c r="E104" s="268" t="s">
        <v>311</v>
      </c>
      <c r="F104" s="268"/>
      <c r="G104" s="268" t="s">
        <v>676</v>
      </c>
      <c r="H104" s="268"/>
      <c r="I104" s="270">
        <v>40854</v>
      </c>
      <c r="J104" s="268" t="s">
        <v>1227</v>
      </c>
      <c r="K104" s="323" t="s">
        <v>1236</v>
      </c>
      <c r="L104" s="162">
        <v>40977</v>
      </c>
      <c r="M104" s="146" t="s">
        <v>2673</v>
      </c>
      <c r="P104" s="188" t="b">
        <f ca="1">IF($Q$1&gt;Table1343[[#This Row],[Target Date]],TRUE,FALSE)</f>
        <v>1</v>
      </c>
    </row>
    <row r="105" spans="1:16" ht="162">
      <c r="A105" s="60" t="s">
        <v>1153</v>
      </c>
      <c r="C105" s="268"/>
      <c r="D105" s="268"/>
      <c r="E105" s="268" t="s">
        <v>311</v>
      </c>
      <c r="F105" s="268"/>
      <c r="G105" s="268" t="s">
        <v>676</v>
      </c>
      <c r="H105" s="268"/>
      <c r="I105" s="270">
        <v>40854</v>
      </c>
      <c r="J105" s="268" t="s">
        <v>1227</v>
      </c>
      <c r="K105" s="323" t="s">
        <v>1237</v>
      </c>
      <c r="L105" s="162">
        <v>40977</v>
      </c>
      <c r="M105" s="146" t="s">
        <v>2697</v>
      </c>
      <c r="P105" s="188" t="b">
        <f ca="1">IF($Q$1&gt;Table1343[[#This Row],[Target Date]],TRUE,FALSE)</f>
        <v>1</v>
      </c>
    </row>
    <row r="106" spans="1:16" ht="81">
      <c r="A106" s="60" t="s">
        <v>1154</v>
      </c>
      <c r="C106" s="268"/>
      <c r="D106" s="268"/>
      <c r="E106" s="268" t="s">
        <v>311</v>
      </c>
      <c r="F106" s="268"/>
      <c r="G106" s="268" t="s">
        <v>676</v>
      </c>
      <c r="H106" s="268"/>
      <c r="I106" s="270">
        <v>40854</v>
      </c>
      <c r="J106" s="268" t="s">
        <v>1227</v>
      </c>
      <c r="K106" s="323" t="s">
        <v>2667</v>
      </c>
      <c r="L106" s="162">
        <v>40977</v>
      </c>
      <c r="M106" s="146" t="s">
        <v>2666</v>
      </c>
      <c r="P106" s="188" t="b">
        <f ca="1">IF($Q$1&gt;Table1343[[#This Row],[Target Date]],TRUE,FALSE)</f>
        <v>1</v>
      </c>
    </row>
    <row r="107" spans="1:16" ht="54">
      <c r="A107" s="60" t="s">
        <v>1155</v>
      </c>
      <c r="C107" s="268"/>
      <c r="D107" s="268"/>
      <c r="E107" s="268" t="s">
        <v>311</v>
      </c>
      <c r="F107" s="268"/>
      <c r="G107" s="268" t="s">
        <v>676</v>
      </c>
      <c r="H107" s="268"/>
      <c r="I107" s="270">
        <v>40854</v>
      </c>
      <c r="J107" s="268" t="s">
        <v>1227</v>
      </c>
      <c r="K107" s="323" t="s">
        <v>1238</v>
      </c>
      <c r="L107" s="162">
        <v>40977</v>
      </c>
      <c r="M107" s="146" t="s">
        <v>2721</v>
      </c>
      <c r="P107" s="188" t="b">
        <f ca="1">IF($Q$1&gt;Table1343[[#This Row],[Target Date]],TRUE,FALSE)</f>
        <v>1</v>
      </c>
    </row>
    <row r="108" spans="1:16" ht="81">
      <c r="A108" s="60" t="s">
        <v>1156</v>
      </c>
      <c r="C108" s="268"/>
      <c r="D108" s="268"/>
      <c r="E108" s="268" t="s">
        <v>311</v>
      </c>
      <c r="F108" s="268"/>
      <c r="G108" s="268" t="s">
        <v>676</v>
      </c>
      <c r="H108" s="268"/>
      <c r="I108" s="270">
        <v>40854</v>
      </c>
      <c r="J108" s="268" t="s">
        <v>1227</v>
      </c>
      <c r="K108" s="323" t="s">
        <v>1240</v>
      </c>
      <c r="L108" s="403"/>
      <c r="M108" s="146" t="s">
        <v>2669</v>
      </c>
      <c r="P108" s="188" t="b">
        <f ca="1">IF($Q$1&gt;Table1343[[#This Row],[Target Date]],TRUE,FALSE)</f>
        <v>1</v>
      </c>
    </row>
    <row r="109" spans="1:16" ht="67.5">
      <c r="A109" s="60" t="s">
        <v>1157</v>
      </c>
      <c r="C109" s="268"/>
      <c r="D109" s="268"/>
      <c r="E109" s="268" t="s">
        <v>311</v>
      </c>
      <c r="F109" s="268"/>
      <c r="G109" s="268" t="s">
        <v>676</v>
      </c>
      <c r="H109" s="268"/>
      <c r="I109" s="270">
        <v>40854</v>
      </c>
      <c r="J109" s="323" t="s">
        <v>1227</v>
      </c>
      <c r="K109" s="323" t="s">
        <v>1241</v>
      </c>
      <c r="L109" s="162">
        <v>40977</v>
      </c>
      <c r="M109" s="146" t="s">
        <v>2673</v>
      </c>
      <c r="P109" s="188" t="b">
        <f ca="1">IF($Q$1&gt;Table1343[[#This Row],[Target Date]],TRUE,FALSE)</f>
        <v>1</v>
      </c>
    </row>
    <row r="110" spans="1:16" ht="94.5">
      <c r="A110" s="60" t="s">
        <v>1158</v>
      </c>
      <c r="C110" s="268"/>
      <c r="D110" s="268"/>
      <c r="E110" s="268" t="s">
        <v>311</v>
      </c>
      <c r="F110" s="268"/>
      <c r="G110" s="268" t="s">
        <v>676</v>
      </c>
      <c r="H110" s="268"/>
      <c r="I110" s="270">
        <v>40854</v>
      </c>
      <c r="J110" s="323" t="s">
        <v>1227</v>
      </c>
      <c r="K110" s="323" t="s">
        <v>1242</v>
      </c>
      <c r="L110" s="403"/>
      <c r="M110" s="146" t="s">
        <v>2661</v>
      </c>
      <c r="P110" s="188" t="b">
        <f ca="1">IF($Q$1&gt;Table1343[[#This Row],[Target Date]],TRUE,FALSE)</f>
        <v>1</v>
      </c>
    </row>
    <row r="111" spans="1:16" ht="135">
      <c r="A111" s="60" t="s">
        <v>1159</v>
      </c>
      <c r="C111" s="268"/>
      <c r="D111" s="268"/>
      <c r="E111" s="268" t="s">
        <v>311</v>
      </c>
      <c r="F111" s="268"/>
      <c r="G111" s="268" t="s">
        <v>676</v>
      </c>
      <c r="H111" s="268"/>
      <c r="I111" s="270">
        <v>40854</v>
      </c>
      <c r="J111" s="323" t="s">
        <v>1227</v>
      </c>
      <c r="K111" s="323" t="s">
        <v>2723</v>
      </c>
      <c r="L111" s="162">
        <v>40977</v>
      </c>
      <c r="M111" s="146" t="s">
        <v>2724</v>
      </c>
      <c r="P111" s="188" t="b">
        <f ca="1">IF($Q$1&gt;Table1343[[#This Row],[Target Date]],TRUE,FALSE)</f>
        <v>1</v>
      </c>
    </row>
    <row r="112" spans="1:16" ht="81">
      <c r="A112" s="60" t="s">
        <v>1160</v>
      </c>
      <c r="C112" s="268"/>
      <c r="D112" s="268"/>
      <c r="E112" s="268" t="s">
        <v>311</v>
      </c>
      <c r="F112" s="268"/>
      <c r="G112" s="268" t="s">
        <v>676</v>
      </c>
      <c r="H112" s="268"/>
      <c r="I112" s="270">
        <v>40854</v>
      </c>
      <c r="J112" s="323" t="s">
        <v>1227</v>
      </c>
      <c r="K112" s="323" t="s">
        <v>2675</v>
      </c>
      <c r="L112" s="162">
        <v>40977</v>
      </c>
      <c r="M112" s="146" t="s">
        <v>2676</v>
      </c>
      <c r="P112" s="188" t="b">
        <f ca="1">IF($Q$1&gt;Table1343[[#This Row],[Target Date]],TRUE,FALSE)</f>
        <v>1</v>
      </c>
    </row>
    <row r="113" spans="1:16" ht="121.5">
      <c r="A113" s="60" t="s">
        <v>1161</v>
      </c>
      <c r="C113" s="268"/>
      <c r="D113" s="268"/>
      <c r="E113" s="268" t="s">
        <v>311</v>
      </c>
      <c r="F113" s="268"/>
      <c r="G113" s="268" t="s">
        <v>676</v>
      </c>
      <c r="H113" s="268"/>
      <c r="I113" s="270">
        <v>40854</v>
      </c>
      <c r="J113" s="323" t="s">
        <v>1227</v>
      </c>
      <c r="K113" s="323" t="s">
        <v>1243</v>
      </c>
      <c r="L113" s="403"/>
      <c r="M113" s="146" t="s">
        <v>2730</v>
      </c>
      <c r="P113" s="188" t="b">
        <f ca="1">IF($Q$1&gt;Table1343[[#This Row],[Target Date]],TRUE,FALSE)</f>
        <v>1</v>
      </c>
    </row>
    <row r="114" spans="1:16" ht="54">
      <c r="A114" s="60" t="s">
        <v>1162</v>
      </c>
      <c r="C114" s="268"/>
      <c r="D114" s="268"/>
      <c r="E114" s="323" t="s">
        <v>311</v>
      </c>
      <c r="G114" s="268" t="s">
        <v>676</v>
      </c>
      <c r="H114" s="323"/>
      <c r="I114" s="270">
        <v>40854</v>
      </c>
      <c r="J114" s="323" t="s">
        <v>1227</v>
      </c>
      <c r="K114" s="323" t="s">
        <v>1244</v>
      </c>
      <c r="L114" s="162">
        <v>40977</v>
      </c>
      <c r="M114" s="146" t="s">
        <v>2728</v>
      </c>
      <c r="P114" s="188" t="b">
        <f ca="1">IF($Q$1&gt;Table1343[[#This Row],[Target Date]],TRUE,FALSE)</f>
        <v>1</v>
      </c>
    </row>
    <row r="115" spans="1:16" ht="54">
      <c r="A115" s="60" t="s">
        <v>1163</v>
      </c>
      <c r="C115" s="268"/>
      <c r="D115" s="268"/>
      <c r="E115" s="323" t="s">
        <v>311</v>
      </c>
      <c r="G115" s="268" t="s">
        <v>676</v>
      </c>
      <c r="H115" s="323"/>
      <c r="I115" s="55">
        <v>40855</v>
      </c>
      <c r="J115" s="323" t="s">
        <v>1227</v>
      </c>
      <c r="K115" s="323" t="s">
        <v>1245</v>
      </c>
      <c r="L115" s="162">
        <v>40977</v>
      </c>
      <c r="M115" s="146" t="s">
        <v>2726</v>
      </c>
      <c r="P115" s="188" t="b">
        <f ca="1">IF($Q$1&gt;Table1343[[#This Row],[Target Date]],TRUE,FALSE)</f>
        <v>1</v>
      </c>
    </row>
    <row r="116" spans="1:16" ht="54">
      <c r="A116" s="60" t="s">
        <v>1164</v>
      </c>
      <c r="C116" s="268"/>
      <c r="D116" s="268"/>
      <c r="E116" s="323" t="s">
        <v>311</v>
      </c>
      <c r="G116" s="268" t="s">
        <v>676</v>
      </c>
      <c r="H116" s="323"/>
      <c r="I116" s="55">
        <v>40855</v>
      </c>
      <c r="J116" s="323" t="s">
        <v>1227</v>
      </c>
      <c r="K116" s="323" t="s">
        <v>1246</v>
      </c>
      <c r="L116" s="403"/>
      <c r="M116" s="146" t="s">
        <v>2720</v>
      </c>
      <c r="P116" s="188" t="b">
        <f ca="1">IF($Q$1&gt;Table1343[[#This Row],[Target Date]],TRUE,FALSE)</f>
        <v>1</v>
      </c>
    </row>
    <row r="117" spans="1:16" ht="54">
      <c r="A117" s="60" t="s">
        <v>1165</v>
      </c>
      <c r="C117" s="268"/>
      <c r="D117" s="268"/>
      <c r="E117" s="323" t="s">
        <v>311</v>
      </c>
      <c r="G117" s="268" t="s">
        <v>676</v>
      </c>
      <c r="H117" s="323"/>
      <c r="I117" s="55">
        <v>40855</v>
      </c>
      <c r="J117" s="323" t="s">
        <v>1227</v>
      </c>
      <c r="K117" s="323" t="s">
        <v>1247</v>
      </c>
      <c r="L117" s="162">
        <v>40977</v>
      </c>
      <c r="M117" s="146" t="s">
        <v>2673</v>
      </c>
      <c r="P117" s="188" t="b">
        <f ca="1">IF($Q$1&gt;Table1343[[#This Row],[Target Date]],TRUE,FALSE)</f>
        <v>1</v>
      </c>
    </row>
    <row r="118" spans="1:16" ht="54">
      <c r="A118" s="60" t="s">
        <v>1166</v>
      </c>
      <c r="C118" s="268"/>
      <c r="D118" s="268"/>
      <c r="E118" s="323" t="s">
        <v>311</v>
      </c>
      <c r="G118" s="268" t="s">
        <v>676</v>
      </c>
      <c r="H118" s="323"/>
      <c r="I118" s="55">
        <v>40855</v>
      </c>
      <c r="J118" s="323" t="s">
        <v>1227</v>
      </c>
      <c r="K118" s="323" t="s">
        <v>1248</v>
      </c>
      <c r="L118" s="162">
        <v>40977</v>
      </c>
      <c r="M118" s="146" t="s">
        <v>2727</v>
      </c>
      <c r="P118" s="188" t="b">
        <f ca="1">IF($Q$1&gt;Table1343[[#This Row],[Target Date]],TRUE,FALSE)</f>
        <v>1</v>
      </c>
    </row>
    <row r="119" spans="1:16" ht="94.5">
      <c r="A119" s="60" t="s">
        <v>1167</v>
      </c>
      <c r="C119" s="268"/>
      <c r="D119" s="268"/>
      <c r="E119" s="323" t="s">
        <v>311</v>
      </c>
      <c r="G119" s="268" t="s">
        <v>676</v>
      </c>
      <c r="H119" s="323"/>
      <c r="I119" s="55">
        <v>40855</v>
      </c>
      <c r="J119" s="323" t="s">
        <v>1227</v>
      </c>
      <c r="K119" s="323" t="s">
        <v>1250</v>
      </c>
      <c r="L119" s="403"/>
      <c r="M119" s="146" t="s">
        <v>2670</v>
      </c>
      <c r="P119" s="188" t="b">
        <f ca="1">IF($Q$1&gt;Table1343[[#This Row],[Target Date]],TRUE,FALSE)</f>
        <v>1</v>
      </c>
    </row>
    <row r="120" spans="1:16" ht="81">
      <c r="A120" s="60" t="s">
        <v>1168</v>
      </c>
      <c r="C120" s="268"/>
      <c r="D120" s="268"/>
      <c r="E120" s="323" t="s">
        <v>311</v>
      </c>
      <c r="G120" s="268" t="s">
        <v>676</v>
      </c>
      <c r="H120" s="323"/>
      <c r="I120" s="55">
        <v>40855</v>
      </c>
      <c r="J120" s="323" t="s">
        <v>1227</v>
      </c>
      <c r="K120" s="323" t="s">
        <v>1251</v>
      </c>
      <c r="L120" s="162">
        <v>40977</v>
      </c>
      <c r="M120" s="146" t="s">
        <v>2687</v>
      </c>
      <c r="P120" s="188" t="b">
        <f ca="1">IF($Q$1&gt;Table1343[[#This Row],[Target Date]],TRUE,FALSE)</f>
        <v>1</v>
      </c>
    </row>
    <row r="121" spans="1:16" ht="54" hidden="1">
      <c r="A121" s="60" t="s">
        <v>1169</v>
      </c>
      <c r="C121" s="268"/>
      <c r="D121" s="268"/>
      <c r="E121" s="323" t="s">
        <v>311</v>
      </c>
      <c r="G121" s="268" t="s">
        <v>965</v>
      </c>
      <c r="H121" s="323"/>
      <c r="I121" s="55">
        <v>40855</v>
      </c>
      <c r="J121" s="323" t="s">
        <v>1227</v>
      </c>
      <c r="K121" s="323" t="s">
        <v>1253</v>
      </c>
      <c r="M121" s="146" t="s">
        <v>2719</v>
      </c>
      <c r="P121" s="188" t="b">
        <f ca="1">IF($Q$1&gt;Table1343[[#This Row],[Target Date]],TRUE,FALSE)</f>
        <v>1</v>
      </c>
    </row>
    <row r="122" spans="1:16" ht="94.5">
      <c r="A122" s="60" t="s">
        <v>1170</v>
      </c>
      <c r="C122" s="268"/>
      <c r="D122" s="268"/>
      <c r="E122" s="323" t="s">
        <v>311</v>
      </c>
      <c r="G122" s="268" t="s">
        <v>676</v>
      </c>
      <c r="H122" s="323"/>
      <c r="I122" s="55">
        <v>40855</v>
      </c>
      <c r="J122" s="323" t="s">
        <v>1227</v>
      </c>
      <c r="K122" s="323" t="s">
        <v>1254</v>
      </c>
      <c r="L122" s="403"/>
      <c r="M122" s="146" t="s">
        <v>2718</v>
      </c>
      <c r="P122" s="188" t="b">
        <f ca="1">IF($Q$1&gt;Table1343[[#This Row],[Target Date]],TRUE,FALSE)</f>
        <v>1</v>
      </c>
    </row>
    <row r="123" spans="1:16" ht="54">
      <c r="A123" s="60" t="s">
        <v>1171</v>
      </c>
      <c r="C123" s="268"/>
      <c r="D123" s="268"/>
      <c r="E123" s="323" t="s">
        <v>311</v>
      </c>
      <c r="G123" s="268" t="s">
        <v>676</v>
      </c>
      <c r="H123" s="323"/>
      <c r="I123" s="55">
        <v>40855</v>
      </c>
      <c r="J123" s="323" t="s">
        <v>1227</v>
      </c>
      <c r="K123" s="323" t="s">
        <v>1255</v>
      </c>
      <c r="L123" s="162">
        <v>40977</v>
      </c>
      <c r="M123" s="146" t="s">
        <v>2673</v>
      </c>
      <c r="P123" s="188" t="b">
        <f ca="1">IF($Q$1&gt;Table1343[[#This Row],[Target Date]],TRUE,FALSE)</f>
        <v>1</v>
      </c>
    </row>
    <row r="124" spans="1:16" ht="54">
      <c r="A124" s="60" t="s">
        <v>1172</v>
      </c>
      <c r="C124" s="268"/>
      <c r="D124" s="268"/>
      <c r="E124" s="323" t="s">
        <v>311</v>
      </c>
      <c r="G124" s="268" t="s">
        <v>676</v>
      </c>
      <c r="H124" s="323"/>
      <c r="I124" s="55">
        <v>40855</v>
      </c>
      <c r="J124" s="323" t="s">
        <v>1227</v>
      </c>
      <c r="K124" s="323" t="s">
        <v>1256</v>
      </c>
      <c r="L124" s="403"/>
      <c r="M124" s="146" t="s">
        <v>2711</v>
      </c>
      <c r="P124" s="188" t="b">
        <f ca="1">IF($Q$1&gt;Table1343[[#This Row],[Target Date]],TRUE,FALSE)</f>
        <v>1</v>
      </c>
    </row>
    <row r="125" spans="1:16" ht="67.5">
      <c r="A125" s="60" t="s">
        <v>1173</v>
      </c>
      <c r="C125" s="268"/>
      <c r="D125" s="268"/>
      <c r="E125" s="323" t="s">
        <v>311</v>
      </c>
      <c r="G125" s="268" t="s">
        <v>676</v>
      </c>
      <c r="H125" s="323"/>
      <c r="I125" s="55">
        <v>40856</v>
      </c>
      <c r="J125" s="323" t="s">
        <v>1227</v>
      </c>
      <c r="K125" s="323" t="s">
        <v>1257</v>
      </c>
      <c r="L125" s="162">
        <v>40977</v>
      </c>
      <c r="M125" s="146" t="s">
        <v>2715</v>
      </c>
      <c r="P125" s="188" t="b">
        <f ca="1">IF($Q$1&gt;Table1343[[#This Row],[Target Date]],TRUE,FALSE)</f>
        <v>1</v>
      </c>
    </row>
    <row r="126" spans="1:16" ht="67.5">
      <c r="A126" s="60" t="s">
        <v>1174</v>
      </c>
      <c r="C126" s="268"/>
      <c r="D126" s="268"/>
      <c r="E126" s="323" t="s">
        <v>311</v>
      </c>
      <c r="G126" s="268" t="s">
        <v>676</v>
      </c>
      <c r="H126" s="323"/>
      <c r="I126" s="55">
        <v>40856</v>
      </c>
      <c r="J126" s="323" t="s">
        <v>1227</v>
      </c>
      <c r="K126" s="323" t="s">
        <v>1258</v>
      </c>
      <c r="L126" s="358">
        <v>40977</v>
      </c>
      <c r="M126" s="146" t="s">
        <v>2716</v>
      </c>
      <c r="P126" s="188" t="b">
        <f ca="1">IF($Q$1&gt;Table1343[[#This Row],[Target Date]],TRUE,FALSE)</f>
        <v>1</v>
      </c>
    </row>
    <row r="127" spans="1:16" ht="81">
      <c r="A127" s="60" t="s">
        <v>1175</v>
      </c>
      <c r="C127" s="268"/>
      <c r="D127" s="268"/>
      <c r="E127" s="323" t="s">
        <v>311</v>
      </c>
      <c r="G127" s="268" t="s">
        <v>676</v>
      </c>
      <c r="H127" s="323"/>
      <c r="I127" s="55">
        <v>40856</v>
      </c>
      <c r="J127" s="323" t="s">
        <v>1227</v>
      </c>
      <c r="K127" s="323" t="s">
        <v>1260</v>
      </c>
      <c r="L127" s="403"/>
      <c r="M127" s="146" t="s">
        <v>2690</v>
      </c>
      <c r="P127" s="188" t="b">
        <f ca="1">IF($Q$1&gt;Table1343[[#This Row],[Target Date]],TRUE,FALSE)</f>
        <v>1</v>
      </c>
    </row>
    <row r="128" spans="1:16" ht="54">
      <c r="A128" s="60" t="s">
        <v>1176</v>
      </c>
      <c r="C128" s="268"/>
      <c r="D128" s="268"/>
      <c r="E128" s="323" t="s">
        <v>311</v>
      </c>
      <c r="G128" s="268" t="s">
        <v>676</v>
      </c>
      <c r="H128" s="323"/>
      <c r="I128" s="55">
        <v>40856</v>
      </c>
      <c r="J128" s="323" t="s">
        <v>1227</v>
      </c>
      <c r="K128" s="323" t="s">
        <v>1261</v>
      </c>
      <c r="L128" s="162">
        <v>40977</v>
      </c>
      <c r="M128" s="146" t="s">
        <v>2673</v>
      </c>
      <c r="P128" s="188" t="b">
        <f ca="1">IF($Q$1&gt;Table1343[[#This Row],[Target Date]],TRUE,FALSE)</f>
        <v>1</v>
      </c>
    </row>
    <row r="129" spans="1:16" ht="81">
      <c r="A129" s="60" t="s">
        <v>1177</v>
      </c>
      <c r="C129" s="268"/>
      <c r="D129" s="268"/>
      <c r="E129" s="323" t="s">
        <v>311</v>
      </c>
      <c r="G129" s="268" t="s">
        <v>676</v>
      </c>
      <c r="H129" s="323"/>
      <c r="I129" s="55">
        <v>40857</v>
      </c>
      <c r="J129" s="323" t="s">
        <v>1227</v>
      </c>
      <c r="K129" s="323" t="s">
        <v>1262</v>
      </c>
      <c r="L129" s="162">
        <v>40973</v>
      </c>
      <c r="M129" s="146" t="s">
        <v>2684</v>
      </c>
      <c r="P129" s="188" t="b">
        <f ca="1">IF($Q$1&gt;Table1343[[#This Row],[Target Date]],TRUE,FALSE)</f>
        <v>1</v>
      </c>
    </row>
    <row r="130" spans="1:16" ht="54">
      <c r="A130" s="60" t="s">
        <v>1178</v>
      </c>
      <c r="C130" s="268"/>
      <c r="D130" s="268"/>
      <c r="E130" s="323" t="s">
        <v>311</v>
      </c>
      <c r="G130" s="268" t="s">
        <v>676</v>
      </c>
      <c r="H130" s="323"/>
      <c r="I130" s="55">
        <v>40857</v>
      </c>
      <c r="J130" s="323" t="s">
        <v>1227</v>
      </c>
      <c r="K130" s="323" t="s">
        <v>1263</v>
      </c>
      <c r="L130" s="403"/>
      <c r="M130" s="146" t="s">
        <v>2729</v>
      </c>
      <c r="P130" s="188" t="b">
        <f ca="1">IF($Q$1&gt;Table1343[[#This Row],[Target Date]],TRUE,FALSE)</f>
        <v>1</v>
      </c>
    </row>
    <row r="131" spans="1:16" ht="67.5">
      <c r="A131" s="60" t="s">
        <v>1179</v>
      </c>
      <c r="C131" s="268"/>
      <c r="D131" s="268"/>
      <c r="E131" s="323" t="s">
        <v>311</v>
      </c>
      <c r="G131" s="268" t="s">
        <v>676</v>
      </c>
      <c r="H131" s="323"/>
      <c r="I131" s="55">
        <v>40857</v>
      </c>
      <c r="J131" s="323" t="s">
        <v>1227</v>
      </c>
      <c r="K131" s="323" t="s">
        <v>1265</v>
      </c>
      <c r="L131" s="403"/>
      <c r="M131" s="146" t="s">
        <v>2713</v>
      </c>
      <c r="P131" s="188" t="b">
        <f ca="1">IF($Q$1&gt;Table1343[[#This Row],[Target Date]],TRUE,FALSE)</f>
        <v>1</v>
      </c>
    </row>
    <row r="132" spans="1:16" ht="54">
      <c r="A132" s="60" t="s">
        <v>1180</v>
      </c>
      <c r="C132" s="268"/>
      <c r="D132" s="268"/>
      <c r="E132" s="323" t="s">
        <v>311</v>
      </c>
      <c r="G132" s="268" t="s">
        <v>676</v>
      </c>
      <c r="H132" s="323"/>
      <c r="I132" s="55">
        <v>40857</v>
      </c>
      <c r="J132" s="323" t="s">
        <v>1227</v>
      </c>
      <c r="K132" s="323" t="s">
        <v>1266</v>
      </c>
      <c r="L132" s="162">
        <v>40977</v>
      </c>
      <c r="M132" s="146" t="s">
        <v>2681</v>
      </c>
      <c r="P132" s="188" t="b">
        <f ca="1">IF($Q$1&gt;Table1343[[#This Row],[Target Date]],TRUE,FALSE)</f>
        <v>1</v>
      </c>
    </row>
    <row r="133" spans="1:16" ht="54">
      <c r="A133" s="60" t="s">
        <v>1181</v>
      </c>
      <c r="C133" s="268"/>
      <c r="D133" s="268"/>
      <c r="E133" s="323" t="s">
        <v>311</v>
      </c>
      <c r="G133" s="268" t="s">
        <v>676</v>
      </c>
      <c r="H133" s="323"/>
      <c r="I133" s="55">
        <v>40857</v>
      </c>
      <c r="J133" s="323" t="s">
        <v>1227</v>
      </c>
      <c r="K133" s="323" t="s">
        <v>1267</v>
      </c>
      <c r="L133" s="162">
        <v>40977</v>
      </c>
      <c r="M133" s="146" t="s">
        <v>2673</v>
      </c>
      <c r="P133" s="188" t="b">
        <f ca="1">IF($Q$1&gt;Table1343[[#This Row],[Target Date]],TRUE,FALSE)</f>
        <v>1</v>
      </c>
    </row>
    <row r="134" spans="1:16" ht="54">
      <c r="A134" s="60" t="s">
        <v>1182</v>
      </c>
      <c r="C134" s="268"/>
      <c r="D134" s="268"/>
      <c r="E134" s="323" t="s">
        <v>311</v>
      </c>
      <c r="G134" s="268" t="s">
        <v>676</v>
      </c>
      <c r="H134" s="323"/>
      <c r="I134" s="55">
        <v>40857</v>
      </c>
      <c r="J134" s="323" t="s">
        <v>1227</v>
      </c>
      <c r="K134" s="324" t="s">
        <v>1268</v>
      </c>
      <c r="L134" s="358">
        <v>40977</v>
      </c>
      <c r="M134" s="146" t="s">
        <v>2673</v>
      </c>
      <c r="P134" s="188" t="b">
        <f ca="1">IF($Q$1&gt;Table1343[[#This Row],[Target Date]],TRUE,FALSE)</f>
        <v>1</v>
      </c>
    </row>
    <row r="135" spans="1:16" ht="54">
      <c r="A135" s="60" t="s">
        <v>1183</v>
      </c>
      <c r="C135" s="268"/>
      <c r="D135" s="268"/>
      <c r="E135" s="323" t="s">
        <v>311</v>
      </c>
      <c r="G135" s="268" t="s">
        <v>676</v>
      </c>
      <c r="H135" s="323"/>
      <c r="I135" s="55">
        <v>40857</v>
      </c>
      <c r="J135" s="323" t="s">
        <v>1227</v>
      </c>
      <c r="K135" s="323" t="s">
        <v>1269</v>
      </c>
      <c r="L135" s="162">
        <v>40977</v>
      </c>
      <c r="M135" s="146" t="s">
        <v>2673</v>
      </c>
      <c r="P135" s="188" t="b">
        <f ca="1">IF($Q$1&gt;Table1343[[#This Row],[Target Date]],TRUE,FALSE)</f>
        <v>1</v>
      </c>
    </row>
    <row r="136" spans="1:16" ht="54">
      <c r="A136" s="60" t="s">
        <v>1184</v>
      </c>
      <c r="C136" s="268"/>
      <c r="D136" s="268"/>
      <c r="E136" s="323" t="s">
        <v>311</v>
      </c>
      <c r="G136" s="268" t="s">
        <v>676</v>
      </c>
      <c r="H136" s="323"/>
      <c r="I136" s="55">
        <v>40857</v>
      </c>
      <c r="J136" s="323" t="s">
        <v>1227</v>
      </c>
      <c r="K136" s="323" t="s">
        <v>1270</v>
      </c>
      <c r="L136" s="162">
        <v>40977</v>
      </c>
      <c r="M136" s="146" t="s">
        <v>2673</v>
      </c>
      <c r="P136" s="188" t="b">
        <f ca="1">IF($Q$1&gt;Table1343[[#This Row],[Target Date]],TRUE,FALSE)</f>
        <v>1</v>
      </c>
    </row>
    <row r="137" spans="1:16" ht="54">
      <c r="A137" s="60" t="s">
        <v>1185</v>
      </c>
      <c r="C137" s="268"/>
      <c r="D137" s="268"/>
      <c r="E137" s="323" t="s">
        <v>311</v>
      </c>
      <c r="G137" s="268" t="s">
        <v>676</v>
      </c>
      <c r="H137" s="323"/>
      <c r="I137" s="55">
        <v>40857</v>
      </c>
      <c r="J137" s="323" t="s">
        <v>1227</v>
      </c>
      <c r="K137" s="323" t="s">
        <v>1271</v>
      </c>
      <c r="L137" s="162">
        <v>40977</v>
      </c>
      <c r="M137" s="146" t="s">
        <v>2673</v>
      </c>
      <c r="P137" s="188" t="b">
        <f ca="1">IF($Q$1&gt;Table1343[[#This Row],[Target Date]],TRUE,FALSE)</f>
        <v>1</v>
      </c>
    </row>
    <row r="138" spans="1:16" ht="81">
      <c r="A138" s="60" t="s">
        <v>1186</v>
      </c>
      <c r="C138" s="268"/>
      <c r="D138" s="268"/>
      <c r="E138" s="323" t="s">
        <v>311</v>
      </c>
      <c r="G138" s="268" t="s">
        <v>676</v>
      </c>
      <c r="H138" s="323"/>
      <c r="I138" s="55">
        <v>40857</v>
      </c>
      <c r="J138" s="323" t="s">
        <v>1227</v>
      </c>
      <c r="K138" s="323" t="s">
        <v>1272</v>
      </c>
      <c r="L138" s="162">
        <v>40977</v>
      </c>
      <c r="M138" s="146" t="s">
        <v>2680</v>
      </c>
      <c r="P138" s="188" t="b">
        <f ca="1">IF($Q$1&gt;Table1343[[#This Row],[Target Date]],TRUE,FALSE)</f>
        <v>1</v>
      </c>
    </row>
    <row r="139" spans="1:16" ht="135">
      <c r="A139" s="60" t="s">
        <v>1187</v>
      </c>
      <c r="C139" s="268"/>
      <c r="D139" s="268"/>
      <c r="E139" s="323" t="s">
        <v>311</v>
      </c>
      <c r="G139" s="268" t="s">
        <v>676</v>
      </c>
      <c r="H139" s="323"/>
      <c r="I139" s="55">
        <v>40857</v>
      </c>
      <c r="J139" s="323" t="s">
        <v>1227</v>
      </c>
      <c r="K139" s="323" t="s">
        <v>1274</v>
      </c>
      <c r="L139" s="403"/>
      <c r="M139" s="146" t="s">
        <v>2712</v>
      </c>
      <c r="P139" s="188" t="b">
        <f ca="1">IF($Q$1&gt;Table1343[[#This Row],[Target Date]],TRUE,FALSE)</f>
        <v>1</v>
      </c>
    </row>
    <row r="140" spans="1:16" ht="81">
      <c r="A140" s="60" t="s">
        <v>1188</v>
      </c>
      <c r="C140" s="268"/>
      <c r="D140" s="268"/>
      <c r="E140" s="323" t="s">
        <v>311</v>
      </c>
      <c r="G140" s="268" t="s">
        <v>676</v>
      </c>
      <c r="H140" s="323"/>
      <c r="I140" s="55">
        <v>40857</v>
      </c>
      <c r="J140" s="323" t="s">
        <v>1227</v>
      </c>
      <c r="K140" s="323" t="s">
        <v>1275</v>
      </c>
      <c r="L140" s="403"/>
      <c r="M140" s="146" t="s">
        <v>2689</v>
      </c>
      <c r="P140" s="188" t="b">
        <f ca="1">IF($Q$1&gt;Table1343[[#This Row],[Target Date]],TRUE,FALSE)</f>
        <v>1</v>
      </c>
    </row>
    <row r="141" spans="1:16" ht="81">
      <c r="A141" s="60" t="s">
        <v>1189</v>
      </c>
      <c r="C141" s="268"/>
      <c r="D141" s="268"/>
      <c r="E141" s="323" t="s">
        <v>311</v>
      </c>
      <c r="G141" s="268" t="s">
        <v>676</v>
      </c>
      <c r="H141" s="323"/>
      <c r="I141" s="55">
        <v>40858</v>
      </c>
      <c r="J141" s="323" t="s">
        <v>1227</v>
      </c>
      <c r="K141" s="323" t="s">
        <v>1277</v>
      </c>
      <c r="L141" s="162">
        <v>40977</v>
      </c>
      <c r="M141" s="146" t="s">
        <v>2686</v>
      </c>
      <c r="P141" s="188" t="b">
        <f ca="1">IF($Q$1&gt;Table1343[[#This Row],[Target Date]],TRUE,FALSE)</f>
        <v>1</v>
      </c>
    </row>
    <row r="142" spans="1:16" ht="81">
      <c r="A142" s="60" t="s">
        <v>1190</v>
      </c>
      <c r="C142" s="268"/>
      <c r="D142" s="268"/>
      <c r="E142" s="323" t="s">
        <v>311</v>
      </c>
      <c r="G142" s="268" t="s">
        <v>676</v>
      </c>
      <c r="H142" s="323"/>
      <c r="I142" s="55">
        <v>40858</v>
      </c>
      <c r="J142" s="323" t="s">
        <v>1227</v>
      </c>
      <c r="K142" s="323" t="s">
        <v>1278</v>
      </c>
      <c r="L142" s="403"/>
      <c r="M142" s="146" t="s">
        <v>2659</v>
      </c>
      <c r="P142" s="188" t="b">
        <f ca="1">IF($Q$1&gt;Table1343[[#This Row],[Target Date]],TRUE,FALSE)</f>
        <v>1</v>
      </c>
    </row>
    <row r="143" spans="1:16" ht="54">
      <c r="A143" s="60" t="s">
        <v>1191</v>
      </c>
      <c r="C143" s="268"/>
      <c r="D143" s="268"/>
      <c r="E143" s="323" t="s">
        <v>311</v>
      </c>
      <c r="G143" s="268" t="s">
        <v>676</v>
      </c>
      <c r="H143" s="323"/>
      <c r="I143" s="55">
        <v>40858</v>
      </c>
      <c r="J143" s="323" t="s">
        <v>1227</v>
      </c>
      <c r="K143" s="323" t="s">
        <v>1279</v>
      </c>
      <c r="L143" s="162">
        <v>40977</v>
      </c>
      <c r="M143" s="146" t="s">
        <v>2673</v>
      </c>
      <c r="P143" s="188" t="b">
        <f ca="1">IF($Q$1&gt;Table1343[[#This Row],[Target Date]],TRUE,FALSE)</f>
        <v>1</v>
      </c>
    </row>
    <row r="144" spans="1:16" ht="54">
      <c r="A144" s="60" t="s">
        <v>1192</v>
      </c>
      <c r="C144" s="268"/>
      <c r="D144" s="268"/>
      <c r="E144" s="323" t="s">
        <v>311</v>
      </c>
      <c r="G144" s="268" t="s">
        <v>676</v>
      </c>
      <c r="H144" s="323"/>
      <c r="I144" s="55">
        <v>40858</v>
      </c>
      <c r="J144" s="323" t="s">
        <v>1227</v>
      </c>
      <c r="K144" s="323" t="s">
        <v>1280</v>
      </c>
      <c r="L144" s="162">
        <v>40973</v>
      </c>
      <c r="M144" s="146" t="s">
        <v>2682</v>
      </c>
      <c r="P144" s="188" t="b">
        <f ca="1">IF($Q$1&gt;Table1343[[#This Row],[Target Date]],TRUE,FALSE)</f>
        <v>1</v>
      </c>
    </row>
    <row r="145" spans="1:16" ht="54">
      <c r="A145" s="60" t="s">
        <v>1193</v>
      </c>
      <c r="C145" s="268"/>
      <c r="D145" s="268"/>
      <c r="E145" s="323" t="s">
        <v>311</v>
      </c>
      <c r="G145" s="268" t="s">
        <v>676</v>
      </c>
      <c r="H145" s="323"/>
      <c r="I145" s="55">
        <v>40858</v>
      </c>
      <c r="J145" s="323" t="s">
        <v>1227</v>
      </c>
      <c r="K145" s="323" t="s">
        <v>1281</v>
      </c>
      <c r="L145" s="403"/>
      <c r="M145" s="146" t="s">
        <v>2685</v>
      </c>
      <c r="P145" s="188" t="b">
        <f ca="1">IF($Q$1&gt;Table1343[[#This Row],[Target Date]],TRUE,FALSE)</f>
        <v>1</v>
      </c>
    </row>
    <row r="146" spans="1:16" ht="54">
      <c r="A146" s="60" t="s">
        <v>1194</v>
      </c>
      <c r="C146" s="268"/>
      <c r="D146" s="268"/>
      <c r="E146" s="323" t="s">
        <v>311</v>
      </c>
      <c r="G146" s="268" t="s">
        <v>676</v>
      </c>
      <c r="H146" s="323"/>
      <c r="I146" s="55">
        <v>40858</v>
      </c>
      <c r="J146" s="323" t="s">
        <v>1227</v>
      </c>
      <c r="K146" s="323" t="s">
        <v>1282</v>
      </c>
      <c r="L146" s="403"/>
      <c r="M146" s="146" t="s">
        <v>2688</v>
      </c>
      <c r="P146" s="188" t="b">
        <f ca="1">IF($Q$1&gt;Table1343[[#This Row],[Target Date]],TRUE,FALSE)</f>
        <v>1</v>
      </c>
    </row>
    <row r="147" spans="1:16" ht="54">
      <c r="A147" s="60" t="s">
        <v>1195</v>
      </c>
      <c r="C147" s="268"/>
      <c r="D147" s="268"/>
      <c r="E147" s="323" t="s">
        <v>311</v>
      </c>
      <c r="G147" s="268" t="s">
        <v>676</v>
      </c>
      <c r="H147" s="323"/>
      <c r="I147" s="55">
        <v>40858</v>
      </c>
      <c r="J147" s="323" t="s">
        <v>1227</v>
      </c>
      <c r="K147" s="324" t="s">
        <v>1283</v>
      </c>
      <c r="L147" s="358">
        <v>40977</v>
      </c>
      <c r="M147" s="146" t="s">
        <v>2673</v>
      </c>
      <c r="P147" s="188" t="b">
        <f ca="1">IF($Q$1&gt;Table1343[[#This Row],[Target Date]],TRUE,FALSE)</f>
        <v>1</v>
      </c>
    </row>
    <row r="148" spans="1:16" ht="67.5">
      <c r="A148" s="60" t="s">
        <v>1196</v>
      </c>
      <c r="C148" s="268"/>
      <c r="D148" s="268"/>
      <c r="E148" s="323" t="s">
        <v>311</v>
      </c>
      <c r="G148" s="268" t="s">
        <v>676</v>
      </c>
      <c r="H148" s="323"/>
      <c r="I148" s="55">
        <v>40858</v>
      </c>
      <c r="J148" s="323" t="s">
        <v>1227</v>
      </c>
      <c r="K148" s="323" t="s">
        <v>1284</v>
      </c>
      <c r="L148" s="403"/>
      <c r="M148" s="146" t="s">
        <v>2672</v>
      </c>
      <c r="P148" s="188" t="b">
        <f ca="1">IF($Q$1&gt;Table1343[[#This Row],[Target Date]],TRUE,FALSE)</f>
        <v>1</v>
      </c>
    </row>
    <row r="149" spans="1:16" ht="54">
      <c r="A149" s="60" t="s">
        <v>1197</v>
      </c>
      <c r="C149" s="268"/>
      <c r="D149" s="268"/>
      <c r="E149" s="323" t="s">
        <v>311</v>
      </c>
      <c r="G149" s="268" t="s">
        <v>676</v>
      </c>
      <c r="H149" s="323"/>
      <c r="I149" s="55">
        <v>40858</v>
      </c>
      <c r="J149" s="323" t="s">
        <v>1227</v>
      </c>
      <c r="K149" s="323" t="s">
        <v>1285</v>
      </c>
      <c r="L149" s="162">
        <v>40977</v>
      </c>
      <c r="M149" s="146" t="s">
        <v>2714</v>
      </c>
      <c r="P149" s="188" t="b">
        <f ca="1">IF($Q$1&gt;Table1343[[#This Row],[Target Date]],TRUE,FALSE)</f>
        <v>1</v>
      </c>
    </row>
    <row r="150" spans="1:16" ht="54">
      <c r="A150" s="60" t="s">
        <v>1198</v>
      </c>
      <c r="C150" s="268"/>
      <c r="D150" s="268"/>
      <c r="E150" s="323" t="s">
        <v>311</v>
      </c>
      <c r="G150" s="268" t="s">
        <v>676</v>
      </c>
      <c r="H150" s="323"/>
      <c r="I150" s="55">
        <v>40861</v>
      </c>
      <c r="J150" s="323" t="s">
        <v>1227</v>
      </c>
      <c r="K150" s="199" t="s">
        <v>1286</v>
      </c>
      <c r="L150" s="359">
        <v>40973</v>
      </c>
      <c r="M150" s="146" t="s">
        <v>2696</v>
      </c>
      <c r="P150" s="188" t="b">
        <f ca="1">IF($Q$1&gt;Table1343[[#This Row],[Target Date]],TRUE,FALSE)</f>
        <v>1</v>
      </c>
    </row>
    <row r="151" spans="1:16" ht="54">
      <c r="A151" s="60" t="s">
        <v>1199</v>
      </c>
      <c r="C151" s="268"/>
      <c r="D151" s="268"/>
      <c r="E151" s="323" t="s">
        <v>311</v>
      </c>
      <c r="G151" s="268" t="s">
        <v>676</v>
      </c>
      <c r="H151" s="323"/>
      <c r="I151" s="55">
        <v>40861</v>
      </c>
      <c r="J151" s="323" t="s">
        <v>1227</v>
      </c>
      <c r="K151" s="199" t="s">
        <v>1289</v>
      </c>
      <c r="L151" s="360">
        <v>40977</v>
      </c>
      <c r="M151" s="146" t="s">
        <v>2673</v>
      </c>
      <c r="P151" s="188" t="b">
        <f ca="1">IF($Q$1&gt;Table1343[[#This Row],[Target Date]],TRUE,FALSE)</f>
        <v>1</v>
      </c>
    </row>
    <row r="152" spans="1:16" ht="54">
      <c r="A152" s="60" t="s">
        <v>1200</v>
      </c>
      <c r="C152" s="268"/>
      <c r="D152" s="268"/>
      <c r="E152" s="323" t="s">
        <v>311</v>
      </c>
      <c r="G152" s="268" t="s">
        <v>676</v>
      </c>
      <c r="H152" s="323"/>
      <c r="I152" s="55">
        <v>40861</v>
      </c>
      <c r="J152" s="323" t="s">
        <v>1227</v>
      </c>
      <c r="K152" s="323" t="s">
        <v>2695</v>
      </c>
      <c r="L152" s="162">
        <v>40977</v>
      </c>
      <c r="M152" s="146" t="s">
        <v>2694</v>
      </c>
      <c r="P152" s="188" t="b">
        <f ca="1">IF($Q$1&gt;Table1343[[#This Row],[Target Date]],TRUE,FALSE)</f>
        <v>1</v>
      </c>
    </row>
    <row r="153" spans="1:16" ht="54">
      <c r="A153" s="60" t="s">
        <v>1201</v>
      </c>
      <c r="C153" s="268"/>
      <c r="D153" s="268"/>
      <c r="E153" s="323" t="s">
        <v>311</v>
      </c>
      <c r="G153" s="268" t="s">
        <v>676</v>
      </c>
      <c r="H153" s="323"/>
      <c r="I153" s="55">
        <v>40861</v>
      </c>
      <c r="J153" s="323" t="s">
        <v>1227</v>
      </c>
      <c r="K153" s="323" t="s">
        <v>1290</v>
      </c>
      <c r="L153" s="162">
        <v>40977</v>
      </c>
      <c r="M153" s="146" t="s">
        <v>2679</v>
      </c>
      <c r="P153" s="188" t="b">
        <f ca="1">IF($Q$1&gt;Table1343[[#This Row],[Target Date]],TRUE,FALSE)</f>
        <v>1</v>
      </c>
    </row>
    <row r="154" spans="1:16" ht="54">
      <c r="A154" s="60" t="s">
        <v>1202</v>
      </c>
      <c r="C154" s="268"/>
      <c r="D154" s="268"/>
      <c r="E154" s="323" t="s">
        <v>311</v>
      </c>
      <c r="G154" s="268" t="s">
        <v>676</v>
      </c>
      <c r="H154" s="323"/>
      <c r="I154" s="55">
        <v>40861</v>
      </c>
      <c r="J154" s="323" t="s">
        <v>1227</v>
      </c>
      <c r="K154" s="323" t="s">
        <v>1291</v>
      </c>
      <c r="L154" s="162">
        <v>40977</v>
      </c>
      <c r="M154" s="146" t="s">
        <v>2677</v>
      </c>
      <c r="P154" s="188" t="b">
        <f ca="1">IF($Q$1&gt;Table1343[[#This Row],[Target Date]],TRUE,FALSE)</f>
        <v>1</v>
      </c>
    </row>
    <row r="155" spans="1:16" ht="67.5">
      <c r="A155" s="60" t="s">
        <v>1203</v>
      </c>
      <c r="C155" s="268"/>
      <c r="D155" s="268"/>
      <c r="E155" s="323" t="s">
        <v>311</v>
      </c>
      <c r="G155" s="268" t="s">
        <v>676</v>
      </c>
      <c r="H155" s="323"/>
      <c r="I155" s="55">
        <v>40862</v>
      </c>
      <c r="J155" s="323" t="s">
        <v>1227</v>
      </c>
      <c r="K155" s="188" t="s">
        <v>1292</v>
      </c>
      <c r="L155" s="404"/>
      <c r="M155" s="146" t="s">
        <v>2662</v>
      </c>
      <c r="P155" s="188" t="b">
        <f ca="1">IF($Q$1&gt;Table1343[[#This Row],[Target Date]],TRUE,FALSE)</f>
        <v>1</v>
      </c>
    </row>
    <row r="156" spans="1:16" s="58" customFormat="1" ht="81">
      <c r="A156" s="60" t="s">
        <v>1204</v>
      </c>
      <c r="B156" s="60"/>
      <c r="C156" s="268"/>
      <c r="D156" s="268"/>
      <c r="E156" s="6" t="s">
        <v>311</v>
      </c>
      <c r="F156" s="323"/>
      <c r="G156" s="268" t="s">
        <v>676</v>
      </c>
      <c r="H156" s="323"/>
      <c r="I156" s="55">
        <v>40862</v>
      </c>
      <c r="J156" s="6" t="s">
        <v>1227</v>
      </c>
      <c r="K156" s="6" t="s">
        <v>1293</v>
      </c>
      <c r="L156" s="403"/>
      <c r="M156" s="146" t="s">
        <v>2725</v>
      </c>
      <c r="O156" s="363"/>
      <c r="P156" s="188" t="b">
        <f ca="1">IF($Q$1&gt;Table1343[[#This Row],[Target Date]],TRUE,FALSE)</f>
        <v>1</v>
      </c>
    </row>
    <row r="157" spans="1:16" s="222" customFormat="1" ht="108" hidden="1">
      <c r="A157" s="60" t="s">
        <v>1456</v>
      </c>
      <c r="B157" s="60" t="s">
        <v>1570</v>
      </c>
      <c r="C157" s="265" t="s">
        <v>1116</v>
      </c>
      <c r="D157" s="265" t="s">
        <v>186</v>
      </c>
      <c r="E157" s="323" t="s">
        <v>311</v>
      </c>
      <c r="F157" s="323"/>
      <c r="G157" s="323" t="s">
        <v>965</v>
      </c>
      <c r="H157" s="162">
        <v>40942</v>
      </c>
      <c r="I157" s="261">
        <v>40949</v>
      </c>
      <c r="J157" s="323" t="s">
        <v>2022</v>
      </c>
      <c r="K157" s="323" t="s">
        <v>1838</v>
      </c>
      <c r="L157" s="162"/>
      <c r="M157" s="266" t="s">
        <v>2042</v>
      </c>
      <c r="O157" s="364"/>
      <c r="P157" s="188" t="b">
        <f ca="1">IF($Q$1&gt;Table1343[[#This Row],[Target Date]],TRUE,FALSE)</f>
        <v>1</v>
      </c>
    </row>
    <row r="158" spans="1:16" s="222" customFormat="1" ht="102" hidden="1">
      <c r="A158" s="223" t="s">
        <v>1345</v>
      </c>
      <c r="B158" s="223"/>
      <c r="C158" s="228"/>
      <c r="D158" s="228"/>
      <c r="E158" s="224" t="s">
        <v>311</v>
      </c>
      <c r="F158" s="224"/>
      <c r="G158" s="224" t="s">
        <v>965</v>
      </c>
      <c r="H158" s="231" t="s">
        <v>768</v>
      </c>
      <c r="I158" s="225">
        <v>40940</v>
      </c>
      <c r="J158" s="224" t="s">
        <v>1419</v>
      </c>
      <c r="K158" s="224" t="s">
        <v>1420</v>
      </c>
      <c r="L158" s="315"/>
      <c r="M158" s="226" t="s">
        <v>1883</v>
      </c>
      <c r="O158" s="364"/>
      <c r="P158" s="188" t="b">
        <f ca="1">IF($Q$1&gt;Table1343[[#This Row],[Target Date]],TRUE,FALSE)</f>
        <v>0</v>
      </c>
    </row>
    <row r="159" spans="1:16" s="222" customFormat="1" ht="63.75" hidden="1">
      <c r="A159" s="223" t="s">
        <v>1346</v>
      </c>
      <c r="B159" s="223"/>
      <c r="C159" s="228"/>
      <c r="D159" s="228"/>
      <c r="E159" s="224" t="s">
        <v>311</v>
      </c>
      <c r="F159" s="224"/>
      <c r="G159" s="224" t="s">
        <v>965</v>
      </c>
      <c r="H159" s="231" t="s">
        <v>768</v>
      </c>
      <c r="I159" s="225">
        <v>40940</v>
      </c>
      <c r="J159" s="224" t="s">
        <v>1419</v>
      </c>
      <c r="K159" s="224" t="s">
        <v>1421</v>
      </c>
      <c r="L159" s="315"/>
      <c r="M159" s="226" t="s">
        <v>1884</v>
      </c>
      <c r="O159" s="364"/>
      <c r="P159" s="188" t="b">
        <f ca="1">IF($Q$1&gt;Table1343[[#This Row],[Target Date]],TRUE,FALSE)</f>
        <v>0</v>
      </c>
    </row>
    <row r="160" spans="1:16" ht="63.75" hidden="1">
      <c r="A160" s="223" t="s">
        <v>1347</v>
      </c>
      <c r="B160" s="223"/>
      <c r="C160" s="228"/>
      <c r="D160" s="228"/>
      <c r="E160" s="224" t="s">
        <v>311</v>
      </c>
      <c r="F160" s="224"/>
      <c r="G160" s="224" t="s">
        <v>965</v>
      </c>
      <c r="H160" s="231" t="s">
        <v>768</v>
      </c>
      <c r="I160" s="225">
        <v>40940</v>
      </c>
      <c r="J160" s="224" t="s">
        <v>1419</v>
      </c>
      <c r="K160" s="224" t="s">
        <v>1422</v>
      </c>
      <c r="L160" s="315"/>
      <c r="M160" s="226" t="s">
        <v>1885</v>
      </c>
      <c r="P160" s="188" t="b">
        <f ca="1">IF($Q$1&gt;Table1343[[#This Row],[Target Date]],TRUE,FALSE)</f>
        <v>0</v>
      </c>
    </row>
    <row r="161" spans="1:16" s="222" customFormat="1" ht="54">
      <c r="A161" s="60" t="s">
        <v>1205</v>
      </c>
      <c r="B161" s="60"/>
      <c r="C161" s="268"/>
      <c r="D161" s="268"/>
      <c r="E161" s="323" t="s">
        <v>311</v>
      </c>
      <c r="F161" s="323"/>
      <c r="G161" s="268" t="s">
        <v>676</v>
      </c>
      <c r="H161" s="323"/>
      <c r="I161" s="55">
        <v>40862</v>
      </c>
      <c r="J161" s="323" t="s">
        <v>1227</v>
      </c>
      <c r="K161" s="323" t="s">
        <v>1294</v>
      </c>
      <c r="L161" s="162">
        <v>40977</v>
      </c>
      <c r="M161" s="146" t="s">
        <v>2678</v>
      </c>
      <c r="O161" s="364"/>
      <c r="P161" s="188" t="b">
        <f ca="1">IF($Q$1&gt;Table1343[[#This Row],[Target Date]],TRUE,FALSE)</f>
        <v>1</v>
      </c>
    </row>
    <row r="162" spans="1:16" ht="51" hidden="1">
      <c r="A162" s="223" t="s">
        <v>1348</v>
      </c>
      <c r="B162" s="223"/>
      <c r="C162" s="228"/>
      <c r="D162" s="228"/>
      <c r="E162" s="224" t="s">
        <v>311</v>
      </c>
      <c r="F162" s="224"/>
      <c r="G162" s="224" t="s">
        <v>965</v>
      </c>
      <c r="H162" s="231" t="s">
        <v>768</v>
      </c>
      <c r="I162" s="225">
        <v>40940</v>
      </c>
      <c r="J162" s="224" t="s">
        <v>1419</v>
      </c>
      <c r="K162" s="224" t="s">
        <v>1423</v>
      </c>
      <c r="L162" s="315"/>
      <c r="M162" s="226" t="s">
        <v>2024</v>
      </c>
      <c r="P162" s="188" t="b">
        <f ca="1">IF($Q$1&gt;Table1343[[#This Row],[Target Date]],TRUE,FALSE)</f>
        <v>0</v>
      </c>
    </row>
    <row r="163" spans="1:16" s="222" customFormat="1" ht="54">
      <c r="A163" s="60" t="s">
        <v>1206</v>
      </c>
      <c r="B163" s="60"/>
      <c r="C163" s="268"/>
      <c r="D163" s="268"/>
      <c r="E163" s="323" t="s">
        <v>311</v>
      </c>
      <c r="F163" s="323"/>
      <c r="G163" s="268" t="s">
        <v>676</v>
      </c>
      <c r="H163" s="323"/>
      <c r="I163" s="55">
        <v>40862</v>
      </c>
      <c r="J163" s="323" t="s">
        <v>1227</v>
      </c>
      <c r="K163" s="323" t="s">
        <v>1295</v>
      </c>
      <c r="L163" s="262">
        <v>40977</v>
      </c>
      <c r="M163" s="146" t="s">
        <v>2692</v>
      </c>
      <c r="O163" s="364"/>
      <c r="P163" s="188" t="b">
        <f ca="1">IF($Q$1&gt;Table1343[[#This Row],[Target Date]],TRUE,FALSE)</f>
        <v>1</v>
      </c>
    </row>
    <row r="164" spans="1:16" ht="38.25" hidden="1">
      <c r="A164" s="223" t="s">
        <v>1351</v>
      </c>
      <c r="B164" s="223"/>
      <c r="C164" s="228"/>
      <c r="D164" s="228"/>
      <c r="E164" s="224" t="s">
        <v>311</v>
      </c>
      <c r="F164" s="224"/>
      <c r="G164" s="224" t="s">
        <v>965</v>
      </c>
      <c r="H164" s="231" t="s">
        <v>768</v>
      </c>
      <c r="I164" s="225">
        <v>40940</v>
      </c>
      <c r="J164" s="224"/>
      <c r="K164" s="224" t="s">
        <v>1427</v>
      </c>
      <c r="L164" s="315"/>
      <c r="M164" s="226" t="s">
        <v>2025</v>
      </c>
      <c r="P164" s="188" t="b">
        <f ca="1">IF($Q$1&gt;Table1343[[#This Row],[Target Date]],TRUE,FALSE)</f>
        <v>0</v>
      </c>
    </row>
    <row r="165" spans="1:16" s="58" customFormat="1" ht="54">
      <c r="A165" s="60" t="s">
        <v>1207</v>
      </c>
      <c r="B165" s="60"/>
      <c r="C165" s="268"/>
      <c r="D165" s="268"/>
      <c r="E165" s="323" t="s">
        <v>311</v>
      </c>
      <c r="F165" s="323"/>
      <c r="G165" s="268" t="s">
        <v>676</v>
      </c>
      <c r="H165" s="323"/>
      <c r="I165" s="55">
        <v>40862</v>
      </c>
      <c r="J165" s="323" t="s">
        <v>1227</v>
      </c>
      <c r="K165" s="323" t="s">
        <v>1296</v>
      </c>
      <c r="L165" s="262">
        <v>40973</v>
      </c>
      <c r="M165" s="146" t="s">
        <v>2683</v>
      </c>
      <c r="O165" s="363"/>
      <c r="P165" s="188" t="b">
        <f ca="1">IF($Q$1&gt;Table1343[[#This Row],[Target Date]],TRUE,FALSE)</f>
        <v>1</v>
      </c>
    </row>
    <row r="166" spans="1:16" s="222" customFormat="1" ht="148.5" hidden="1">
      <c r="A166" s="60" t="s">
        <v>1353</v>
      </c>
      <c r="B166" s="60" t="s">
        <v>1570</v>
      </c>
      <c r="C166" s="267"/>
      <c r="D166" s="267" t="s">
        <v>1895</v>
      </c>
      <c r="E166" s="268" t="s">
        <v>311</v>
      </c>
      <c r="F166" s="268"/>
      <c r="G166" s="268" t="s">
        <v>965</v>
      </c>
      <c r="H166" s="269">
        <v>40982</v>
      </c>
      <c r="I166" s="270"/>
      <c r="J166" s="268" t="s">
        <v>1419</v>
      </c>
      <c r="K166" s="268" t="s">
        <v>1428</v>
      </c>
      <c r="L166" s="313"/>
      <c r="M166" s="146" t="s">
        <v>2012</v>
      </c>
      <c r="O166" s="364"/>
      <c r="P166" s="188" t="b">
        <f ca="1">IF($Q$1&gt;Table1343[[#This Row],[Target Date]],TRUE,FALSE)</f>
        <v>1</v>
      </c>
    </row>
    <row r="167" spans="1:16" ht="102" hidden="1">
      <c r="A167" s="223" t="s">
        <v>1354</v>
      </c>
      <c r="B167" s="223"/>
      <c r="C167" s="228"/>
      <c r="D167" s="228"/>
      <c r="E167" s="224" t="s">
        <v>311</v>
      </c>
      <c r="F167" s="224"/>
      <c r="G167" s="224" t="s">
        <v>965</v>
      </c>
      <c r="H167" s="231" t="s">
        <v>768</v>
      </c>
      <c r="I167" s="225">
        <v>40940</v>
      </c>
      <c r="J167" s="224" t="s">
        <v>1419</v>
      </c>
      <c r="K167" s="224" t="s">
        <v>1429</v>
      </c>
      <c r="L167" s="315"/>
      <c r="M167" s="226" t="s">
        <v>2026</v>
      </c>
      <c r="P167" s="188" t="b">
        <f ca="1">IF($Q$1&gt;Table1343[[#This Row],[Target Date]],TRUE,FALSE)</f>
        <v>0</v>
      </c>
    </row>
    <row r="168" spans="1:16" ht="94.5">
      <c r="A168" s="60" t="s">
        <v>1208</v>
      </c>
      <c r="C168" s="268"/>
      <c r="D168" s="268"/>
      <c r="E168" s="323" t="s">
        <v>311</v>
      </c>
      <c r="G168" s="268" t="s">
        <v>676</v>
      </c>
      <c r="H168" s="323"/>
      <c r="I168" s="55">
        <v>40862</v>
      </c>
      <c r="J168" s="323" t="s">
        <v>1227</v>
      </c>
      <c r="K168" s="323" t="s">
        <v>1298</v>
      </c>
      <c r="L168" s="162">
        <v>40977</v>
      </c>
      <c r="M168" s="146" t="s">
        <v>2668</v>
      </c>
      <c r="P168" s="188" t="b">
        <f ca="1">IF($Q$1&gt;Table1343[[#This Row],[Target Date]],TRUE,FALSE)</f>
        <v>1</v>
      </c>
    </row>
    <row r="169" spans="1:16" s="222" customFormat="1" ht="54">
      <c r="A169" s="60" t="s">
        <v>1209</v>
      </c>
      <c r="B169" s="60"/>
      <c r="C169" s="268"/>
      <c r="D169" s="268"/>
      <c r="E169" s="323" t="s">
        <v>311</v>
      </c>
      <c r="F169" s="323"/>
      <c r="G169" s="268" t="s">
        <v>676</v>
      </c>
      <c r="H169" s="323"/>
      <c r="I169" s="55">
        <v>40863</v>
      </c>
      <c r="J169" s="323" t="s">
        <v>1227</v>
      </c>
      <c r="K169" s="323" t="s">
        <v>1300</v>
      </c>
      <c r="L169" s="262">
        <v>40977</v>
      </c>
      <c r="M169" s="146" t="s">
        <v>2673</v>
      </c>
      <c r="O169" s="364"/>
      <c r="P169" s="188" t="b">
        <f ca="1">IF($Q$1&gt;Table1343[[#This Row],[Target Date]],TRUE,FALSE)</f>
        <v>1</v>
      </c>
    </row>
    <row r="170" spans="1:16" ht="38.25" hidden="1">
      <c r="A170" s="223" t="s">
        <v>1356</v>
      </c>
      <c r="B170" s="223"/>
      <c r="C170" s="228" t="s">
        <v>1889</v>
      </c>
      <c r="D170" s="228"/>
      <c r="E170" s="224" t="s">
        <v>311</v>
      </c>
      <c r="F170" s="224"/>
      <c r="G170" s="224" t="s">
        <v>965</v>
      </c>
      <c r="H170" s="231" t="s">
        <v>768</v>
      </c>
      <c r="I170" s="225">
        <v>40940</v>
      </c>
      <c r="J170" s="224" t="s">
        <v>1419</v>
      </c>
      <c r="K170" s="224" t="s">
        <v>1432</v>
      </c>
      <c r="L170" s="315"/>
      <c r="M170" s="226" t="s">
        <v>2027</v>
      </c>
      <c r="P170" s="188" t="b">
        <f ca="1">IF($Q$1&gt;Table1343[[#This Row],[Target Date]],TRUE,FALSE)</f>
        <v>0</v>
      </c>
    </row>
    <row r="171" spans="1:16" ht="54">
      <c r="A171" s="60" t="s">
        <v>1210</v>
      </c>
      <c r="C171" s="268"/>
      <c r="D171" s="268"/>
      <c r="E171" s="323" t="s">
        <v>311</v>
      </c>
      <c r="G171" s="268" t="s">
        <v>676</v>
      </c>
      <c r="H171" s="323"/>
      <c r="I171" s="55">
        <v>40863</v>
      </c>
      <c r="J171" s="323" t="s">
        <v>1227</v>
      </c>
      <c r="K171" s="323" t="s">
        <v>1301</v>
      </c>
      <c r="L171" s="162">
        <v>40977</v>
      </c>
      <c r="M171" s="146" t="s">
        <v>2673</v>
      </c>
      <c r="P171" s="188" t="b">
        <f ca="1">IF($Q$1&gt;Table1343[[#This Row],[Target Date]],TRUE,FALSE)</f>
        <v>1</v>
      </c>
    </row>
    <row r="172" spans="1:16" ht="54">
      <c r="A172" s="60" t="s">
        <v>1211</v>
      </c>
      <c r="C172" s="268"/>
      <c r="D172" s="268"/>
      <c r="E172" s="323" t="s">
        <v>311</v>
      </c>
      <c r="G172" s="268" t="s">
        <v>676</v>
      </c>
      <c r="H172" s="323"/>
      <c r="I172" s="55">
        <v>40863</v>
      </c>
      <c r="J172" s="323" t="s">
        <v>1227</v>
      </c>
      <c r="K172" s="361" t="s">
        <v>1302</v>
      </c>
      <c r="L172" s="162">
        <v>40977</v>
      </c>
      <c r="M172" s="146" t="s">
        <v>2673</v>
      </c>
      <c r="P172" s="188" t="b">
        <f ca="1">IF($Q$1&gt;Table1343[[#This Row],[Target Date]],TRUE,FALSE)</f>
        <v>1</v>
      </c>
    </row>
    <row r="173" spans="1:16" ht="54">
      <c r="A173" s="60" t="s">
        <v>1212</v>
      </c>
      <c r="C173" s="268"/>
      <c r="D173" s="268"/>
      <c r="E173" s="323" t="s">
        <v>311</v>
      </c>
      <c r="G173" s="268" t="s">
        <v>676</v>
      </c>
      <c r="H173" s="323"/>
      <c r="I173" s="55">
        <v>40863</v>
      </c>
      <c r="J173" s="323" t="s">
        <v>1227</v>
      </c>
      <c r="K173" s="323" t="s">
        <v>1303</v>
      </c>
      <c r="L173" s="162">
        <v>40977</v>
      </c>
      <c r="M173" s="146" t="s">
        <v>2691</v>
      </c>
      <c r="P173" s="188" t="b">
        <f ca="1">IF($Q$1&gt;Table1343[[#This Row],[Target Date]],TRUE,FALSE)</f>
        <v>1</v>
      </c>
    </row>
    <row r="174" spans="1:16" ht="54">
      <c r="A174" s="60" t="s">
        <v>1213</v>
      </c>
      <c r="C174" s="268"/>
      <c r="D174" s="268"/>
      <c r="E174" s="323" t="s">
        <v>311</v>
      </c>
      <c r="G174" s="268" t="s">
        <v>676</v>
      </c>
      <c r="H174" s="323"/>
      <c r="I174" s="55">
        <v>40864</v>
      </c>
      <c r="J174" s="323" t="s">
        <v>1227</v>
      </c>
      <c r="K174" s="323" t="s">
        <v>1304</v>
      </c>
      <c r="L174" s="403"/>
      <c r="M174" s="146" t="s">
        <v>2660</v>
      </c>
      <c r="P174" s="188" t="b">
        <f ca="1">IF($Q$1&gt;Table1343[[#This Row],[Target Date]],TRUE,FALSE)</f>
        <v>1</v>
      </c>
    </row>
    <row r="175" spans="1:16" ht="94.5">
      <c r="A175" s="60" t="s">
        <v>1214</v>
      </c>
      <c r="C175" s="268"/>
      <c r="D175" s="268"/>
      <c r="E175" s="323" t="s">
        <v>311</v>
      </c>
      <c r="G175" s="268" t="s">
        <v>676</v>
      </c>
      <c r="H175" s="323"/>
      <c r="I175" s="55">
        <v>40864</v>
      </c>
      <c r="J175" s="323" t="s">
        <v>1227</v>
      </c>
      <c r="K175" s="361" t="s">
        <v>1305</v>
      </c>
      <c r="L175" s="162">
        <v>40977</v>
      </c>
      <c r="M175" s="146" t="s">
        <v>2693</v>
      </c>
      <c r="P175" s="188" t="b">
        <f ca="1">IF($Q$1&gt;Table1343[[#This Row],[Target Date]],TRUE,FALSE)</f>
        <v>1</v>
      </c>
    </row>
    <row r="176" spans="1:16" ht="94.5">
      <c r="A176" s="60" t="s">
        <v>1455</v>
      </c>
      <c r="B176" s="60" t="s">
        <v>1570</v>
      </c>
      <c r="C176" s="265" t="s">
        <v>1116</v>
      </c>
      <c r="D176" s="265" t="s">
        <v>186</v>
      </c>
      <c r="E176" s="323" t="s">
        <v>311</v>
      </c>
      <c r="G176" s="323" t="s">
        <v>676</v>
      </c>
      <c r="H176" s="162">
        <v>40942</v>
      </c>
      <c r="I176" s="261">
        <v>40948</v>
      </c>
      <c r="J176" s="323" t="s">
        <v>1837</v>
      </c>
      <c r="K176" s="323" t="s">
        <v>1836</v>
      </c>
      <c r="L176" s="162">
        <v>40948</v>
      </c>
      <c r="M176" s="323" t="s">
        <v>2021</v>
      </c>
      <c r="P176" s="188" t="b">
        <f ca="1">IF($Q$1&gt;Table1343[[#This Row],[Target Date]],TRUE,FALSE)</f>
        <v>1</v>
      </c>
    </row>
    <row r="177" spans="1:16" ht="27">
      <c r="A177" s="60" t="s">
        <v>1350</v>
      </c>
      <c r="C177" s="268"/>
      <c r="D177" s="268"/>
      <c r="E177" s="268" t="s">
        <v>311</v>
      </c>
      <c r="F177" s="268"/>
      <c r="G177" s="268" t="s">
        <v>676</v>
      </c>
      <c r="H177" s="270" t="s">
        <v>768</v>
      </c>
      <c r="I177" s="270"/>
      <c r="J177" s="268"/>
      <c r="K177" s="268" t="s">
        <v>2360</v>
      </c>
      <c r="L177" s="313">
        <v>40973</v>
      </c>
      <c r="M177" s="146" t="s">
        <v>2674</v>
      </c>
      <c r="P177" s="188" t="b">
        <f ca="1">IF($Q$1&gt;Table1343[[#This Row],[Target Date]],TRUE,FALSE)</f>
        <v>0</v>
      </c>
    </row>
    <row r="178" spans="1:16" ht="378">
      <c r="A178" s="60" t="s">
        <v>1452</v>
      </c>
      <c r="B178" s="60" t="s">
        <v>1570</v>
      </c>
      <c r="C178" s="265" t="s">
        <v>1562</v>
      </c>
      <c r="D178" s="265" t="s">
        <v>1562</v>
      </c>
      <c r="E178" s="323" t="s">
        <v>311</v>
      </c>
      <c r="G178" s="323" t="s">
        <v>73</v>
      </c>
      <c r="H178" s="162">
        <v>40991</v>
      </c>
      <c r="J178" s="323" t="s">
        <v>1835</v>
      </c>
      <c r="K178" s="323" t="s">
        <v>2033</v>
      </c>
      <c r="M178" s="323" t="s">
        <v>2616</v>
      </c>
      <c r="P178" s="188" t="b">
        <f ca="1">IF($Q$1&gt;Table1343[[#This Row],[Target Date]],TRUE,FALSE)</f>
        <v>0</v>
      </c>
    </row>
    <row r="179" spans="1:16" ht="121.5">
      <c r="A179" s="60" t="s">
        <v>1466</v>
      </c>
      <c r="B179" s="60" t="s">
        <v>1570</v>
      </c>
      <c r="C179" s="265" t="s">
        <v>1116</v>
      </c>
      <c r="D179" s="265" t="s">
        <v>186</v>
      </c>
      <c r="E179" s="323" t="s">
        <v>311</v>
      </c>
      <c r="G179" s="323" t="s">
        <v>676</v>
      </c>
      <c r="I179" s="261">
        <v>40973</v>
      </c>
      <c r="J179" s="323" t="s">
        <v>2020</v>
      </c>
      <c r="K179" s="268" t="s">
        <v>2441</v>
      </c>
      <c r="L179" s="313">
        <v>40973</v>
      </c>
      <c r="M179" s="324" t="s">
        <v>2377</v>
      </c>
      <c r="P179" s="188" t="b">
        <f ca="1">IF($Q$1&gt;Table1343[[#This Row],[Target Date]],TRUE,FALSE)</f>
        <v>1</v>
      </c>
    </row>
    <row r="180" spans="1:16" ht="135">
      <c r="A180" s="60" t="s">
        <v>1457</v>
      </c>
      <c r="B180" s="60" t="s">
        <v>1570</v>
      </c>
      <c r="C180" s="265" t="s">
        <v>1116</v>
      </c>
      <c r="D180" s="265" t="s">
        <v>186</v>
      </c>
      <c r="E180" s="323" t="s">
        <v>311</v>
      </c>
      <c r="G180" s="323" t="s">
        <v>676</v>
      </c>
      <c r="H180" s="162">
        <v>40942</v>
      </c>
      <c r="I180" s="261">
        <v>40949</v>
      </c>
      <c r="J180" s="323" t="s">
        <v>2023</v>
      </c>
      <c r="K180" s="323" t="s">
        <v>2034</v>
      </c>
      <c r="L180" s="162">
        <v>40949</v>
      </c>
      <c r="M180" s="323" t="s">
        <v>2043</v>
      </c>
      <c r="P180" s="188" t="b">
        <f ca="1">IF($Q$1&gt;Table1343[[#This Row],[Target Date]],TRUE,FALSE)</f>
        <v>1</v>
      </c>
    </row>
    <row r="181" spans="1:16" s="58" customFormat="1" ht="81">
      <c r="A181" s="60" t="s">
        <v>1349</v>
      </c>
      <c r="B181" s="60" t="s">
        <v>1570</v>
      </c>
      <c r="C181" s="267" t="s">
        <v>186</v>
      </c>
      <c r="D181" s="267" t="s">
        <v>186</v>
      </c>
      <c r="E181" s="268" t="s">
        <v>311</v>
      </c>
      <c r="F181" s="268"/>
      <c r="G181" s="268" t="s">
        <v>676</v>
      </c>
      <c r="H181" s="269">
        <v>40968</v>
      </c>
      <c r="I181" s="270">
        <v>40949</v>
      </c>
      <c r="J181" s="268" t="s">
        <v>1424</v>
      </c>
      <c r="K181" s="268" t="s">
        <v>2044</v>
      </c>
      <c r="L181" s="313">
        <v>40949</v>
      </c>
      <c r="M181" s="146" t="s">
        <v>2036</v>
      </c>
      <c r="O181" s="363"/>
      <c r="P181" s="188" t="b">
        <f ca="1">IF($Q$1&gt;Table1343[[#This Row],[Target Date]],TRUE,FALSE)</f>
        <v>1</v>
      </c>
    </row>
    <row r="182" spans="1:16" ht="40.5" hidden="1">
      <c r="A182" s="60" t="s">
        <v>1469</v>
      </c>
      <c r="B182" s="60" t="s">
        <v>1570</v>
      </c>
      <c r="C182" s="265" t="s">
        <v>1116</v>
      </c>
      <c r="D182" s="265" t="s">
        <v>186</v>
      </c>
      <c r="E182" s="323" t="s">
        <v>311</v>
      </c>
      <c r="G182" s="323" t="s">
        <v>965</v>
      </c>
      <c r="J182" s="323" t="s">
        <v>962</v>
      </c>
      <c r="K182" s="323" t="s">
        <v>1844</v>
      </c>
      <c r="M182" s="324" t="s">
        <v>2028</v>
      </c>
      <c r="P182" s="188" t="b">
        <f ca="1">IF($Q$1&gt;Table1343[[#This Row],[Target Date]],TRUE,FALSE)</f>
        <v>1</v>
      </c>
    </row>
    <row r="183" spans="1:16" s="58" customFormat="1" ht="229.5">
      <c r="A183" s="60" t="s">
        <v>2420</v>
      </c>
      <c r="B183" s="61">
        <v>40948</v>
      </c>
      <c r="C183" s="265" t="s">
        <v>2018</v>
      </c>
      <c r="D183" s="265" t="s">
        <v>2019</v>
      </c>
      <c r="E183" s="6" t="s">
        <v>311</v>
      </c>
      <c r="F183" s="323"/>
      <c r="G183" s="6" t="s">
        <v>676</v>
      </c>
      <c r="H183" s="162">
        <v>40954</v>
      </c>
      <c r="I183" s="261">
        <v>40973</v>
      </c>
      <c r="J183" s="6" t="s">
        <v>2421</v>
      </c>
      <c r="K183" s="6" t="s">
        <v>2422</v>
      </c>
      <c r="L183" s="316">
        <v>40973</v>
      </c>
      <c r="M183" s="415" t="s">
        <v>2379</v>
      </c>
      <c r="O183" s="363"/>
      <c r="P183" s="188" t="b">
        <f ca="1">IF($Q$1&gt;Table1343[[#This Row],[Target Date]],TRUE,FALSE)</f>
        <v>1</v>
      </c>
    </row>
    <row r="184" spans="1:16" ht="40.5" hidden="1">
      <c r="A184" s="60" t="s">
        <v>1467</v>
      </c>
      <c r="B184" s="60" t="s">
        <v>1570</v>
      </c>
      <c r="C184" s="265" t="s">
        <v>1116</v>
      </c>
      <c r="D184" s="265" t="s">
        <v>186</v>
      </c>
      <c r="E184" s="323" t="s">
        <v>311</v>
      </c>
      <c r="G184" s="323" t="s">
        <v>965</v>
      </c>
      <c r="I184" s="261">
        <v>40949</v>
      </c>
      <c r="J184" s="323" t="s">
        <v>962</v>
      </c>
      <c r="K184" s="323" t="s">
        <v>1843</v>
      </c>
      <c r="M184" s="416" t="s">
        <v>2035</v>
      </c>
      <c r="P184" s="188" t="b">
        <f ca="1">IF($Q$1&gt;Table1343[[#This Row],[Target Date]],TRUE,FALSE)</f>
        <v>1</v>
      </c>
    </row>
    <row r="185" spans="1:16" ht="162">
      <c r="A185" s="60" t="s">
        <v>1359</v>
      </c>
      <c r="B185" s="60" t="s">
        <v>1570</v>
      </c>
      <c r="C185" s="267"/>
      <c r="D185" s="267" t="s">
        <v>1891</v>
      </c>
      <c r="E185" s="268" t="s">
        <v>311</v>
      </c>
      <c r="F185" s="268"/>
      <c r="G185" s="268" t="s">
        <v>676</v>
      </c>
      <c r="H185" s="269">
        <v>41034</v>
      </c>
      <c r="I185" s="270"/>
      <c r="J185" s="268" t="s">
        <v>1436</v>
      </c>
      <c r="K185" s="323" t="s">
        <v>1437</v>
      </c>
      <c r="L185" s="162">
        <v>40976</v>
      </c>
      <c r="M185" s="146" t="s">
        <v>2007</v>
      </c>
      <c r="P185" s="188" t="b">
        <f ca="1">IF($Q$1&gt;Table1343[[#This Row],[Target Date]],TRUE,FALSE)</f>
        <v>0</v>
      </c>
    </row>
    <row r="186" spans="1:16" ht="81">
      <c r="A186" s="60" t="s">
        <v>1355</v>
      </c>
      <c r="C186" s="267" t="s">
        <v>1889</v>
      </c>
      <c r="D186" s="267"/>
      <c r="E186" s="268" t="s">
        <v>311</v>
      </c>
      <c r="F186" s="268"/>
      <c r="G186" s="268" t="s">
        <v>676</v>
      </c>
      <c r="H186" s="269" t="s">
        <v>768</v>
      </c>
      <c r="I186" s="270">
        <v>40940</v>
      </c>
      <c r="J186" s="268" t="s">
        <v>1430</v>
      </c>
      <c r="K186" s="268" t="s">
        <v>1431</v>
      </c>
      <c r="L186" s="313">
        <v>40940</v>
      </c>
      <c r="M186" s="146" t="s">
        <v>1888</v>
      </c>
      <c r="P186" s="188" t="b">
        <f ca="1">IF($Q$1&gt;Table1343[[#This Row],[Target Date]],TRUE,FALSE)</f>
        <v>0</v>
      </c>
    </row>
    <row r="187" spans="1:16" ht="40.5">
      <c r="A187" s="60" t="s">
        <v>1358</v>
      </c>
      <c r="C187" s="268"/>
      <c r="D187" s="268"/>
      <c r="E187" s="268" t="s">
        <v>311</v>
      </c>
      <c r="F187" s="268"/>
      <c r="G187" s="268" t="s">
        <v>676</v>
      </c>
      <c r="H187" s="270">
        <v>40855</v>
      </c>
      <c r="I187" s="270">
        <v>40977</v>
      </c>
      <c r="J187" s="268" t="s">
        <v>1433</v>
      </c>
      <c r="K187" s="268" t="s">
        <v>1435</v>
      </c>
      <c r="L187" s="313">
        <v>40977</v>
      </c>
      <c r="M187" s="146" t="s">
        <v>2663</v>
      </c>
      <c r="P187" s="188" t="b">
        <f ca="1">IF($Q$1&gt;Table1343[[#This Row],[Target Date]],TRUE,FALSE)</f>
        <v>1</v>
      </c>
    </row>
    <row r="188" spans="1:16" ht="27">
      <c r="A188" s="60" t="s">
        <v>39</v>
      </c>
      <c r="C188" s="268"/>
      <c r="D188" s="268"/>
      <c r="E188" s="268" t="s">
        <v>311</v>
      </c>
      <c r="F188" s="268"/>
      <c r="G188" s="268" t="s">
        <v>676</v>
      </c>
      <c r="H188" s="268"/>
      <c r="I188" s="270">
        <v>40634</v>
      </c>
      <c r="J188" s="268" t="s">
        <v>166</v>
      </c>
      <c r="K188" s="268" t="s">
        <v>1217</v>
      </c>
      <c r="L188" s="313">
        <v>40973</v>
      </c>
      <c r="M188" s="146" t="s">
        <v>2359</v>
      </c>
      <c r="P188" s="188" t="b">
        <f ca="1">IF($Q$1&gt;Table1343[[#This Row],[Target Date]],TRUE,FALSE)</f>
        <v>1</v>
      </c>
    </row>
    <row r="189" spans="1:16" ht="121.5">
      <c r="A189" s="216" t="s">
        <v>1357</v>
      </c>
      <c r="B189" s="216"/>
      <c r="C189" s="267" t="s">
        <v>1889</v>
      </c>
      <c r="D189" s="267"/>
      <c r="E189" s="268" t="s">
        <v>311</v>
      </c>
      <c r="F189" s="268"/>
      <c r="G189" s="268" t="s">
        <v>676</v>
      </c>
      <c r="H189" s="269"/>
      <c r="I189" s="270">
        <v>40940</v>
      </c>
      <c r="J189" s="268" t="s">
        <v>1433</v>
      </c>
      <c r="K189" s="268" t="s">
        <v>1434</v>
      </c>
      <c r="L189" s="321">
        <v>40940</v>
      </c>
      <c r="M189" s="341" t="s">
        <v>1890</v>
      </c>
      <c r="P189" s="188" t="b">
        <f ca="1">IF($Q$1&gt;Table1343[[#This Row],[Target Date]],TRUE,FALSE)</f>
        <v>1</v>
      </c>
    </row>
    <row r="190" spans="1:16" ht="81">
      <c r="A190" s="216" t="s">
        <v>1352</v>
      </c>
      <c r="B190" s="216" t="s">
        <v>1570</v>
      </c>
      <c r="C190" s="267" t="s">
        <v>186</v>
      </c>
      <c r="D190" s="267" t="s">
        <v>186</v>
      </c>
      <c r="E190" s="268" t="s">
        <v>311</v>
      </c>
      <c r="F190" s="268"/>
      <c r="G190" s="268" t="s">
        <v>676</v>
      </c>
      <c r="H190" s="269"/>
      <c r="I190" s="270">
        <v>40949</v>
      </c>
      <c r="J190" s="268" t="s">
        <v>1424</v>
      </c>
      <c r="K190" s="268" t="s">
        <v>2037</v>
      </c>
      <c r="L190" s="321">
        <v>40949</v>
      </c>
      <c r="M190" s="341" t="s">
        <v>2038</v>
      </c>
      <c r="P190" s="188" t="b">
        <f ca="1">IF($Q$1&gt;Table1343[[#This Row],[Target Date]],TRUE,FALSE)</f>
        <v>1</v>
      </c>
    </row>
    <row r="191" spans="1:16" ht="40.5">
      <c r="A191" s="216" t="s">
        <v>1468</v>
      </c>
      <c r="B191" s="216" t="s">
        <v>1570</v>
      </c>
      <c r="C191" s="265" t="s">
        <v>1116</v>
      </c>
      <c r="D191" s="265" t="s">
        <v>186</v>
      </c>
      <c r="E191" s="323" t="s">
        <v>311</v>
      </c>
      <c r="G191" s="323" t="s">
        <v>676</v>
      </c>
      <c r="I191" s="261">
        <v>40948</v>
      </c>
      <c r="J191" s="323" t="s">
        <v>962</v>
      </c>
      <c r="K191" s="268" t="s">
        <v>2013</v>
      </c>
      <c r="L191" s="321">
        <v>40948</v>
      </c>
      <c r="M191" s="272" t="s">
        <v>2014</v>
      </c>
      <c r="P191" s="188" t="b">
        <f ca="1">IF($Q$1&gt;Table1343[[#This Row],[Target Date]],TRUE,FALSE)</f>
        <v>1</v>
      </c>
    </row>
    <row r="192" spans="1:16" ht="54">
      <c r="A192" s="216" t="s">
        <v>1470</v>
      </c>
      <c r="B192" s="216" t="s">
        <v>1570</v>
      </c>
      <c r="C192" s="265" t="s">
        <v>1116</v>
      </c>
      <c r="D192" s="265" t="s">
        <v>186</v>
      </c>
      <c r="E192" s="323" t="s">
        <v>311</v>
      </c>
      <c r="G192" s="323" t="s">
        <v>676</v>
      </c>
      <c r="I192" s="261">
        <v>40948</v>
      </c>
      <c r="J192" s="323" t="s">
        <v>962</v>
      </c>
      <c r="K192" s="268" t="s">
        <v>2015</v>
      </c>
      <c r="L192" s="321">
        <v>40948</v>
      </c>
      <c r="M192" s="272" t="s">
        <v>2016</v>
      </c>
      <c r="P192" s="188" t="b">
        <f ca="1">IF($Q$1&gt;Table1343[[#This Row],[Target Date]],TRUE,FALSE)</f>
        <v>1</v>
      </c>
    </row>
    <row r="193" spans="1:16" ht="256.5">
      <c r="A193" s="216" t="s">
        <v>1473</v>
      </c>
      <c r="B193" s="383">
        <v>40948</v>
      </c>
      <c r="C193" s="265" t="s">
        <v>2018</v>
      </c>
      <c r="D193" s="265" t="s">
        <v>2019</v>
      </c>
      <c r="E193" s="323" t="s">
        <v>311</v>
      </c>
      <c r="G193" s="323" t="s">
        <v>676</v>
      </c>
      <c r="H193" s="162">
        <v>40954</v>
      </c>
      <c r="J193" s="323" t="s">
        <v>1848</v>
      </c>
      <c r="K193" s="268" t="s">
        <v>2017</v>
      </c>
      <c r="L193" s="321"/>
      <c r="M193" s="272" t="s">
        <v>2810</v>
      </c>
      <c r="P193" s="188" t="b">
        <f ca="1">IF($Q$1&gt;Table1343[[#This Row],[Target Date]],TRUE,FALSE)</f>
        <v>1</v>
      </c>
    </row>
    <row r="194" spans="1:16" ht="175.5">
      <c r="A194" s="60" t="s">
        <v>2119</v>
      </c>
      <c r="B194" s="383">
        <v>40969</v>
      </c>
      <c r="C194" s="265" t="s">
        <v>166</v>
      </c>
      <c r="D194" s="265" t="s">
        <v>166</v>
      </c>
      <c r="E194" s="323" t="s">
        <v>311</v>
      </c>
      <c r="G194" s="323" t="s">
        <v>73</v>
      </c>
      <c r="H194" s="162">
        <v>41061</v>
      </c>
      <c r="K194" s="323" t="s">
        <v>2380</v>
      </c>
      <c r="L194" s="317"/>
      <c r="M194" s="272" t="s">
        <v>2611</v>
      </c>
      <c r="P194" s="188" t="b">
        <f ca="1">IF($Q$1&gt;Table1343[[#This Row],[Target Date]],TRUE,FALSE)</f>
        <v>0</v>
      </c>
    </row>
    <row r="195" spans="1:16" ht="121.5">
      <c r="A195" s="60" t="s">
        <v>2121</v>
      </c>
      <c r="B195" s="397">
        <v>40975</v>
      </c>
      <c r="C195" s="265" t="s">
        <v>317</v>
      </c>
      <c r="E195" s="323" t="s">
        <v>311</v>
      </c>
      <c r="G195" s="323" t="s">
        <v>73</v>
      </c>
      <c r="H195" s="162">
        <v>41019</v>
      </c>
      <c r="J195" s="323" t="s">
        <v>2592</v>
      </c>
      <c r="K195" s="323" t="s">
        <v>2520</v>
      </c>
      <c r="L195" s="317"/>
      <c r="M195" s="272" t="s">
        <v>2528</v>
      </c>
      <c r="P195" s="188" t="b">
        <f ca="1">IF($Q$1&gt;Table1343[[#This Row],[Target Date]],TRUE,FALSE)</f>
        <v>0</v>
      </c>
    </row>
    <row r="196" spans="1:16" ht="135">
      <c r="A196" s="60" t="s">
        <v>2122</v>
      </c>
      <c r="B196" s="385">
        <v>40975</v>
      </c>
      <c r="C196" s="265" t="s">
        <v>317</v>
      </c>
      <c r="E196" s="323" t="s">
        <v>311</v>
      </c>
      <c r="F196" s="323" t="s">
        <v>2761</v>
      </c>
      <c r="G196" s="323" t="s">
        <v>73</v>
      </c>
      <c r="H196" s="162">
        <v>41019</v>
      </c>
      <c r="J196" s="323" t="s">
        <v>2592</v>
      </c>
      <c r="K196" s="323" t="s">
        <v>2521</v>
      </c>
      <c r="M196" s="324" t="s">
        <v>2527</v>
      </c>
      <c r="P196" s="188" t="b">
        <f ca="1">IF($Q$1&gt;Table1343[[#This Row],[Target Date]],TRUE,FALSE)</f>
        <v>0</v>
      </c>
    </row>
    <row r="197" spans="1:16" ht="121.5">
      <c r="A197" s="60" t="s">
        <v>2143</v>
      </c>
      <c r="B197" s="385">
        <v>40975</v>
      </c>
      <c r="C197" s="265" t="s">
        <v>317</v>
      </c>
      <c r="E197" s="323" t="s">
        <v>311</v>
      </c>
      <c r="G197" s="323" t="s">
        <v>73</v>
      </c>
      <c r="H197" s="162">
        <v>41019</v>
      </c>
      <c r="J197" s="323" t="s">
        <v>2594</v>
      </c>
      <c r="K197" s="323" t="s">
        <v>2522</v>
      </c>
      <c r="M197" s="324" t="s">
        <v>2595</v>
      </c>
      <c r="P197" s="188" t="b">
        <f ca="1">IF($Q$1&gt;Table1343[[#This Row],[Target Date]],TRUE,FALSE)</f>
        <v>0</v>
      </c>
    </row>
    <row r="198" spans="1:16" s="58" customFormat="1" ht="81">
      <c r="A198" s="60" t="s">
        <v>2144</v>
      </c>
      <c r="B198" s="385">
        <v>40975</v>
      </c>
      <c r="C198" s="265" t="s">
        <v>317</v>
      </c>
      <c r="D198" s="265"/>
      <c r="E198" s="323" t="s">
        <v>311</v>
      </c>
      <c r="F198" s="323"/>
      <c r="G198" s="323" t="s">
        <v>73</v>
      </c>
      <c r="H198" s="162">
        <v>41019</v>
      </c>
      <c r="I198" s="261"/>
      <c r="J198" s="323" t="s">
        <v>2593</v>
      </c>
      <c r="K198" s="323" t="s">
        <v>2523</v>
      </c>
      <c r="L198" s="162"/>
      <c r="M198" s="324" t="s">
        <v>2526</v>
      </c>
      <c r="O198" s="363"/>
      <c r="P198" s="188" t="b">
        <f ca="1">IF($Q$1&gt;Table1343[[#This Row],[Target Date]],TRUE,FALSE)</f>
        <v>0</v>
      </c>
    </row>
    <row r="199" spans="1:16" s="58" customFormat="1" ht="81">
      <c r="A199" s="60" t="s">
        <v>2145</v>
      </c>
      <c r="B199" s="385">
        <v>40975</v>
      </c>
      <c r="C199" s="265" t="s">
        <v>317</v>
      </c>
      <c r="D199" s="265"/>
      <c r="E199" s="323" t="s">
        <v>311</v>
      </c>
      <c r="F199" s="323" t="s">
        <v>2761</v>
      </c>
      <c r="G199" s="323" t="s">
        <v>73</v>
      </c>
      <c r="H199" s="162">
        <v>41019</v>
      </c>
      <c r="I199" s="261"/>
      <c r="J199" s="323" t="s">
        <v>2592</v>
      </c>
      <c r="K199" s="323" t="s">
        <v>2524</v>
      </c>
      <c r="L199" s="162"/>
      <c r="M199" s="324" t="s">
        <v>2525</v>
      </c>
      <c r="O199" s="363"/>
      <c r="P199" s="188" t="b">
        <f ca="1">IF($Q$1&gt;Table1343[[#This Row],[Target Date]],TRUE,FALSE)</f>
        <v>0</v>
      </c>
    </row>
    <row r="200" spans="1:16" s="58" customFormat="1" ht="40.5">
      <c r="A200" s="60" t="s">
        <v>2146</v>
      </c>
      <c r="B200" s="385">
        <v>40975</v>
      </c>
      <c r="C200" s="265" t="s">
        <v>1116</v>
      </c>
      <c r="D200" s="265"/>
      <c r="E200" s="323" t="s">
        <v>311</v>
      </c>
      <c r="F200" s="323"/>
      <c r="G200" s="323" t="s">
        <v>676</v>
      </c>
      <c r="H200" s="162" t="s">
        <v>2609</v>
      </c>
      <c r="I200" s="261">
        <v>40977</v>
      </c>
      <c r="J200" s="323"/>
      <c r="K200" s="323" t="s">
        <v>2641</v>
      </c>
      <c r="L200" s="162">
        <v>40977</v>
      </c>
      <c r="M200" s="324" t="s">
        <v>2640</v>
      </c>
      <c r="O200" s="363"/>
      <c r="P200" s="188" t="b">
        <f ca="1">IF($Q$1&gt;Table1343[[#This Row],[Target Date]],TRUE,FALSE)</f>
        <v>0</v>
      </c>
    </row>
    <row r="201" spans="1:16" s="58" customFormat="1" ht="40.5">
      <c r="A201" s="60" t="s">
        <v>2147</v>
      </c>
      <c r="B201" s="385">
        <v>40975</v>
      </c>
      <c r="C201" s="265" t="s">
        <v>1116</v>
      </c>
      <c r="D201" s="265"/>
      <c r="E201" s="323" t="s">
        <v>311</v>
      </c>
      <c r="F201" s="323"/>
      <c r="G201" s="323" t="s">
        <v>676</v>
      </c>
      <c r="H201" s="162" t="s">
        <v>2609</v>
      </c>
      <c r="I201" s="261">
        <v>40977</v>
      </c>
      <c r="J201" s="323"/>
      <c r="K201" s="323" t="s">
        <v>2643</v>
      </c>
      <c r="L201" s="162">
        <v>40977</v>
      </c>
      <c r="M201" s="324" t="s">
        <v>2642</v>
      </c>
      <c r="O201" s="363"/>
      <c r="P201" s="188" t="b">
        <f ca="1">IF($Q$1&gt;Table1343[[#This Row],[Target Date]],TRUE,FALSE)</f>
        <v>0</v>
      </c>
    </row>
    <row r="202" spans="1:16" s="58" customFormat="1" ht="27" hidden="1">
      <c r="A202" s="60" t="s">
        <v>2148</v>
      </c>
      <c r="B202" s="385">
        <v>40975</v>
      </c>
      <c r="C202" s="265" t="s">
        <v>1116</v>
      </c>
      <c r="D202" s="265"/>
      <c r="E202" s="323" t="s">
        <v>311</v>
      </c>
      <c r="F202" s="323"/>
      <c r="G202" s="323" t="s">
        <v>965</v>
      </c>
      <c r="H202" s="162"/>
      <c r="I202" s="261"/>
      <c r="J202" s="323"/>
      <c r="K202" s="323" t="s">
        <v>2544</v>
      </c>
      <c r="L202" s="162"/>
      <c r="M202" s="324" t="s">
        <v>2610</v>
      </c>
      <c r="O202" s="363"/>
      <c r="P202" s="188" t="b">
        <f ca="1">IF($Q$1&gt;Table1343[[#This Row],[Target Date]],TRUE,FALSE)</f>
        <v>1</v>
      </c>
    </row>
    <row r="203" spans="1:16" s="58" customFormat="1" ht="27" hidden="1">
      <c r="A203" s="60" t="s">
        <v>2529</v>
      </c>
      <c r="B203" s="385">
        <v>40975</v>
      </c>
      <c r="C203" s="265" t="s">
        <v>1116</v>
      </c>
      <c r="D203" s="265"/>
      <c r="E203" s="323" t="s">
        <v>311</v>
      </c>
      <c r="F203" s="323"/>
      <c r="G203" s="323" t="s">
        <v>965</v>
      </c>
      <c r="H203" s="162"/>
      <c r="I203" s="261"/>
      <c r="J203" s="323"/>
      <c r="K203" s="323" t="s">
        <v>2545</v>
      </c>
      <c r="L203" s="162"/>
      <c r="M203" s="324" t="s">
        <v>2610</v>
      </c>
      <c r="O203" s="363"/>
      <c r="P203" s="188" t="b">
        <f ca="1">IF($Q$1&gt;Table1343[[#This Row],[Target Date]],TRUE,FALSE)</f>
        <v>1</v>
      </c>
    </row>
    <row r="204" spans="1:16" s="58" customFormat="1" ht="27">
      <c r="A204" s="60" t="s">
        <v>2530</v>
      </c>
      <c r="B204" s="385">
        <v>40975</v>
      </c>
      <c r="C204" s="265" t="s">
        <v>1116</v>
      </c>
      <c r="D204" s="265"/>
      <c r="E204" s="323" t="s">
        <v>311</v>
      </c>
      <c r="F204" s="323"/>
      <c r="G204" s="323" t="s">
        <v>73</v>
      </c>
      <c r="H204" s="162">
        <v>41034</v>
      </c>
      <c r="I204" s="261"/>
      <c r="J204" s="323"/>
      <c r="K204" s="323" t="s">
        <v>2546</v>
      </c>
      <c r="L204" s="162"/>
      <c r="M204" s="324"/>
      <c r="O204" s="363"/>
      <c r="P204" s="188" t="b">
        <f ca="1">IF($Q$1&gt;Table1343[[#This Row],[Target Date]],TRUE,FALSE)</f>
        <v>0</v>
      </c>
    </row>
    <row r="205" spans="1:16" s="58" customFormat="1" ht="54">
      <c r="A205" s="60" t="s">
        <v>2531</v>
      </c>
      <c r="B205" s="385">
        <v>40975</v>
      </c>
      <c r="C205" s="265" t="s">
        <v>1116</v>
      </c>
      <c r="D205" s="265"/>
      <c r="E205" s="323" t="s">
        <v>311</v>
      </c>
      <c r="F205" s="323"/>
      <c r="G205" s="323" t="s">
        <v>676</v>
      </c>
      <c r="H205" s="162"/>
      <c r="I205" s="261"/>
      <c r="J205" s="323"/>
      <c r="K205" s="323" t="s">
        <v>2547</v>
      </c>
      <c r="L205" s="162">
        <v>40975</v>
      </c>
      <c r="M205" s="324" t="s">
        <v>2548</v>
      </c>
      <c r="O205" s="363"/>
      <c r="P205" s="188" t="b">
        <f ca="1">IF($Q$1&gt;Table1343[[#This Row],[Target Date]],TRUE,FALSE)</f>
        <v>1</v>
      </c>
    </row>
    <row r="206" spans="1:16" s="58" customFormat="1" ht="54">
      <c r="A206" s="60" t="s">
        <v>2533</v>
      </c>
      <c r="B206" s="61">
        <v>40975</v>
      </c>
      <c r="C206" s="265" t="s">
        <v>166</v>
      </c>
      <c r="D206" s="265" t="s">
        <v>166</v>
      </c>
      <c r="E206" s="323" t="s">
        <v>311</v>
      </c>
      <c r="F206" s="323"/>
      <c r="G206" s="323" t="s">
        <v>676</v>
      </c>
      <c r="H206" s="162"/>
      <c r="I206" s="261">
        <v>40975</v>
      </c>
      <c r="J206" s="323" t="s">
        <v>2578</v>
      </c>
      <c r="K206" s="323" t="s">
        <v>2581</v>
      </c>
      <c r="L206" s="162">
        <v>40975</v>
      </c>
      <c r="M206" s="324" t="s">
        <v>2580</v>
      </c>
      <c r="O206" s="363"/>
      <c r="P206" s="188" t="b">
        <f ca="1">IF($Q$1&gt;Table1343[[#This Row],[Target Date]],TRUE,FALSE)</f>
        <v>1</v>
      </c>
    </row>
    <row r="207" spans="1:16" s="58" customFormat="1" ht="81">
      <c r="A207" s="60" t="s">
        <v>2534</v>
      </c>
      <c r="B207" s="273">
        <v>40980</v>
      </c>
      <c r="C207" s="265" t="s">
        <v>1116</v>
      </c>
      <c r="D207" s="265" t="s">
        <v>1882</v>
      </c>
      <c r="E207" s="323" t="s">
        <v>311</v>
      </c>
      <c r="F207" s="323" t="s">
        <v>2762</v>
      </c>
      <c r="G207" s="323" t="s">
        <v>73</v>
      </c>
      <c r="H207" s="162">
        <v>40988</v>
      </c>
      <c r="I207" s="261"/>
      <c r="J207" s="323" t="s">
        <v>1882</v>
      </c>
      <c r="K207" s="323" t="s">
        <v>2763</v>
      </c>
      <c r="L207" s="162"/>
      <c r="M207" s="324" t="s">
        <v>2950</v>
      </c>
      <c r="O207" s="363"/>
      <c r="P207" s="188" t="b">
        <f ca="1">IF($Q$1&gt;Table1343[[#This Row],[Target Date]],TRUE,FALSE)</f>
        <v>1</v>
      </c>
    </row>
    <row r="208" spans="1:16" s="58" customFormat="1" ht="234">
      <c r="A208" s="60" t="s">
        <v>2536</v>
      </c>
      <c r="B208" s="61">
        <v>40982</v>
      </c>
      <c r="C208" s="265" t="s">
        <v>2809</v>
      </c>
      <c r="D208" s="265" t="s">
        <v>2809</v>
      </c>
      <c r="E208" s="323" t="s">
        <v>311</v>
      </c>
      <c r="F208" s="323"/>
      <c r="G208" s="323" t="s">
        <v>676</v>
      </c>
      <c r="H208" s="162"/>
      <c r="I208" s="261">
        <v>40983</v>
      </c>
      <c r="J208" s="436" t="s">
        <v>2908</v>
      </c>
      <c r="K208" s="323" t="s">
        <v>2910</v>
      </c>
      <c r="L208" s="162">
        <v>40983</v>
      </c>
      <c r="M208" s="324" t="s">
        <v>2909</v>
      </c>
      <c r="O208" s="363"/>
      <c r="P208" s="188" t="b">
        <f ca="1">IF($Q$1&gt;Table1343[[#This Row],[Target Date]],TRUE,FALSE)</f>
        <v>1</v>
      </c>
    </row>
    <row r="209" spans="1:16" s="58" customFormat="1" ht="391.5">
      <c r="A209" s="60" t="s">
        <v>1368</v>
      </c>
      <c r="B209" s="60" t="s">
        <v>1570</v>
      </c>
      <c r="C209" s="267" t="s">
        <v>523</v>
      </c>
      <c r="D209" s="267" t="s">
        <v>523</v>
      </c>
      <c r="E209" s="268" t="s">
        <v>154</v>
      </c>
      <c r="F209" s="268"/>
      <c r="G209" s="268" t="s">
        <v>676</v>
      </c>
      <c r="H209" s="269">
        <v>40955</v>
      </c>
      <c r="I209" s="270">
        <v>40974</v>
      </c>
      <c r="J209" s="268" t="s">
        <v>1450</v>
      </c>
      <c r="K209" s="268" t="s">
        <v>1451</v>
      </c>
      <c r="L209" s="313">
        <v>40974</v>
      </c>
      <c r="M209" s="146" t="s">
        <v>2429</v>
      </c>
      <c r="O209" s="363"/>
      <c r="P209" s="188" t="b">
        <f ca="1">IF($Q$1&gt;Table1343[[#This Row],[Target Date]],TRUE,FALSE)</f>
        <v>1</v>
      </c>
    </row>
    <row r="210" spans="1:16" s="58" customFormat="1" ht="364.5">
      <c r="A210" s="60" t="s">
        <v>1369</v>
      </c>
      <c r="B210" s="60" t="s">
        <v>1570</v>
      </c>
      <c r="C210" s="265" t="s">
        <v>523</v>
      </c>
      <c r="D210" s="265" t="s">
        <v>523</v>
      </c>
      <c r="E210" s="323" t="s">
        <v>154</v>
      </c>
      <c r="F210" s="323"/>
      <c r="G210" s="323" t="s">
        <v>676</v>
      </c>
      <c r="H210" s="162">
        <v>41040</v>
      </c>
      <c r="I210" s="261">
        <v>40973</v>
      </c>
      <c r="J210" s="323" t="s">
        <v>2423</v>
      </c>
      <c r="K210" s="323" t="s">
        <v>2424</v>
      </c>
      <c r="L210" s="162">
        <v>40973</v>
      </c>
      <c r="M210" s="324" t="s">
        <v>2378</v>
      </c>
      <c r="O210" s="363"/>
      <c r="P210" s="188" t="b">
        <f ca="1">IF($Q$1&gt;Table1343[[#This Row],[Target Date]],TRUE,FALSE)</f>
        <v>0</v>
      </c>
    </row>
    <row r="211" spans="1:16" s="58" customFormat="1" ht="409.5">
      <c r="A211" s="60" t="s">
        <v>1472</v>
      </c>
      <c r="B211" s="60" t="s">
        <v>1570</v>
      </c>
      <c r="C211" s="265" t="s">
        <v>523</v>
      </c>
      <c r="D211" s="265" t="s">
        <v>523</v>
      </c>
      <c r="E211" s="323" t="s">
        <v>154</v>
      </c>
      <c r="F211" s="323"/>
      <c r="G211" s="323" t="s">
        <v>73</v>
      </c>
      <c r="H211" s="162">
        <v>41029</v>
      </c>
      <c r="I211" s="261">
        <v>40973</v>
      </c>
      <c r="J211" s="323" t="s">
        <v>2423</v>
      </c>
      <c r="K211" s="323" t="s">
        <v>2425</v>
      </c>
      <c r="L211" s="162">
        <v>40973</v>
      </c>
      <c r="M211" s="324" t="s">
        <v>2758</v>
      </c>
      <c r="O211" s="363"/>
      <c r="P211" s="188" t="b">
        <f ca="1">IF($Q$1&gt;Table1343[[#This Row],[Target Date]],TRUE,FALSE)</f>
        <v>0</v>
      </c>
    </row>
    <row r="212" spans="1:16" s="58" customFormat="1" ht="40.5">
      <c r="A212" s="60" t="s">
        <v>1147</v>
      </c>
      <c r="B212" s="60"/>
      <c r="C212" s="268"/>
      <c r="D212" s="268"/>
      <c r="E212" s="268" t="s">
        <v>154</v>
      </c>
      <c r="F212" s="268"/>
      <c r="G212" s="268" t="s">
        <v>676</v>
      </c>
      <c r="H212" s="268"/>
      <c r="I212" s="270">
        <v>40854</v>
      </c>
      <c r="J212" s="268" t="s">
        <v>445</v>
      </c>
      <c r="K212" s="268" t="s">
        <v>1229</v>
      </c>
      <c r="L212" s="313"/>
      <c r="M212" s="146" t="s">
        <v>1230</v>
      </c>
      <c r="O212" s="363"/>
      <c r="P212" s="188" t="b">
        <f ca="1">IF($Q$1&gt;Table1343[[#This Row],[Target Date]],TRUE,FALSE)</f>
        <v>1</v>
      </c>
    </row>
    <row r="213" spans="1:16" s="58" customFormat="1" ht="81">
      <c r="A213" s="60" t="s">
        <v>1341</v>
      </c>
      <c r="B213" s="60"/>
      <c r="C213" s="268"/>
      <c r="D213" s="268"/>
      <c r="E213" s="268" t="s">
        <v>154</v>
      </c>
      <c r="F213" s="268"/>
      <c r="G213" s="268" t="s">
        <v>676</v>
      </c>
      <c r="H213" s="268"/>
      <c r="I213" s="270">
        <v>40814</v>
      </c>
      <c r="J213" s="268" t="s">
        <v>1401</v>
      </c>
      <c r="K213" s="268" t="s">
        <v>1413</v>
      </c>
      <c r="L213" s="313"/>
      <c r="M213" s="146" t="s">
        <v>1414</v>
      </c>
      <c r="O213" s="363"/>
      <c r="P213" s="188" t="b">
        <f ca="1">IF($Q$1&gt;Table1343[[#This Row],[Target Date]],TRUE,FALSE)</f>
        <v>1</v>
      </c>
    </row>
    <row r="214" spans="1:16" s="58" customFormat="1" ht="202.5">
      <c r="A214" s="60" t="s">
        <v>1342</v>
      </c>
      <c r="B214" s="60"/>
      <c r="C214" s="268"/>
      <c r="D214" s="268"/>
      <c r="E214" s="268" t="s">
        <v>154</v>
      </c>
      <c r="F214" s="268"/>
      <c r="G214" s="268" t="s">
        <v>676</v>
      </c>
      <c r="H214" s="268"/>
      <c r="I214" s="270">
        <v>40820</v>
      </c>
      <c r="J214" s="268" t="s">
        <v>1401</v>
      </c>
      <c r="K214" s="146" t="s">
        <v>1415</v>
      </c>
      <c r="L214" s="314"/>
      <c r="M214" s="146" t="s">
        <v>1416</v>
      </c>
      <c r="O214" s="363"/>
      <c r="P214" s="188" t="b">
        <f ca="1">IF($Q$1&gt;Table1343[[#This Row],[Target Date]],TRUE,FALSE)</f>
        <v>1</v>
      </c>
    </row>
    <row r="215" spans="1:16" s="58" customFormat="1" ht="81">
      <c r="A215" s="60" t="s">
        <v>1343</v>
      </c>
      <c r="B215" s="60"/>
      <c r="C215" s="268"/>
      <c r="D215" s="268"/>
      <c r="E215" s="268" t="s">
        <v>154</v>
      </c>
      <c r="F215" s="268"/>
      <c r="G215" s="268" t="s">
        <v>676</v>
      </c>
      <c r="H215" s="268"/>
      <c r="I215" s="270">
        <v>40820</v>
      </c>
      <c r="J215" s="268" t="s">
        <v>1401</v>
      </c>
      <c r="K215" s="146" t="s">
        <v>1417</v>
      </c>
      <c r="L215" s="314"/>
      <c r="M215" s="146" t="s">
        <v>1093</v>
      </c>
      <c r="O215" s="363"/>
      <c r="P215" s="188" t="b">
        <f ca="1">IF($Q$1&gt;Table1343[[#This Row],[Target Date]],TRUE,FALSE)</f>
        <v>1</v>
      </c>
    </row>
    <row r="216" spans="1:16" s="58" customFormat="1" ht="405">
      <c r="A216" s="60" t="s">
        <v>1471</v>
      </c>
      <c r="B216" s="60" t="s">
        <v>1570</v>
      </c>
      <c r="C216" s="267" t="s">
        <v>523</v>
      </c>
      <c r="D216" s="267" t="s">
        <v>523</v>
      </c>
      <c r="E216" s="268" t="s">
        <v>154</v>
      </c>
      <c r="F216" s="268"/>
      <c r="G216" s="268" t="s">
        <v>676</v>
      </c>
      <c r="H216" s="269">
        <v>40984</v>
      </c>
      <c r="I216" s="270"/>
      <c r="J216" s="268" t="s">
        <v>321</v>
      </c>
      <c r="K216" s="268" t="s">
        <v>1847</v>
      </c>
      <c r="L216" s="313">
        <v>40980</v>
      </c>
      <c r="M216" s="146" t="s">
        <v>2738</v>
      </c>
      <c r="O216" s="363"/>
      <c r="P216" s="188" t="b">
        <f ca="1">IF($Q$1&gt;Table1343[[#This Row],[Target Date]],TRUE,FALSE)</f>
        <v>1</v>
      </c>
    </row>
    <row r="217" spans="1:16" s="58" customFormat="1" ht="40.5">
      <c r="A217" s="60" t="s">
        <v>1344</v>
      </c>
      <c r="B217" s="60"/>
      <c r="C217" s="268"/>
      <c r="D217" s="268"/>
      <c r="E217" s="268" t="s">
        <v>154</v>
      </c>
      <c r="F217" s="268"/>
      <c r="G217" s="268" t="s">
        <v>676</v>
      </c>
      <c r="H217" s="268"/>
      <c r="I217" s="270">
        <v>40820</v>
      </c>
      <c r="J217" s="268" t="s">
        <v>962</v>
      </c>
      <c r="K217" s="268" t="s">
        <v>1418</v>
      </c>
      <c r="L217" s="313"/>
      <c r="M217" s="146"/>
      <c r="O217" s="363"/>
      <c r="P217" s="188" t="b">
        <f ca="1">IF($Q$1&gt;Table1343[[#This Row],[Target Date]],TRUE,FALSE)</f>
        <v>1</v>
      </c>
    </row>
    <row r="218" spans="1:16" s="58" customFormat="1" hidden="1">
      <c r="A218" s="60" t="s">
        <v>2537</v>
      </c>
      <c r="B218" s="273"/>
      <c r="C218" s="265"/>
      <c r="D218" s="265"/>
      <c r="E218" s="323"/>
      <c r="F218" s="323"/>
      <c r="G218" s="323"/>
      <c r="H218" s="162"/>
      <c r="I218" s="261"/>
      <c r="J218" s="6"/>
      <c r="K218" s="6"/>
      <c r="L218" s="162"/>
      <c r="M218" s="18"/>
      <c r="O218" s="363"/>
    </row>
    <row r="219" spans="1:16" s="58" customFormat="1" hidden="1">
      <c r="A219" s="60" t="s">
        <v>2538</v>
      </c>
      <c r="B219" s="273"/>
      <c r="C219" s="265"/>
      <c r="D219" s="265"/>
      <c r="E219" s="323"/>
      <c r="F219" s="323"/>
      <c r="G219" s="323"/>
      <c r="H219" s="162"/>
      <c r="I219" s="261"/>
      <c r="J219" s="6"/>
      <c r="K219" s="6"/>
      <c r="L219" s="162"/>
      <c r="M219" s="18"/>
      <c r="O219" s="363"/>
    </row>
    <row r="220" spans="1:16" s="58" customFormat="1" hidden="1">
      <c r="A220" s="60" t="s">
        <v>2539</v>
      </c>
      <c r="B220" s="273"/>
      <c r="C220" s="265"/>
      <c r="D220" s="265"/>
      <c r="E220" s="323"/>
      <c r="F220" s="323"/>
      <c r="G220" s="323"/>
      <c r="H220" s="162"/>
      <c r="I220" s="261"/>
      <c r="J220" s="6"/>
      <c r="K220" s="6"/>
      <c r="L220" s="162"/>
      <c r="M220" s="18"/>
      <c r="O220" s="363"/>
    </row>
    <row r="221" spans="1:16" s="58" customFormat="1" hidden="1">
      <c r="A221" s="60" t="s">
        <v>2540</v>
      </c>
      <c r="B221" s="273"/>
      <c r="C221" s="265"/>
      <c r="D221" s="265"/>
      <c r="E221" s="323"/>
      <c r="F221" s="323"/>
      <c r="G221" s="323"/>
      <c r="H221" s="162"/>
      <c r="I221" s="261"/>
      <c r="J221" s="6"/>
      <c r="K221" s="6"/>
      <c r="L221" s="162"/>
      <c r="M221" s="18"/>
      <c r="O221" s="363"/>
    </row>
    <row r="222" spans="1:16" s="58" customFormat="1" hidden="1">
      <c r="A222" s="60" t="s">
        <v>2541</v>
      </c>
      <c r="B222" s="273"/>
      <c r="C222" s="265"/>
      <c r="D222" s="265"/>
      <c r="E222" s="323"/>
      <c r="F222" s="323"/>
      <c r="G222" s="323"/>
      <c r="H222" s="162"/>
      <c r="I222" s="261"/>
      <c r="J222" s="6"/>
      <c r="K222" s="6"/>
      <c r="L222" s="162"/>
      <c r="M222" s="18"/>
      <c r="O222" s="363"/>
    </row>
    <row r="223" spans="1:16" s="58" customFormat="1" hidden="1">
      <c r="A223" s="60" t="s">
        <v>2542</v>
      </c>
      <c r="B223" s="273"/>
      <c r="C223" s="265"/>
      <c r="D223" s="265"/>
      <c r="E223" s="323"/>
      <c r="F223" s="323"/>
      <c r="G223" s="323"/>
      <c r="H223" s="162"/>
      <c r="I223" s="261"/>
      <c r="J223" s="6"/>
      <c r="K223" s="6"/>
      <c r="L223" s="162"/>
      <c r="M223" s="18"/>
      <c r="O223" s="363"/>
    </row>
    <row r="224" spans="1:16" s="58" customFormat="1" hidden="1">
      <c r="A224" s="60" t="s">
        <v>2543</v>
      </c>
      <c r="B224" s="273"/>
      <c r="C224" s="265"/>
      <c r="D224" s="265"/>
      <c r="E224" s="323"/>
      <c r="F224" s="323"/>
      <c r="G224" s="323"/>
      <c r="H224" s="162"/>
      <c r="I224" s="261"/>
      <c r="J224" s="6"/>
      <c r="K224" s="6"/>
      <c r="L224" s="162"/>
      <c r="M224" s="18"/>
      <c r="O224" s="363"/>
    </row>
    <row r="225" spans="1:15" s="58" customFormat="1" hidden="1">
      <c r="A225" s="60" t="s">
        <v>2883</v>
      </c>
      <c r="B225" s="273"/>
      <c r="C225" s="265"/>
      <c r="D225" s="265"/>
      <c r="E225" s="323"/>
      <c r="F225" s="323"/>
      <c r="G225" s="323"/>
      <c r="H225" s="162"/>
      <c r="I225" s="261"/>
      <c r="J225" s="6"/>
      <c r="K225" s="6"/>
      <c r="L225" s="162"/>
      <c r="M225" s="18"/>
      <c r="O225" s="363"/>
    </row>
    <row r="226" spans="1:15" s="58" customFormat="1" hidden="1">
      <c r="A226" s="60"/>
      <c r="B226" s="60"/>
      <c r="C226" s="265"/>
      <c r="D226" s="265"/>
      <c r="E226" s="6"/>
      <c r="F226" s="323"/>
      <c r="G226" s="6"/>
      <c r="H226" s="162"/>
      <c r="I226" s="261"/>
      <c r="J226" s="6"/>
      <c r="K226" s="6"/>
      <c r="L226" s="162"/>
      <c r="M226" s="18"/>
      <c r="O226" s="363"/>
    </row>
    <row r="227" spans="1:15" s="58" customFormat="1" hidden="1">
      <c r="A227" s="60"/>
      <c r="B227" s="60"/>
      <c r="C227" s="265"/>
      <c r="D227" s="265"/>
      <c r="E227" s="6"/>
      <c r="F227" s="323"/>
      <c r="G227" s="6"/>
      <c r="H227" s="162"/>
      <c r="I227" s="261"/>
      <c r="J227" s="6"/>
      <c r="K227" s="6"/>
      <c r="L227" s="162"/>
      <c r="M227" s="18"/>
      <c r="O227" s="363"/>
    </row>
    <row r="228" spans="1:15" s="58" customFormat="1" hidden="1">
      <c r="A228" s="60"/>
      <c r="B228" s="60"/>
      <c r="C228" s="265"/>
      <c r="D228" s="265"/>
      <c r="E228" s="6"/>
      <c r="F228" s="323"/>
      <c r="G228" s="6"/>
      <c r="H228" s="162"/>
      <c r="I228" s="261"/>
      <c r="J228" s="6"/>
      <c r="K228" s="6"/>
      <c r="L228" s="162"/>
      <c r="M228" s="18"/>
      <c r="O228" s="363"/>
    </row>
    <row r="229" spans="1:15" s="58" customFormat="1" hidden="1">
      <c r="A229" s="60"/>
      <c r="B229" s="60"/>
      <c r="C229" s="265"/>
      <c r="D229" s="265"/>
      <c r="E229" s="6"/>
      <c r="F229" s="323"/>
      <c r="G229" s="6"/>
      <c r="H229" s="162"/>
      <c r="I229" s="261"/>
      <c r="J229" s="6"/>
      <c r="K229" s="6"/>
      <c r="L229" s="162"/>
      <c r="M229" s="18"/>
      <c r="O229" s="363"/>
    </row>
    <row r="230" spans="1:15" s="58" customFormat="1" hidden="1">
      <c r="A230" s="60"/>
      <c r="B230" s="60"/>
      <c r="C230" s="265"/>
      <c r="D230" s="265"/>
      <c r="E230" s="6"/>
      <c r="F230" s="323"/>
      <c r="G230" s="6"/>
      <c r="H230" s="162"/>
      <c r="I230" s="261"/>
      <c r="J230" s="6"/>
      <c r="K230" s="6"/>
      <c r="L230" s="162"/>
      <c r="M230" s="18"/>
      <c r="O230" s="363"/>
    </row>
    <row r="231" spans="1:15" s="58" customFormat="1" hidden="1">
      <c r="A231" s="60"/>
      <c r="B231" s="60"/>
      <c r="C231" s="265"/>
      <c r="D231" s="265"/>
      <c r="E231" s="6"/>
      <c r="F231" s="323"/>
      <c r="G231" s="6"/>
      <c r="H231" s="162"/>
      <c r="I231" s="261"/>
      <c r="J231" s="6"/>
      <c r="K231" s="6"/>
      <c r="L231" s="162"/>
      <c r="M231" s="18"/>
      <c r="O231" s="363"/>
    </row>
    <row r="232" spans="1:15" s="58" customFormat="1" hidden="1">
      <c r="A232" s="60"/>
      <c r="B232" s="60"/>
      <c r="C232" s="265"/>
      <c r="D232" s="265"/>
      <c r="E232" s="6"/>
      <c r="F232" s="323"/>
      <c r="G232" s="6"/>
      <c r="H232" s="162"/>
      <c r="I232" s="261"/>
      <c r="J232" s="6"/>
      <c r="K232" s="6"/>
      <c r="L232" s="162"/>
      <c r="M232" s="18"/>
      <c r="O232" s="363"/>
    </row>
    <row r="233" spans="1:15" s="58" customFormat="1" hidden="1">
      <c r="A233" s="60"/>
      <c r="B233" s="60"/>
      <c r="C233" s="265"/>
      <c r="D233" s="265"/>
      <c r="E233" s="6"/>
      <c r="F233" s="323"/>
      <c r="G233" s="6"/>
      <c r="H233" s="162"/>
      <c r="I233" s="261"/>
      <c r="J233" s="6"/>
      <c r="K233" s="6"/>
      <c r="L233" s="162"/>
      <c r="M233" s="18"/>
      <c r="O233" s="363"/>
    </row>
    <row r="234" spans="1:15" s="58" customFormat="1" hidden="1">
      <c r="A234" s="60"/>
      <c r="B234" s="60"/>
      <c r="C234" s="265"/>
      <c r="D234" s="265"/>
      <c r="E234" s="6"/>
      <c r="F234" s="323"/>
      <c r="G234" s="6"/>
      <c r="H234" s="162"/>
      <c r="I234" s="261"/>
      <c r="J234" s="6"/>
      <c r="K234" s="6"/>
      <c r="L234" s="162"/>
      <c r="M234" s="18"/>
      <c r="O234" s="363"/>
    </row>
    <row r="235" spans="1:15" s="58" customFormat="1" hidden="1">
      <c r="A235" s="60"/>
      <c r="B235" s="60"/>
      <c r="C235" s="265"/>
      <c r="D235" s="265"/>
      <c r="E235" s="6"/>
      <c r="F235" s="323"/>
      <c r="G235" s="6"/>
      <c r="H235" s="162"/>
      <c r="I235" s="261"/>
      <c r="J235" s="6"/>
      <c r="K235" s="6"/>
      <c r="L235" s="162"/>
      <c r="M235" s="18"/>
      <c r="O235" s="363"/>
    </row>
    <row r="236" spans="1:15" s="58" customFormat="1" hidden="1">
      <c r="A236" s="60"/>
      <c r="B236" s="60"/>
      <c r="C236" s="265"/>
      <c r="D236" s="265"/>
      <c r="E236" s="6"/>
      <c r="F236" s="323"/>
      <c r="G236" s="6"/>
      <c r="H236" s="162"/>
      <c r="I236" s="261"/>
      <c r="J236" s="6"/>
      <c r="K236" s="6"/>
      <c r="L236" s="162"/>
      <c r="M236" s="18"/>
      <c r="O236" s="363"/>
    </row>
    <row r="237" spans="1:15" s="58" customFormat="1" hidden="1">
      <c r="A237" s="60"/>
      <c r="B237" s="60"/>
      <c r="C237" s="265"/>
      <c r="D237" s="265"/>
      <c r="E237" s="6"/>
      <c r="F237" s="323"/>
      <c r="G237" s="6"/>
      <c r="H237" s="162"/>
      <c r="I237" s="261"/>
      <c r="J237" s="6"/>
      <c r="K237" s="6"/>
      <c r="L237" s="162"/>
      <c r="M237" s="18"/>
      <c r="O237" s="363"/>
    </row>
    <row r="238" spans="1:15" s="58" customFormat="1" hidden="1">
      <c r="A238" s="60"/>
      <c r="B238" s="60"/>
      <c r="C238" s="265"/>
      <c r="D238" s="265"/>
      <c r="E238" s="6"/>
      <c r="F238" s="323"/>
      <c r="G238" s="6"/>
      <c r="H238" s="162"/>
      <c r="I238" s="261"/>
      <c r="J238" s="6"/>
      <c r="K238" s="6"/>
      <c r="L238" s="162"/>
      <c r="M238" s="18"/>
      <c r="O238" s="363"/>
    </row>
    <row r="239" spans="1:15" s="58" customFormat="1" hidden="1">
      <c r="A239" s="60"/>
      <c r="B239" s="60"/>
      <c r="C239" s="265"/>
      <c r="D239" s="265"/>
      <c r="E239" s="6"/>
      <c r="F239" s="323"/>
      <c r="G239" s="6"/>
      <c r="H239" s="162"/>
      <c r="I239" s="261"/>
      <c r="J239" s="6"/>
      <c r="K239" s="6"/>
      <c r="L239" s="162"/>
      <c r="M239" s="18"/>
      <c r="O239" s="363"/>
    </row>
    <row r="240" spans="1:15" s="58" customFormat="1" hidden="1">
      <c r="A240" s="60"/>
      <c r="B240" s="60"/>
      <c r="C240" s="265"/>
      <c r="D240" s="265"/>
      <c r="E240" s="6"/>
      <c r="F240" s="323"/>
      <c r="G240" s="6"/>
      <c r="H240" s="162"/>
      <c r="I240" s="261"/>
      <c r="J240" s="6"/>
      <c r="K240" s="6"/>
      <c r="L240" s="162"/>
      <c r="M240" s="18"/>
      <c r="O240" s="363"/>
    </row>
    <row r="241" spans="1:15" s="58" customFormat="1" hidden="1">
      <c r="A241" s="60"/>
      <c r="B241" s="60"/>
      <c r="C241" s="265"/>
      <c r="D241" s="265"/>
      <c r="E241" s="6"/>
      <c r="F241" s="323"/>
      <c r="G241" s="6"/>
      <c r="H241" s="162"/>
      <c r="I241" s="261"/>
      <c r="J241" s="6"/>
      <c r="K241" s="6"/>
      <c r="L241" s="162"/>
      <c r="M241" s="18"/>
      <c r="O241" s="363"/>
    </row>
    <row r="242" spans="1:15" s="58" customFormat="1" hidden="1">
      <c r="A242" s="60"/>
      <c r="B242" s="60"/>
      <c r="C242" s="265"/>
      <c r="D242" s="265"/>
      <c r="E242" s="6"/>
      <c r="F242" s="323"/>
      <c r="G242" s="6"/>
      <c r="H242" s="162"/>
      <c r="I242" s="261"/>
      <c r="J242" s="6"/>
      <c r="K242" s="6"/>
      <c r="L242" s="162"/>
      <c r="M242" s="18"/>
      <c r="O242" s="363"/>
    </row>
    <row r="243" spans="1:15" s="58" customFormat="1" hidden="1">
      <c r="A243" s="60"/>
      <c r="B243" s="60"/>
      <c r="C243" s="265"/>
      <c r="D243" s="265"/>
      <c r="E243" s="6"/>
      <c r="F243" s="323"/>
      <c r="G243" s="6"/>
      <c r="H243" s="162"/>
      <c r="I243" s="261"/>
      <c r="J243" s="6"/>
      <c r="K243" s="6"/>
      <c r="L243" s="162"/>
      <c r="M243" s="18"/>
      <c r="O243" s="363"/>
    </row>
    <row r="244" spans="1:15" s="58" customFormat="1" hidden="1">
      <c r="A244" s="60"/>
      <c r="B244" s="60"/>
      <c r="C244" s="265"/>
      <c r="D244" s="265"/>
      <c r="E244" s="6"/>
      <c r="F244" s="323"/>
      <c r="G244" s="6"/>
      <c r="H244" s="162"/>
      <c r="I244" s="261"/>
      <c r="J244" s="6"/>
      <c r="K244" s="6"/>
      <c r="L244" s="162"/>
      <c r="M244" s="18"/>
      <c r="O244" s="363"/>
    </row>
    <row r="245" spans="1:15" s="58" customFormat="1" hidden="1">
      <c r="A245" s="60"/>
      <c r="B245" s="60"/>
      <c r="C245" s="265"/>
      <c r="D245" s="265"/>
      <c r="E245" s="6"/>
      <c r="F245" s="323"/>
      <c r="G245" s="6"/>
      <c r="H245" s="162"/>
      <c r="I245" s="261"/>
      <c r="J245" s="6"/>
      <c r="K245" s="6"/>
      <c r="L245" s="162"/>
      <c r="M245" s="18"/>
      <c r="O245" s="363"/>
    </row>
    <row r="246" spans="1:15" s="58" customFormat="1" hidden="1">
      <c r="A246" s="60"/>
      <c r="B246" s="60"/>
      <c r="C246" s="265"/>
      <c r="D246" s="265"/>
      <c r="E246" s="6"/>
      <c r="F246" s="323"/>
      <c r="G246" s="6"/>
      <c r="H246" s="162"/>
      <c r="I246" s="261"/>
      <c r="J246" s="6"/>
      <c r="K246" s="6"/>
      <c r="L246" s="162"/>
      <c r="M246" s="18"/>
      <c r="O246" s="363"/>
    </row>
    <row r="247" spans="1:15" s="58" customFormat="1" hidden="1">
      <c r="A247" s="60"/>
      <c r="B247" s="60"/>
      <c r="C247" s="265"/>
      <c r="D247" s="265"/>
      <c r="E247" s="6"/>
      <c r="F247" s="323"/>
      <c r="G247" s="6"/>
      <c r="H247" s="162"/>
      <c r="I247" s="261"/>
      <c r="J247" s="6"/>
      <c r="K247" s="6"/>
      <c r="L247" s="162"/>
      <c r="M247" s="18"/>
      <c r="O247" s="363"/>
    </row>
    <row r="248" spans="1:15" s="58" customFormat="1" hidden="1">
      <c r="A248" s="60"/>
      <c r="B248" s="60"/>
      <c r="C248" s="265"/>
      <c r="D248" s="265"/>
      <c r="E248" s="6"/>
      <c r="F248" s="323"/>
      <c r="G248" s="6"/>
      <c r="H248" s="162"/>
      <c r="I248" s="261"/>
      <c r="J248" s="6"/>
      <c r="K248" s="6"/>
      <c r="L248" s="162"/>
      <c r="M248" s="18"/>
      <c r="O248" s="363"/>
    </row>
    <row r="249" spans="1:15" s="58" customFormat="1" hidden="1">
      <c r="A249" s="60"/>
      <c r="B249" s="60"/>
      <c r="C249" s="265"/>
      <c r="D249" s="265"/>
      <c r="E249" s="6"/>
      <c r="F249" s="323"/>
      <c r="G249" s="6"/>
      <c r="H249" s="162"/>
      <c r="I249" s="261"/>
      <c r="J249" s="6"/>
      <c r="K249" s="6"/>
      <c r="L249" s="162"/>
      <c r="M249" s="18"/>
      <c r="O249" s="363"/>
    </row>
    <row r="250" spans="1:15" s="58" customFormat="1" hidden="1">
      <c r="A250" s="60"/>
      <c r="B250" s="60"/>
      <c r="C250" s="265"/>
      <c r="D250" s="265"/>
      <c r="E250" s="6"/>
      <c r="F250" s="323"/>
      <c r="G250" s="6"/>
      <c r="H250" s="162"/>
      <c r="I250" s="261"/>
      <c r="J250" s="6"/>
      <c r="K250" s="6"/>
      <c r="L250" s="162"/>
      <c r="M250" s="18"/>
      <c r="O250" s="363"/>
    </row>
    <row r="251" spans="1:15" s="58" customFormat="1" hidden="1">
      <c r="A251" s="60"/>
      <c r="B251" s="60"/>
      <c r="C251" s="265"/>
      <c r="D251" s="265"/>
      <c r="E251" s="6"/>
      <c r="F251" s="323"/>
      <c r="G251" s="6"/>
      <c r="H251" s="162"/>
      <c r="I251" s="261"/>
      <c r="J251" s="6"/>
      <c r="K251" s="6"/>
      <c r="L251" s="162"/>
      <c r="M251" s="18"/>
      <c r="O251" s="363"/>
    </row>
    <row r="252" spans="1:15" s="58" customFormat="1" hidden="1">
      <c r="A252" s="60"/>
      <c r="B252" s="60"/>
      <c r="C252" s="265"/>
      <c r="D252" s="265"/>
      <c r="E252" s="6"/>
      <c r="F252" s="323"/>
      <c r="G252" s="6"/>
      <c r="H252" s="162"/>
      <c r="I252" s="261"/>
      <c r="J252" s="6"/>
      <c r="K252" s="6"/>
      <c r="L252" s="162"/>
      <c r="M252" s="18"/>
      <c r="O252" s="363"/>
    </row>
    <row r="253" spans="1:15" s="58" customFormat="1" hidden="1">
      <c r="A253" s="60"/>
      <c r="B253" s="60"/>
      <c r="C253" s="265"/>
      <c r="D253" s="265"/>
      <c r="E253" s="6"/>
      <c r="F253" s="323"/>
      <c r="G253" s="6"/>
      <c r="H253" s="162"/>
      <c r="I253" s="261"/>
      <c r="J253" s="6"/>
      <c r="K253" s="6"/>
      <c r="L253" s="162"/>
      <c r="M253" s="18"/>
      <c r="O253" s="363"/>
    </row>
    <row r="254" spans="1:15" s="58" customFormat="1" hidden="1">
      <c r="A254" s="60"/>
      <c r="B254" s="60"/>
      <c r="C254" s="265"/>
      <c r="D254" s="265"/>
      <c r="E254" s="6"/>
      <c r="F254" s="323"/>
      <c r="G254" s="6"/>
      <c r="H254" s="162"/>
      <c r="I254" s="261"/>
      <c r="J254" s="6"/>
      <c r="K254" s="6"/>
      <c r="L254" s="162"/>
      <c r="M254" s="18"/>
      <c r="O254" s="363"/>
    </row>
    <row r="255" spans="1:15" s="58" customFormat="1" hidden="1">
      <c r="A255" s="60"/>
      <c r="B255" s="60"/>
      <c r="C255" s="265"/>
      <c r="D255" s="265"/>
      <c r="E255" s="6"/>
      <c r="F255" s="323"/>
      <c r="G255" s="6"/>
      <c r="H255" s="162"/>
      <c r="I255" s="261"/>
      <c r="J255" s="6"/>
      <c r="K255" s="6"/>
      <c r="L255" s="162"/>
      <c r="M255" s="18"/>
      <c r="O255" s="363"/>
    </row>
    <row r="256" spans="1:15" s="58" customFormat="1" hidden="1">
      <c r="A256" s="60"/>
      <c r="B256" s="60"/>
      <c r="C256" s="265"/>
      <c r="D256" s="265"/>
      <c r="E256" s="6"/>
      <c r="F256" s="323"/>
      <c r="G256" s="6"/>
      <c r="H256" s="162"/>
      <c r="I256" s="261"/>
      <c r="J256" s="6"/>
      <c r="K256" s="6"/>
      <c r="L256" s="162"/>
      <c r="M256" s="18"/>
      <c r="O256" s="363"/>
    </row>
    <row r="257" spans="1:15" s="58" customFormat="1" hidden="1">
      <c r="A257" s="60"/>
      <c r="B257" s="60"/>
      <c r="C257" s="265"/>
      <c r="D257" s="265"/>
      <c r="E257" s="6"/>
      <c r="F257" s="323"/>
      <c r="G257" s="6"/>
      <c r="H257" s="162"/>
      <c r="I257" s="261"/>
      <c r="J257" s="6"/>
      <c r="K257" s="6"/>
      <c r="L257" s="162"/>
      <c r="M257" s="18"/>
      <c r="O257" s="363"/>
    </row>
    <row r="258" spans="1:15" s="58" customFormat="1" hidden="1">
      <c r="A258" s="60"/>
      <c r="B258" s="60"/>
      <c r="C258" s="265"/>
      <c r="D258" s="265"/>
      <c r="E258" s="6"/>
      <c r="F258" s="323"/>
      <c r="G258" s="6"/>
      <c r="H258" s="162"/>
      <c r="I258" s="261"/>
      <c r="J258" s="6"/>
      <c r="K258" s="6"/>
      <c r="L258" s="162"/>
      <c r="M258" s="18"/>
      <c r="O258" s="363"/>
    </row>
    <row r="259" spans="1:15" s="58" customFormat="1" hidden="1">
      <c r="A259" s="60"/>
      <c r="B259" s="60"/>
      <c r="C259" s="265"/>
      <c r="D259" s="265"/>
      <c r="E259" s="6"/>
      <c r="F259" s="323"/>
      <c r="G259" s="6"/>
      <c r="H259" s="162"/>
      <c r="I259" s="261"/>
      <c r="J259" s="6"/>
      <c r="K259" s="6"/>
      <c r="L259" s="162"/>
      <c r="M259" s="18"/>
      <c r="O259" s="363"/>
    </row>
    <row r="260" spans="1:15" s="58" customFormat="1" hidden="1">
      <c r="A260" s="60"/>
      <c r="B260" s="60"/>
      <c r="C260" s="265"/>
      <c r="D260" s="265"/>
      <c r="E260" s="6"/>
      <c r="F260" s="323"/>
      <c r="G260" s="6"/>
      <c r="H260" s="162"/>
      <c r="I260" s="261"/>
      <c r="J260" s="6"/>
      <c r="K260" s="6"/>
      <c r="L260" s="162"/>
      <c r="M260" s="18"/>
      <c r="O260" s="363"/>
    </row>
    <row r="261" spans="1:15" s="58" customFormat="1" hidden="1">
      <c r="A261" s="60"/>
      <c r="B261" s="60"/>
      <c r="C261" s="265"/>
      <c r="D261" s="265"/>
      <c r="E261" s="6"/>
      <c r="F261" s="323"/>
      <c r="G261" s="6"/>
      <c r="H261" s="162"/>
      <c r="I261" s="261"/>
      <c r="J261" s="6"/>
      <c r="K261" s="6"/>
      <c r="L261" s="162"/>
      <c r="M261" s="18"/>
      <c r="O261" s="363"/>
    </row>
    <row r="262" spans="1:15" s="58" customFormat="1" hidden="1">
      <c r="A262" s="60"/>
      <c r="B262" s="60"/>
      <c r="C262" s="265"/>
      <c r="D262" s="265"/>
      <c r="E262" s="6"/>
      <c r="F262" s="323"/>
      <c r="G262" s="6"/>
      <c r="H262" s="162"/>
      <c r="I262" s="261"/>
      <c r="J262" s="6"/>
      <c r="K262" s="6"/>
      <c r="L262" s="162"/>
      <c r="M262" s="18"/>
      <c r="O262" s="363"/>
    </row>
    <row r="263" spans="1:15" s="58" customFormat="1" hidden="1">
      <c r="A263" s="60"/>
      <c r="B263" s="60"/>
      <c r="C263" s="265"/>
      <c r="D263" s="265"/>
      <c r="E263" s="6"/>
      <c r="F263" s="323"/>
      <c r="G263" s="6"/>
      <c r="H263" s="162"/>
      <c r="I263" s="261"/>
      <c r="J263" s="6"/>
      <c r="K263" s="6"/>
      <c r="L263" s="162"/>
      <c r="M263" s="18"/>
      <c r="O263" s="363"/>
    </row>
    <row r="264" spans="1:15" s="58" customFormat="1" hidden="1">
      <c r="A264" s="60"/>
      <c r="B264" s="60"/>
      <c r="C264" s="265"/>
      <c r="D264" s="265"/>
      <c r="E264" s="6"/>
      <c r="F264" s="323"/>
      <c r="G264" s="6"/>
      <c r="H264" s="162"/>
      <c r="I264" s="261"/>
      <c r="J264" s="6"/>
      <c r="K264" s="6"/>
      <c r="L264" s="162"/>
      <c r="M264" s="18"/>
      <c r="O264" s="363"/>
    </row>
    <row r="265" spans="1:15" s="58" customFormat="1" hidden="1">
      <c r="A265" s="60"/>
      <c r="B265" s="60"/>
      <c r="C265" s="265"/>
      <c r="D265" s="265"/>
      <c r="E265" s="6"/>
      <c r="F265" s="323"/>
      <c r="G265" s="6"/>
      <c r="H265" s="162"/>
      <c r="I265" s="261"/>
      <c r="J265" s="6"/>
      <c r="K265" s="6"/>
      <c r="L265" s="162"/>
      <c r="M265" s="18"/>
      <c r="O265" s="363"/>
    </row>
    <row r="266" spans="1:15" s="58" customFormat="1" hidden="1">
      <c r="A266" s="60"/>
      <c r="B266" s="60"/>
      <c r="C266" s="265"/>
      <c r="D266" s="265"/>
      <c r="E266" s="6"/>
      <c r="F266" s="323"/>
      <c r="G266" s="6"/>
      <c r="H266" s="162"/>
      <c r="I266" s="261"/>
      <c r="J266" s="6"/>
      <c r="K266" s="6"/>
      <c r="L266" s="162"/>
      <c r="M266" s="18"/>
      <c r="O266" s="363"/>
    </row>
    <row r="267" spans="1:15" s="58" customFormat="1" hidden="1">
      <c r="A267" s="60"/>
      <c r="B267" s="60"/>
      <c r="C267" s="265"/>
      <c r="D267" s="265"/>
      <c r="E267" s="6"/>
      <c r="F267" s="323"/>
      <c r="G267" s="6"/>
      <c r="H267" s="162"/>
      <c r="I267" s="261"/>
      <c r="J267" s="6"/>
      <c r="K267" s="6"/>
      <c r="L267" s="162"/>
      <c r="M267" s="18"/>
      <c r="O267" s="363"/>
    </row>
    <row r="268" spans="1:15" s="58" customFormat="1" hidden="1">
      <c r="A268" s="60"/>
      <c r="B268" s="60"/>
      <c r="C268" s="265"/>
      <c r="D268" s="265"/>
      <c r="E268" s="6"/>
      <c r="F268" s="323"/>
      <c r="G268" s="6"/>
      <c r="H268" s="162"/>
      <c r="I268" s="261"/>
      <c r="J268" s="6"/>
      <c r="K268" s="6"/>
      <c r="L268" s="162"/>
      <c r="M268" s="18"/>
      <c r="O268" s="363"/>
    </row>
    <row r="269" spans="1:15" s="58" customFormat="1" hidden="1">
      <c r="A269" s="60"/>
      <c r="B269" s="60"/>
      <c r="C269" s="265"/>
      <c r="D269" s="265"/>
      <c r="E269" s="6"/>
      <c r="F269" s="323"/>
      <c r="G269" s="6"/>
      <c r="H269" s="162"/>
      <c r="I269" s="261"/>
      <c r="J269" s="6"/>
      <c r="K269" s="6"/>
      <c r="L269" s="162"/>
      <c r="M269" s="18"/>
      <c r="O269" s="363"/>
    </row>
    <row r="270" spans="1:15" s="58" customFormat="1" hidden="1">
      <c r="A270" s="60"/>
      <c r="B270" s="60"/>
      <c r="C270" s="265"/>
      <c r="D270" s="265"/>
      <c r="E270" s="6"/>
      <c r="F270" s="323"/>
      <c r="G270" s="6"/>
      <c r="H270" s="162"/>
      <c r="I270" s="261"/>
      <c r="J270" s="6"/>
      <c r="K270" s="6"/>
      <c r="L270" s="162"/>
      <c r="M270" s="18"/>
      <c r="O270" s="363"/>
    </row>
    <row r="271" spans="1:15" s="58" customFormat="1" hidden="1">
      <c r="A271" s="60"/>
      <c r="B271" s="60"/>
      <c r="C271" s="265"/>
      <c r="D271" s="265"/>
      <c r="E271" s="6"/>
      <c r="F271" s="323"/>
      <c r="G271" s="6"/>
      <c r="H271" s="162"/>
      <c r="I271" s="261"/>
      <c r="J271" s="6"/>
      <c r="K271" s="6"/>
      <c r="L271" s="162"/>
      <c r="M271" s="18"/>
      <c r="O271" s="363"/>
    </row>
    <row r="272" spans="1:15" s="58" customFormat="1" hidden="1">
      <c r="A272" s="60"/>
      <c r="B272" s="60"/>
      <c r="C272" s="265"/>
      <c r="D272" s="265"/>
      <c r="E272" s="6"/>
      <c r="F272" s="323"/>
      <c r="G272" s="6"/>
      <c r="H272" s="162"/>
      <c r="I272" s="261"/>
      <c r="J272" s="6"/>
      <c r="K272" s="6"/>
      <c r="L272" s="162"/>
      <c r="M272" s="18"/>
      <c r="O272" s="363"/>
    </row>
    <row r="273" spans="1:15" s="58" customFormat="1" hidden="1">
      <c r="A273" s="60"/>
      <c r="B273" s="60"/>
      <c r="C273" s="265"/>
      <c r="D273" s="265"/>
      <c r="E273" s="6"/>
      <c r="F273" s="323"/>
      <c r="G273" s="6"/>
      <c r="H273" s="162"/>
      <c r="I273" s="261"/>
      <c r="J273" s="6"/>
      <c r="K273" s="6"/>
      <c r="L273" s="162"/>
      <c r="M273" s="18"/>
      <c r="O273" s="363"/>
    </row>
    <row r="274" spans="1:15" s="58" customFormat="1" hidden="1">
      <c r="A274" s="60"/>
      <c r="B274" s="60"/>
      <c r="C274" s="265"/>
      <c r="D274" s="265"/>
      <c r="E274" s="6"/>
      <c r="F274" s="323"/>
      <c r="G274" s="6"/>
      <c r="H274" s="162"/>
      <c r="I274" s="261"/>
      <c r="J274" s="6"/>
      <c r="K274" s="6"/>
      <c r="L274" s="162"/>
      <c r="M274" s="18"/>
      <c r="O274" s="363"/>
    </row>
    <row r="275" spans="1:15" s="58" customFormat="1" hidden="1">
      <c r="A275" s="60"/>
      <c r="B275" s="60"/>
      <c r="C275" s="265"/>
      <c r="D275" s="265"/>
      <c r="E275" s="6"/>
      <c r="F275" s="323"/>
      <c r="G275" s="6"/>
      <c r="H275" s="162"/>
      <c r="I275" s="261"/>
      <c r="J275" s="6"/>
      <c r="K275" s="6"/>
      <c r="L275" s="162"/>
      <c r="M275" s="18"/>
      <c r="O275" s="363"/>
    </row>
    <row r="276" spans="1:15" s="58" customFormat="1" hidden="1">
      <c r="A276" s="60"/>
      <c r="B276" s="60"/>
      <c r="C276" s="265"/>
      <c r="D276" s="265"/>
      <c r="E276" s="6"/>
      <c r="F276" s="323"/>
      <c r="G276" s="6"/>
      <c r="H276" s="162"/>
      <c r="I276" s="261"/>
      <c r="J276" s="6"/>
      <c r="K276" s="6"/>
      <c r="L276" s="162"/>
      <c r="M276" s="18"/>
      <c r="O276" s="363"/>
    </row>
    <row r="277" spans="1:15" s="58" customFormat="1" hidden="1">
      <c r="A277" s="60"/>
      <c r="B277" s="60"/>
      <c r="C277" s="265"/>
      <c r="D277" s="265"/>
      <c r="E277" s="6"/>
      <c r="F277" s="323"/>
      <c r="G277" s="6"/>
      <c r="H277" s="162"/>
      <c r="I277" s="261"/>
      <c r="J277" s="6"/>
      <c r="K277" s="6"/>
      <c r="L277" s="162"/>
      <c r="M277" s="18"/>
      <c r="O277" s="363"/>
    </row>
    <row r="278" spans="1:15" s="58" customFormat="1" hidden="1">
      <c r="A278" s="60"/>
      <c r="B278" s="60"/>
      <c r="C278" s="265"/>
      <c r="D278" s="265"/>
      <c r="E278" s="6"/>
      <c r="F278" s="323"/>
      <c r="G278" s="6"/>
      <c r="H278" s="162"/>
      <c r="I278" s="261"/>
      <c r="J278" s="6"/>
      <c r="K278" s="6"/>
      <c r="L278" s="162"/>
      <c r="M278" s="18"/>
      <c r="O278" s="363"/>
    </row>
    <row r="279" spans="1:15" s="58" customFormat="1" hidden="1">
      <c r="A279" s="60"/>
      <c r="B279" s="60"/>
      <c r="C279" s="265"/>
      <c r="D279" s="265"/>
      <c r="E279" s="6"/>
      <c r="F279" s="323"/>
      <c r="G279" s="6"/>
      <c r="H279" s="162"/>
      <c r="I279" s="261"/>
      <c r="J279" s="6"/>
      <c r="K279" s="6"/>
      <c r="L279" s="162"/>
      <c r="M279" s="18"/>
      <c r="O279" s="363"/>
    </row>
    <row r="280" spans="1:15" s="58" customFormat="1" hidden="1">
      <c r="A280" s="60"/>
      <c r="B280" s="60"/>
      <c r="C280" s="265"/>
      <c r="D280" s="265"/>
      <c r="E280" s="6"/>
      <c r="F280" s="323"/>
      <c r="G280" s="6"/>
      <c r="H280" s="162"/>
      <c r="I280" s="261"/>
      <c r="J280" s="6"/>
      <c r="K280" s="6"/>
      <c r="L280" s="162"/>
      <c r="M280" s="18"/>
      <c r="O280" s="363"/>
    </row>
    <row r="281" spans="1:15" s="58" customFormat="1" hidden="1">
      <c r="A281" s="60"/>
      <c r="B281" s="60"/>
      <c r="C281" s="265"/>
      <c r="D281" s="265"/>
      <c r="E281" s="6"/>
      <c r="F281" s="323"/>
      <c r="G281" s="6"/>
      <c r="H281" s="162"/>
      <c r="I281" s="261"/>
      <c r="J281" s="6"/>
      <c r="K281" s="6"/>
      <c r="L281" s="162"/>
      <c r="M281" s="18"/>
      <c r="O281" s="363"/>
    </row>
    <row r="282" spans="1:15" s="58" customFormat="1" hidden="1">
      <c r="A282" s="60"/>
      <c r="B282" s="60"/>
      <c r="C282" s="265"/>
      <c r="D282" s="265"/>
      <c r="E282" s="6"/>
      <c r="F282" s="323"/>
      <c r="G282" s="6"/>
      <c r="H282" s="162"/>
      <c r="I282" s="261"/>
      <c r="J282" s="6"/>
      <c r="K282" s="6"/>
      <c r="L282" s="162"/>
      <c r="M282" s="18"/>
      <c r="O282" s="363"/>
    </row>
    <row r="283" spans="1:15" s="58" customFormat="1" hidden="1">
      <c r="A283" s="60"/>
      <c r="B283" s="60"/>
      <c r="C283" s="265"/>
      <c r="D283" s="265"/>
      <c r="E283" s="6"/>
      <c r="F283" s="323"/>
      <c r="G283" s="6"/>
      <c r="H283" s="162"/>
      <c r="I283" s="261"/>
      <c r="J283" s="6"/>
      <c r="K283" s="6"/>
      <c r="L283" s="162"/>
      <c r="M283" s="18"/>
      <c r="O283" s="363"/>
    </row>
    <row r="284" spans="1:15" s="58" customFormat="1" hidden="1">
      <c r="A284" s="60"/>
      <c r="B284" s="60"/>
      <c r="C284" s="265"/>
      <c r="D284" s="265"/>
      <c r="E284" s="6"/>
      <c r="F284" s="323"/>
      <c r="G284" s="6"/>
      <c r="H284" s="162"/>
      <c r="I284" s="261"/>
      <c r="J284" s="6"/>
      <c r="K284" s="6"/>
      <c r="L284" s="162"/>
      <c r="M284" s="18"/>
      <c r="O284" s="363"/>
    </row>
    <row r="285" spans="1:15" s="58" customFormat="1" hidden="1">
      <c r="A285" s="60"/>
      <c r="B285" s="60"/>
      <c r="C285" s="265"/>
      <c r="D285" s="265"/>
      <c r="E285" s="6"/>
      <c r="F285" s="323"/>
      <c r="G285" s="6"/>
      <c r="H285" s="162"/>
      <c r="I285" s="261"/>
      <c r="J285" s="6"/>
      <c r="K285" s="6"/>
      <c r="L285" s="162"/>
      <c r="M285" s="18"/>
      <c r="O285" s="363"/>
    </row>
    <row r="286" spans="1:15" s="58" customFormat="1" hidden="1">
      <c r="A286" s="60"/>
      <c r="B286" s="60"/>
      <c r="C286" s="265"/>
      <c r="D286" s="265"/>
      <c r="E286" s="6"/>
      <c r="F286" s="323"/>
      <c r="G286" s="6"/>
      <c r="H286" s="162"/>
      <c r="I286" s="261"/>
      <c r="J286" s="6"/>
      <c r="K286" s="6"/>
      <c r="L286" s="162"/>
      <c r="M286" s="18"/>
      <c r="O286" s="363"/>
    </row>
    <row r="287" spans="1:15" s="58" customFormat="1" hidden="1">
      <c r="A287" s="60"/>
      <c r="B287" s="60"/>
      <c r="C287" s="265"/>
      <c r="D287" s="265"/>
      <c r="E287" s="6"/>
      <c r="F287" s="323"/>
      <c r="G287" s="6"/>
      <c r="H287" s="162"/>
      <c r="I287" s="261"/>
      <c r="J287" s="6"/>
      <c r="K287" s="6"/>
      <c r="L287" s="162"/>
      <c r="M287" s="18"/>
      <c r="O287" s="363"/>
    </row>
    <row r="288" spans="1:15" s="58" customFormat="1" hidden="1">
      <c r="A288" s="60"/>
      <c r="B288" s="60"/>
      <c r="C288" s="265"/>
      <c r="D288" s="265"/>
      <c r="E288" s="6"/>
      <c r="F288" s="323"/>
      <c r="G288" s="6"/>
      <c r="H288" s="162"/>
      <c r="I288" s="261"/>
      <c r="J288" s="6"/>
      <c r="K288" s="6"/>
      <c r="L288" s="162"/>
      <c r="M288" s="18"/>
      <c r="O288" s="363"/>
    </row>
    <row r="289" spans="1:15" s="58" customFormat="1" hidden="1">
      <c r="A289" s="60"/>
      <c r="B289" s="60"/>
      <c r="C289" s="265"/>
      <c r="D289" s="265"/>
      <c r="E289" s="6"/>
      <c r="F289" s="323"/>
      <c r="G289" s="6"/>
      <c r="H289" s="162"/>
      <c r="I289" s="261"/>
      <c r="J289" s="6"/>
      <c r="K289" s="6"/>
      <c r="L289" s="162"/>
      <c r="M289" s="18"/>
      <c r="O289" s="363"/>
    </row>
    <row r="290" spans="1:15" s="58" customFormat="1" hidden="1">
      <c r="A290" s="60"/>
      <c r="B290" s="60"/>
      <c r="C290" s="265"/>
      <c r="D290" s="265"/>
      <c r="E290" s="6"/>
      <c r="F290" s="323"/>
      <c r="G290" s="6"/>
      <c r="H290" s="162"/>
      <c r="I290" s="261"/>
      <c r="J290" s="6"/>
      <c r="K290" s="6"/>
      <c r="L290" s="162"/>
      <c r="M290" s="18"/>
      <c r="O290" s="363"/>
    </row>
    <row r="291" spans="1:15" s="58" customFormat="1" hidden="1">
      <c r="A291" s="60"/>
      <c r="B291" s="60"/>
      <c r="C291" s="265"/>
      <c r="D291" s="265"/>
      <c r="E291" s="6"/>
      <c r="F291" s="323"/>
      <c r="G291" s="6"/>
      <c r="H291" s="162"/>
      <c r="I291" s="261"/>
      <c r="J291" s="6"/>
      <c r="K291" s="6"/>
      <c r="L291" s="162"/>
      <c r="M291" s="18"/>
      <c r="O291" s="363"/>
    </row>
    <row r="292" spans="1:15" s="58" customFormat="1" hidden="1">
      <c r="A292" s="60"/>
      <c r="B292" s="60"/>
      <c r="C292" s="265"/>
      <c r="D292" s="265"/>
      <c r="E292" s="6"/>
      <c r="F292" s="323"/>
      <c r="G292" s="6"/>
      <c r="H292" s="162"/>
      <c r="I292" s="261"/>
      <c r="J292" s="6"/>
      <c r="K292" s="6"/>
      <c r="L292" s="162"/>
      <c r="M292" s="18"/>
      <c r="O292" s="363"/>
    </row>
    <row r="293" spans="1:15" s="58" customFormat="1" hidden="1">
      <c r="A293" s="60"/>
      <c r="B293" s="60"/>
      <c r="C293" s="265"/>
      <c r="D293" s="265"/>
      <c r="E293" s="6"/>
      <c r="F293" s="323"/>
      <c r="G293" s="6"/>
      <c r="H293" s="162"/>
      <c r="I293" s="261"/>
      <c r="J293" s="6"/>
      <c r="K293" s="6"/>
      <c r="L293" s="162"/>
      <c r="M293" s="18"/>
      <c r="O293" s="363"/>
    </row>
    <row r="294" spans="1:15" s="58" customFormat="1" hidden="1">
      <c r="A294" s="60"/>
      <c r="B294" s="60"/>
      <c r="C294" s="265"/>
      <c r="D294" s="265"/>
      <c r="E294" s="6"/>
      <c r="F294" s="323"/>
      <c r="G294" s="6"/>
      <c r="H294" s="162"/>
      <c r="I294" s="261"/>
      <c r="J294" s="6"/>
      <c r="K294" s="6"/>
      <c r="L294" s="162"/>
      <c r="M294" s="18"/>
      <c r="O294" s="363"/>
    </row>
    <row r="295" spans="1:15" s="58" customFormat="1" hidden="1">
      <c r="A295" s="60"/>
      <c r="B295" s="60"/>
      <c r="C295" s="265"/>
      <c r="D295" s="265"/>
      <c r="E295" s="6"/>
      <c r="F295" s="323"/>
      <c r="G295" s="6"/>
      <c r="H295" s="162"/>
      <c r="I295" s="261"/>
      <c r="J295" s="6"/>
      <c r="K295" s="6"/>
      <c r="L295" s="162"/>
      <c r="M295" s="18"/>
      <c r="O295" s="363"/>
    </row>
    <row r="296" spans="1:15" s="58" customFormat="1" hidden="1">
      <c r="A296" s="60"/>
      <c r="B296" s="60"/>
      <c r="C296" s="265"/>
      <c r="D296" s="265"/>
      <c r="E296" s="6"/>
      <c r="F296" s="323"/>
      <c r="G296" s="6"/>
      <c r="H296" s="162"/>
      <c r="I296" s="261"/>
      <c r="J296" s="6"/>
      <c r="K296" s="6"/>
      <c r="L296" s="162"/>
      <c r="M296" s="18"/>
      <c r="O296" s="363"/>
    </row>
    <row r="297" spans="1:15" s="58" customFormat="1" hidden="1">
      <c r="A297" s="60"/>
      <c r="B297" s="60"/>
      <c r="C297" s="265"/>
      <c r="D297" s="265"/>
      <c r="E297" s="6"/>
      <c r="F297" s="323"/>
      <c r="G297" s="6"/>
      <c r="H297" s="162"/>
      <c r="I297" s="261"/>
      <c r="J297" s="6"/>
      <c r="K297" s="6"/>
      <c r="L297" s="162"/>
      <c r="M297" s="18"/>
      <c r="O297" s="363"/>
    </row>
    <row r="298" spans="1:15" s="58" customFormat="1" hidden="1">
      <c r="A298" s="60"/>
      <c r="B298" s="60"/>
      <c r="C298" s="265"/>
      <c r="D298" s="265"/>
      <c r="E298" s="6"/>
      <c r="F298" s="323"/>
      <c r="G298" s="6"/>
      <c r="H298" s="162"/>
      <c r="I298" s="261"/>
      <c r="J298" s="6"/>
      <c r="K298" s="6"/>
      <c r="L298" s="162"/>
      <c r="M298" s="18"/>
      <c r="O298" s="363"/>
    </row>
    <row r="299" spans="1:15" s="58" customFormat="1" hidden="1">
      <c r="A299" s="60"/>
      <c r="B299" s="60"/>
      <c r="C299" s="265"/>
      <c r="D299" s="265"/>
      <c r="E299" s="6"/>
      <c r="F299" s="323"/>
      <c r="G299" s="6"/>
      <c r="H299" s="162"/>
      <c r="I299" s="261"/>
      <c r="J299" s="6"/>
      <c r="K299" s="6"/>
      <c r="L299" s="162"/>
      <c r="M299" s="18"/>
      <c r="O299" s="363"/>
    </row>
    <row r="300" spans="1:15" s="58" customFormat="1" hidden="1">
      <c r="A300" s="60"/>
      <c r="B300" s="60"/>
      <c r="C300" s="265"/>
      <c r="D300" s="265"/>
      <c r="E300" s="6"/>
      <c r="F300" s="323"/>
      <c r="G300" s="6"/>
      <c r="H300" s="162"/>
      <c r="I300" s="261"/>
      <c r="J300" s="6"/>
      <c r="K300" s="6"/>
      <c r="L300" s="162"/>
      <c r="M300" s="18"/>
      <c r="O300" s="363"/>
    </row>
    <row r="301" spans="1:15" s="58" customFormat="1" hidden="1">
      <c r="A301" s="60"/>
      <c r="B301" s="60"/>
      <c r="C301" s="265"/>
      <c r="D301" s="265"/>
      <c r="E301" s="6"/>
      <c r="F301" s="323"/>
      <c r="G301" s="6"/>
      <c r="H301" s="162"/>
      <c r="I301" s="261"/>
      <c r="J301" s="6"/>
      <c r="K301" s="6"/>
      <c r="L301" s="162"/>
      <c r="M301" s="18"/>
      <c r="O301" s="363"/>
    </row>
    <row r="302" spans="1:15" s="58" customFormat="1" hidden="1">
      <c r="A302" s="60"/>
      <c r="B302" s="60"/>
      <c r="C302" s="265"/>
      <c r="D302" s="265"/>
      <c r="E302" s="6"/>
      <c r="F302" s="323"/>
      <c r="G302" s="6"/>
      <c r="H302" s="162"/>
      <c r="I302" s="261"/>
      <c r="J302" s="6"/>
      <c r="K302" s="6"/>
      <c r="L302" s="162"/>
      <c r="M302" s="18"/>
      <c r="O302" s="363"/>
    </row>
    <row r="303" spans="1:15" s="58" customFormat="1" hidden="1">
      <c r="A303" s="60"/>
      <c r="B303" s="60"/>
      <c r="C303" s="265"/>
      <c r="D303" s="265"/>
      <c r="E303" s="6"/>
      <c r="F303" s="323"/>
      <c r="G303" s="6"/>
      <c r="H303" s="162"/>
      <c r="I303" s="261"/>
      <c r="J303" s="6"/>
      <c r="K303" s="6"/>
      <c r="L303" s="162"/>
      <c r="M303" s="18"/>
      <c r="O303" s="363"/>
    </row>
    <row r="304" spans="1:15" s="58" customFormat="1" hidden="1">
      <c r="A304" s="60"/>
      <c r="B304" s="60"/>
      <c r="C304" s="265"/>
      <c r="D304" s="265"/>
      <c r="E304" s="6"/>
      <c r="F304" s="323"/>
      <c r="G304" s="6"/>
      <c r="H304" s="162"/>
      <c r="I304" s="261"/>
      <c r="J304" s="6"/>
      <c r="K304" s="6"/>
      <c r="L304" s="162"/>
      <c r="M304" s="18"/>
      <c r="O304" s="363"/>
    </row>
    <row r="305" spans="1:15" s="58" customFormat="1" hidden="1">
      <c r="A305" s="60"/>
      <c r="B305" s="60"/>
      <c r="C305" s="265"/>
      <c r="D305" s="265"/>
      <c r="E305" s="6"/>
      <c r="F305" s="323"/>
      <c r="G305" s="6"/>
      <c r="H305" s="162"/>
      <c r="I305" s="261"/>
      <c r="J305" s="6"/>
      <c r="K305" s="6"/>
      <c r="L305" s="162"/>
      <c r="M305" s="18"/>
      <c r="O305" s="363"/>
    </row>
    <row r="306" spans="1:15" s="58" customFormat="1" hidden="1">
      <c r="A306" s="60"/>
      <c r="B306" s="60"/>
      <c r="C306" s="265"/>
      <c r="D306" s="265"/>
      <c r="E306" s="6"/>
      <c r="F306" s="323"/>
      <c r="G306" s="6"/>
      <c r="H306" s="162"/>
      <c r="I306" s="261"/>
      <c r="J306" s="6"/>
      <c r="K306" s="6"/>
      <c r="L306" s="162"/>
      <c r="M306" s="18"/>
      <c r="O306" s="363"/>
    </row>
    <row r="307" spans="1:15" s="58" customFormat="1" hidden="1">
      <c r="A307" s="60"/>
      <c r="B307" s="60"/>
      <c r="C307" s="265"/>
      <c r="D307" s="265"/>
      <c r="E307" s="6"/>
      <c r="F307" s="323"/>
      <c r="G307" s="6"/>
      <c r="H307" s="162"/>
      <c r="I307" s="261"/>
      <c r="J307" s="6"/>
      <c r="K307" s="6"/>
      <c r="L307" s="162"/>
      <c r="M307" s="18"/>
      <c r="O307" s="363"/>
    </row>
    <row r="308" spans="1:15" s="58" customFormat="1" hidden="1">
      <c r="A308" s="60"/>
      <c r="B308" s="60"/>
      <c r="C308" s="265"/>
      <c r="D308" s="265"/>
      <c r="E308" s="6"/>
      <c r="F308" s="323"/>
      <c r="G308" s="6"/>
      <c r="H308" s="162"/>
      <c r="I308" s="261"/>
      <c r="J308" s="6"/>
      <c r="K308" s="6"/>
      <c r="L308" s="162"/>
      <c r="M308" s="18"/>
      <c r="O308" s="363"/>
    </row>
    <row r="309" spans="1:15" s="58" customFormat="1" hidden="1">
      <c r="A309" s="60"/>
      <c r="B309" s="60"/>
      <c r="C309" s="265"/>
      <c r="D309" s="265"/>
      <c r="E309" s="6"/>
      <c r="F309" s="323"/>
      <c r="G309" s="6"/>
      <c r="H309" s="162"/>
      <c r="I309" s="261"/>
      <c r="J309" s="6"/>
      <c r="K309" s="6"/>
      <c r="L309" s="162"/>
      <c r="M309" s="18"/>
      <c r="O309" s="363"/>
    </row>
    <row r="310" spans="1:15" s="58" customFormat="1" hidden="1">
      <c r="A310" s="60"/>
      <c r="B310" s="60"/>
      <c r="C310" s="265"/>
      <c r="D310" s="265"/>
      <c r="E310" s="6"/>
      <c r="F310" s="323"/>
      <c r="G310" s="6"/>
      <c r="H310" s="162"/>
      <c r="I310" s="261"/>
      <c r="J310" s="6"/>
      <c r="K310" s="6"/>
      <c r="L310" s="162"/>
      <c r="M310" s="18"/>
      <c r="O310" s="363"/>
    </row>
    <row r="311" spans="1:15" s="58" customFormat="1" hidden="1">
      <c r="A311" s="60"/>
      <c r="B311" s="60"/>
      <c r="C311" s="265"/>
      <c r="D311" s="265"/>
      <c r="E311" s="6"/>
      <c r="F311" s="323"/>
      <c r="G311" s="6"/>
      <c r="H311" s="162"/>
      <c r="I311" s="261"/>
      <c r="J311" s="6"/>
      <c r="K311" s="6"/>
      <c r="L311" s="162"/>
      <c r="M311" s="18"/>
      <c r="O311" s="363"/>
    </row>
    <row r="312" spans="1:15" s="58" customFormat="1" hidden="1">
      <c r="A312" s="60"/>
      <c r="B312" s="60"/>
      <c r="C312" s="265"/>
      <c r="D312" s="265"/>
      <c r="E312" s="6"/>
      <c r="F312" s="323"/>
      <c r="G312" s="6"/>
      <c r="H312" s="162"/>
      <c r="I312" s="261"/>
      <c r="J312" s="6"/>
      <c r="K312" s="6"/>
      <c r="L312" s="162"/>
      <c r="M312" s="18"/>
      <c r="O312" s="363"/>
    </row>
    <row r="313" spans="1:15" s="58" customFormat="1" hidden="1">
      <c r="A313" s="60"/>
      <c r="B313" s="60"/>
      <c r="C313" s="265"/>
      <c r="D313" s="265"/>
      <c r="E313" s="6"/>
      <c r="F313" s="323"/>
      <c r="G313" s="6"/>
      <c r="H313" s="162"/>
      <c r="I313" s="261"/>
      <c r="J313" s="6"/>
      <c r="K313" s="6"/>
      <c r="L313" s="162"/>
      <c r="M313" s="18"/>
      <c r="O313" s="363"/>
    </row>
    <row r="314" spans="1:15" s="58" customFormat="1" hidden="1">
      <c r="A314" s="60"/>
      <c r="B314" s="60"/>
      <c r="C314" s="265"/>
      <c r="D314" s="265"/>
      <c r="E314" s="6"/>
      <c r="F314" s="323"/>
      <c r="G314" s="6"/>
      <c r="H314" s="162"/>
      <c r="I314" s="261"/>
      <c r="J314" s="6"/>
      <c r="K314" s="6"/>
      <c r="L314" s="162"/>
      <c r="M314" s="18"/>
      <c r="O314" s="363"/>
    </row>
    <row r="315" spans="1:15" s="58" customFormat="1" hidden="1">
      <c r="A315" s="60"/>
      <c r="B315" s="60"/>
      <c r="C315" s="265"/>
      <c r="D315" s="265"/>
      <c r="E315" s="6"/>
      <c r="F315" s="323"/>
      <c r="G315" s="6"/>
      <c r="H315" s="162"/>
      <c r="I315" s="261"/>
      <c r="J315" s="6"/>
      <c r="K315" s="6"/>
      <c r="L315" s="162"/>
      <c r="M315" s="18"/>
      <c r="O315" s="363"/>
    </row>
    <row r="316" spans="1:15" s="58" customFormat="1" hidden="1">
      <c r="A316" s="60"/>
      <c r="B316" s="60"/>
      <c r="C316" s="265"/>
      <c r="D316" s="265"/>
      <c r="E316" s="6"/>
      <c r="F316" s="323"/>
      <c r="G316" s="6"/>
      <c r="H316" s="162"/>
      <c r="I316" s="261"/>
      <c r="J316" s="6"/>
      <c r="K316" s="6"/>
      <c r="L316" s="162"/>
      <c r="M316" s="18"/>
      <c r="O316" s="363"/>
    </row>
    <row r="317" spans="1:15" s="58" customFormat="1" hidden="1">
      <c r="A317" s="60"/>
      <c r="B317" s="60"/>
      <c r="C317" s="265"/>
      <c r="D317" s="265"/>
      <c r="E317" s="6"/>
      <c r="F317" s="323"/>
      <c r="G317" s="6"/>
      <c r="H317" s="162"/>
      <c r="I317" s="261"/>
      <c r="J317" s="6"/>
      <c r="K317" s="6"/>
      <c r="L317" s="162"/>
      <c r="M317" s="18"/>
      <c r="O317" s="363"/>
    </row>
    <row r="318" spans="1:15" s="58" customFormat="1" hidden="1">
      <c r="A318" s="60"/>
      <c r="B318" s="60"/>
      <c r="C318" s="265"/>
      <c r="D318" s="265"/>
      <c r="E318" s="6"/>
      <c r="F318" s="323"/>
      <c r="G318" s="6"/>
      <c r="H318" s="162"/>
      <c r="I318" s="261"/>
      <c r="J318" s="6"/>
      <c r="K318" s="6"/>
      <c r="L318" s="162"/>
      <c r="M318" s="18"/>
      <c r="O318" s="363"/>
    </row>
    <row r="319" spans="1:15" s="58" customFormat="1" hidden="1">
      <c r="A319" s="60"/>
      <c r="B319" s="60"/>
      <c r="C319" s="265"/>
      <c r="D319" s="265"/>
      <c r="E319" s="6"/>
      <c r="F319" s="323"/>
      <c r="G319" s="6"/>
      <c r="H319" s="162"/>
      <c r="I319" s="261"/>
      <c r="J319" s="6"/>
      <c r="K319" s="6"/>
      <c r="L319" s="162"/>
      <c r="M319" s="18"/>
      <c r="O319" s="363"/>
    </row>
    <row r="320" spans="1:15" s="58" customFormat="1" hidden="1">
      <c r="A320" s="60"/>
      <c r="B320" s="60"/>
      <c r="C320" s="265"/>
      <c r="D320" s="265"/>
      <c r="E320" s="6"/>
      <c r="F320" s="323"/>
      <c r="G320" s="6"/>
      <c r="H320" s="162"/>
      <c r="I320" s="261"/>
      <c r="J320" s="6"/>
      <c r="K320" s="6"/>
      <c r="L320" s="162"/>
      <c r="M320" s="18"/>
      <c r="O320" s="363"/>
    </row>
    <row r="321" spans="1:15" s="58" customFormat="1" hidden="1">
      <c r="A321" s="60"/>
      <c r="B321" s="60"/>
      <c r="C321" s="265"/>
      <c r="D321" s="265"/>
      <c r="E321" s="6"/>
      <c r="F321" s="323"/>
      <c r="G321" s="6"/>
      <c r="H321" s="162"/>
      <c r="I321" s="261"/>
      <c r="J321" s="6"/>
      <c r="K321" s="6"/>
      <c r="L321" s="162"/>
      <c r="M321" s="18"/>
      <c r="O321" s="363"/>
    </row>
    <row r="322" spans="1:15" s="58" customFormat="1" hidden="1">
      <c r="A322" s="60"/>
      <c r="B322" s="60"/>
      <c r="C322" s="265"/>
      <c r="D322" s="265"/>
      <c r="E322" s="6"/>
      <c r="F322" s="323"/>
      <c r="G322" s="6"/>
      <c r="H322" s="162"/>
      <c r="I322" s="261"/>
      <c r="J322" s="6"/>
      <c r="K322" s="6"/>
      <c r="L322" s="162"/>
      <c r="M322" s="18"/>
      <c r="O322" s="363"/>
    </row>
    <row r="323" spans="1:15" s="58" customFormat="1" hidden="1">
      <c r="A323" s="60"/>
      <c r="B323" s="60"/>
      <c r="C323" s="265"/>
      <c r="D323" s="265"/>
      <c r="E323" s="6"/>
      <c r="F323" s="323"/>
      <c r="G323" s="6"/>
      <c r="H323" s="162"/>
      <c r="I323" s="261"/>
      <c r="J323" s="6"/>
      <c r="K323" s="6"/>
      <c r="L323" s="162"/>
      <c r="M323" s="18"/>
      <c r="O323" s="363"/>
    </row>
    <row r="324" spans="1:15" s="58" customFormat="1" hidden="1">
      <c r="A324" s="60"/>
      <c r="B324" s="60"/>
      <c r="C324" s="265"/>
      <c r="D324" s="265"/>
      <c r="E324" s="6"/>
      <c r="F324" s="323"/>
      <c r="G324" s="6"/>
      <c r="H324" s="162"/>
      <c r="I324" s="261"/>
      <c r="J324" s="6"/>
      <c r="K324" s="6"/>
      <c r="L324" s="162"/>
      <c r="M324" s="18"/>
      <c r="O324" s="363"/>
    </row>
    <row r="325" spans="1:15" s="58" customFormat="1" hidden="1">
      <c r="A325" s="60"/>
      <c r="B325" s="60"/>
      <c r="C325" s="265"/>
      <c r="D325" s="265"/>
      <c r="E325" s="6"/>
      <c r="F325" s="323"/>
      <c r="G325" s="6"/>
      <c r="H325" s="162"/>
      <c r="I325" s="261"/>
      <c r="J325" s="6"/>
      <c r="K325" s="6"/>
      <c r="L325" s="162"/>
      <c r="M325" s="18"/>
      <c r="O325" s="363"/>
    </row>
    <row r="326" spans="1:15" s="58" customFormat="1" hidden="1">
      <c r="A326" s="60"/>
      <c r="B326" s="60"/>
      <c r="C326" s="265"/>
      <c r="D326" s="265"/>
      <c r="E326" s="6"/>
      <c r="F326" s="323"/>
      <c r="G326" s="6"/>
      <c r="H326" s="162"/>
      <c r="I326" s="261"/>
      <c r="J326" s="6"/>
      <c r="K326" s="6"/>
      <c r="L326" s="162"/>
      <c r="M326" s="18"/>
      <c r="O326" s="363"/>
    </row>
    <row r="327" spans="1:15" s="58" customFormat="1" hidden="1">
      <c r="A327" s="60"/>
      <c r="B327" s="60"/>
      <c r="C327" s="265"/>
      <c r="D327" s="265"/>
      <c r="E327" s="6"/>
      <c r="F327" s="323"/>
      <c r="G327" s="6"/>
      <c r="H327" s="162"/>
      <c r="I327" s="261"/>
      <c r="J327" s="6"/>
      <c r="K327" s="6"/>
      <c r="L327" s="162"/>
      <c r="M327" s="18"/>
      <c r="O327" s="363"/>
    </row>
    <row r="328" spans="1:15" s="58" customFormat="1" hidden="1">
      <c r="A328" s="60"/>
      <c r="B328" s="60"/>
      <c r="C328" s="265"/>
      <c r="D328" s="265"/>
      <c r="E328" s="6"/>
      <c r="F328" s="323"/>
      <c r="G328" s="6"/>
      <c r="H328" s="162"/>
      <c r="I328" s="261"/>
      <c r="J328" s="6"/>
      <c r="K328" s="6"/>
      <c r="L328" s="162"/>
      <c r="M328" s="18"/>
      <c r="O328" s="363"/>
    </row>
    <row r="329" spans="1:15" s="58" customFormat="1" hidden="1">
      <c r="A329" s="60"/>
      <c r="B329" s="60"/>
      <c r="C329" s="265"/>
      <c r="D329" s="265"/>
      <c r="E329" s="6"/>
      <c r="F329" s="323"/>
      <c r="G329" s="6"/>
      <c r="H329" s="162"/>
      <c r="I329" s="261"/>
      <c r="J329" s="6"/>
      <c r="K329" s="6"/>
      <c r="L329" s="162"/>
      <c r="M329" s="18"/>
      <c r="O329" s="363"/>
    </row>
    <row r="330" spans="1:15" s="58" customFormat="1" hidden="1">
      <c r="A330" s="60"/>
      <c r="B330" s="60"/>
      <c r="C330" s="265"/>
      <c r="D330" s="265"/>
      <c r="E330" s="6"/>
      <c r="F330" s="323"/>
      <c r="G330" s="6"/>
      <c r="H330" s="162"/>
      <c r="I330" s="261"/>
      <c r="J330" s="6"/>
      <c r="K330" s="6"/>
      <c r="L330" s="162"/>
      <c r="M330" s="18"/>
      <c r="O330" s="363"/>
    </row>
    <row r="331" spans="1:15" s="58" customFormat="1" hidden="1">
      <c r="A331" s="60"/>
      <c r="B331" s="60"/>
      <c r="C331" s="265"/>
      <c r="D331" s="265"/>
      <c r="E331" s="6"/>
      <c r="F331" s="323"/>
      <c r="G331" s="6"/>
      <c r="H331" s="162"/>
      <c r="I331" s="261"/>
      <c r="J331" s="6"/>
      <c r="K331" s="6"/>
      <c r="L331" s="162"/>
      <c r="M331" s="18"/>
      <c r="O331" s="363"/>
    </row>
    <row r="332" spans="1:15" s="58" customFormat="1" hidden="1">
      <c r="A332" s="60"/>
      <c r="B332" s="60"/>
      <c r="C332" s="265"/>
      <c r="D332" s="265"/>
      <c r="E332" s="6"/>
      <c r="F332" s="323"/>
      <c r="G332" s="6"/>
      <c r="H332" s="162"/>
      <c r="I332" s="261"/>
      <c r="J332" s="6"/>
      <c r="K332" s="6"/>
      <c r="L332" s="162"/>
      <c r="M332" s="18"/>
      <c r="O332" s="363"/>
    </row>
    <row r="333" spans="1:15" s="58" customFormat="1" hidden="1">
      <c r="A333" s="60"/>
      <c r="B333" s="60"/>
      <c r="C333" s="265"/>
      <c r="D333" s="265"/>
      <c r="E333" s="6"/>
      <c r="F333" s="323"/>
      <c r="G333" s="6"/>
      <c r="H333" s="162"/>
      <c r="I333" s="261"/>
      <c r="J333" s="6"/>
      <c r="K333" s="6"/>
      <c r="L333" s="162"/>
      <c r="M333" s="18"/>
      <c r="O333" s="363"/>
    </row>
    <row r="334" spans="1:15" s="58" customFormat="1" hidden="1">
      <c r="A334" s="60"/>
      <c r="B334" s="60"/>
      <c r="C334" s="265"/>
      <c r="D334" s="265"/>
      <c r="E334" s="6"/>
      <c r="F334" s="323"/>
      <c r="G334" s="6"/>
      <c r="H334" s="162"/>
      <c r="I334" s="261"/>
      <c r="J334" s="6"/>
      <c r="K334" s="6"/>
      <c r="L334" s="162"/>
      <c r="M334" s="18"/>
      <c r="O334" s="363"/>
    </row>
    <row r="335" spans="1:15" s="58" customFormat="1" hidden="1">
      <c r="A335" s="60"/>
      <c r="B335" s="60"/>
      <c r="C335" s="265"/>
      <c r="D335" s="265"/>
      <c r="E335" s="6"/>
      <c r="F335" s="323"/>
      <c r="G335" s="6"/>
      <c r="H335" s="162"/>
      <c r="I335" s="261"/>
      <c r="J335" s="6"/>
      <c r="K335" s="6"/>
      <c r="L335" s="162"/>
      <c r="M335" s="18"/>
      <c r="O335" s="363"/>
    </row>
    <row r="336" spans="1:15" s="58" customFormat="1" hidden="1">
      <c r="A336" s="60"/>
      <c r="B336" s="60"/>
      <c r="C336" s="265"/>
      <c r="D336" s="265"/>
      <c r="E336" s="6"/>
      <c r="F336" s="323"/>
      <c r="G336" s="6"/>
      <c r="H336" s="162"/>
      <c r="I336" s="261"/>
      <c r="J336" s="6"/>
      <c r="K336" s="6"/>
      <c r="L336" s="162"/>
      <c r="M336" s="18"/>
      <c r="O336" s="363"/>
    </row>
    <row r="337" spans="1:15" s="58" customFormat="1" hidden="1">
      <c r="A337" s="60"/>
      <c r="B337" s="60"/>
      <c r="C337" s="265"/>
      <c r="D337" s="265"/>
      <c r="E337" s="6"/>
      <c r="F337" s="323"/>
      <c r="G337" s="6"/>
      <c r="H337" s="162"/>
      <c r="I337" s="261"/>
      <c r="J337" s="6"/>
      <c r="K337" s="6"/>
      <c r="L337" s="162"/>
      <c r="M337" s="18"/>
      <c r="O337" s="363"/>
    </row>
    <row r="338" spans="1:15" s="58" customFormat="1" hidden="1">
      <c r="A338" s="60"/>
      <c r="B338" s="60"/>
      <c r="C338" s="265"/>
      <c r="D338" s="265"/>
      <c r="E338" s="6"/>
      <c r="F338" s="323"/>
      <c r="G338" s="6"/>
      <c r="H338" s="162"/>
      <c r="I338" s="261"/>
      <c r="J338" s="6"/>
      <c r="K338" s="6"/>
      <c r="L338" s="162"/>
      <c r="M338" s="18"/>
      <c r="O338" s="363"/>
    </row>
    <row r="339" spans="1:15" s="58" customFormat="1" hidden="1">
      <c r="A339" s="60"/>
      <c r="B339" s="60"/>
      <c r="C339" s="265"/>
      <c r="D339" s="265"/>
      <c r="E339" s="6"/>
      <c r="F339" s="323"/>
      <c r="G339" s="6"/>
      <c r="H339" s="162"/>
      <c r="I339" s="261"/>
      <c r="J339" s="6"/>
      <c r="K339" s="6"/>
      <c r="L339" s="162"/>
      <c r="M339" s="18"/>
      <c r="O339" s="363"/>
    </row>
    <row r="340" spans="1:15" s="58" customFormat="1" hidden="1">
      <c r="A340" s="60"/>
      <c r="B340" s="60"/>
      <c r="C340" s="265"/>
      <c r="D340" s="265"/>
      <c r="E340" s="6"/>
      <c r="F340" s="323"/>
      <c r="G340" s="6"/>
      <c r="H340" s="162"/>
      <c r="I340" s="261"/>
      <c r="J340" s="6"/>
      <c r="K340" s="6"/>
      <c r="L340" s="162"/>
      <c r="M340" s="18"/>
      <c r="O340" s="363"/>
    </row>
    <row r="341" spans="1:15" s="58" customFormat="1" hidden="1">
      <c r="A341" s="60"/>
      <c r="B341" s="60"/>
      <c r="C341" s="265"/>
      <c r="D341" s="265"/>
      <c r="E341" s="6"/>
      <c r="F341" s="323"/>
      <c r="G341" s="6"/>
      <c r="H341" s="162"/>
      <c r="I341" s="261"/>
      <c r="J341" s="6"/>
      <c r="K341" s="6"/>
      <c r="L341" s="162"/>
      <c r="M341" s="18"/>
      <c r="O341" s="363"/>
    </row>
    <row r="342" spans="1:15" s="58" customFormat="1" hidden="1">
      <c r="A342" s="60"/>
      <c r="B342" s="60"/>
      <c r="C342" s="265"/>
      <c r="D342" s="265"/>
      <c r="E342" s="6"/>
      <c r="F342" s="323"/>
      <c r="G342" s="6"/>
      <c r="H342" s="162"/>
      <c r="I342" s="261"/>
      <c r="J342" s="6"/>
      <c r="K342" s="6"/>
      <c r="L342" s="162"/>
      <c r="M342" s="18"/>
      <c r="O342" s="363"/>
    </row>
    <row r="343" spans="1:15" s="58" customFormat="1" hidden="1">
      <c r="A343" s="60"/>
      <c r="B343" s="60"/>
      <c r="C343" s="265"/>
      <c r="D343" s="265"/>
      <c r="E343" s="6"/>
      <c r="F343" s="323"/>
      <c r="G343" s="6"/>
      <c r="H343" s="162"/>
      <c r="I343" s="261"/>
      <c r="J343" s="6"/>
      <c r="K343" s="6"/>
      <c r="L343" s="162"/>
      <c r="M343" s="18"/>
      <c r="O343" s="363"/>
    </row>
    <row r="344" spans="1:15" s="58" customFormat="1" hidden="1">
      <c r="A344" s="60"/>
      <c r="B344" s="60"/>
      <c r="C344" s="265"/>
      <c r="D344" s="265"/>
      <c r="E344" s="6"/>
      <c r="F344" s="323"/>
      <c r="G344" s="6"/>
      <c r="H344" s="162"/>
      <c r="I344" s="261"/>
      <c r="J344" s="6"/>
      <c r="K344" s="6"/>
      <c r="L344" s="162"/>
      <c r="M344" s="18"/>
      <c r="O344" s="363"/>
    </row>
    <row r="345" spans="1:15" s="58" customFormat="1" hidden="1">
      <c r="A345" s="60"/>
      <c r="B345" s="60"/>
      <c r="C345" s="265"/>
      <c r="D345" s="265"/>
      <c r="E345" s="6"/>
      <c r="F345" s="323"/>
      <c r="G345" s="6"/>
      <c r="H345" s="162"/>
      <c r="I345" s="261"/>
      <c r="J345" s="6"/>
      <c r="K345" s="6"/>
      <c r="L345" s="162"/>
      <c r="M345" s="18"/>
      <c r="O345" s="363"/>
    </row>
    <row r="346" spans="1:15" s="58" customFormat="1" hidden="1">
      <c r="A346" s="60"/>
      <c r="B346" s="60"/>
      <c r="C346" s="265"/>
      <c r="D346" s="265"/>
      <c r="E346" s="6"/>
      <c r="F346" s="323"/>
      <c r="G346" s="6"/>
      <c r="H346" s="162"/>
      <c r="I346" s="261"/>
      <c r="J346" s="6"/>
      <c r="K346" s="6"/>
      <c r="L346" s="162"/>
      <c r="M346" s="18"/>
      <c r="O346" s="363"/>
    </row>
    <row r="347" spans="1:15" s="58" customFormat="1" hidden="1">
      <c r="A347" s="60"/>
      <c r="B347" s="60"/>
      <c r="C347" s="265"/>
      <c r="D347" s="265"/>
      <c r="E347" s="6"/>
      <c r="F347" s="323"/>
      <c r="G347" s="6"/>
      <c r="H347" s="162"/>
      <c r="I347" s="261"/>
      <c r="J347" s="6"/>
      <c r="K347" s="6"/>
      <c r="L347" s="162"/>
      <c r="M347" s="18"/>
      <c r="O347" s="363"/>
    </row>
    <row r="348" spans="1:15" s="58" customFormat="1" hidden="1">
      <c r="A348" s="60"/>
      <c r="B348" s="60"/>
      <c r="C348" s="265"/>
      <c r="D348" s="265"/>
      <c r="E348" s="6"/>
      <c r="F348" s="323"/>
      <c r="G348" s="6"/>
      <c r="H348" s="162"/>
      <c r="I348" s="261"/>
      <c r="J348" s="6"/>
      <c r="K348" s="6"/>
      <c r="L348" s="162"/>
      <c r="M348" s="18"/>
      <c r="O348" s="363"/>
    </row>
    <row r="349" spans="1:15" s="58" customFormat="1" hidden="1">
      <c r="A349" s="60"/>
      <c r="B349" s="60"/>
      <c r="C349" s="265"/>
      <c r="D349" s="265"/>
      <c r="E349" s="6"/>
      <c r="F349" s="323"/>
      <c r="G349" s="6"/>
      <c r="H349" s="162"/>
      <c r="I349" s="261"/>
      <c r="J349" s="6"/>
      <c r="K349" s="6"/>
      <c r="L349" s="162"/>
      <c r="M349" s="18"/>
      <c r="O349" s="363"/>
    </row>
    <row r="350" spans="1:15" s="58" customFormat="1" hidden="1">
      <c r="A350" s="60"/>
      <c r="B350" s="60"/>
      <c r="C350" s="265"/>
      <c r="D350" s="265"/>
      <c r="E350" s="6"/>
      <c r="F350" s="323"/>
      <c r="G350" s="6"/>
      <c r="H350" s="162"/>
      <c r="I350" s="261"/>
      <c r="J350" s="6"/>
      <c r="K350" s="6"/>
      <c r="L350" s="162"/>
      <c r="M350" s="18"/>
      <c r="O350" s="363"/>
    </row>
    <row r="351" spans="1:15" s="58" customFormat="1" hidden="1">
      <c r="A351" s="60"/>
      <c r="B351" s="60"/>
      <c r="C351" s="265"/>
      <c r="D351" s="265"/>
      <c r="E351" s="6"/>
      <c r="F351" s="323"/>
      <c r="G351" s="6"/>
      <c r="H351" s="162"/>
      <c r="I351" s="261"/>
      <c r="J351" s="6"/>
      <c r="K351" s="6"/>
      <c r="L351" s="162"/>
      <c r="M351" s="18"/>
      <c r="O351" s="363"/>
    </row>
    <row r="352" spans="1:15" s="58" customFormat="1" hidden="1">
      <c r="A352" s="60"/>
      <c r="B352" s="60"/>
      <c r="C352" s="265"/>
      <c r="D352" s="265"/>
      <c r="E352" s="6"/>
      <c r="F352" s="323"/>
      <c r="G352" s="6"/>
      <c r="H352" s="162"/>
      <c r="I352" s="261"/>
      <c r="J352" s="6"/>
      <c r="K352" s="6"/>
      <c r="L352" s="162"/>
      <c r="M352" s="18"/>
      <c r="O352" s="363"/>
    </row>
    <row r="353" spans="1:15" s="58" customFormat="1" hidden="1">
      <c r="A353" s="60"/>
      <c r="B353" s="60"/>
      <c r="C353" s="265"/>
      <c r="D353" s="265"/>
      <c r="E353" s="6"/>
      <c r="F353" s="323"/>
      <c r="G353" s="6"/>
      <c r="H353" s="162"/>
      <c r="I353" s="261"/>
      <c r="J353" s="6"/>
      <c r="K353" s="6"/>
      <c r="L353" s="162"/>
      <c r="M353" s="18"/>
      <c r="O353" s="363"/>
    </row>
    <row r="354" spans="1:15" s="58" customFormat="1" hidden="1">
      <c r="A354" s="60"/>
      <c r="B354" s="60"/>
      <c r="C354" s="265"/>
      <c r="D354" s="265"/>
      <c r="E354" s="6"/>
      <c r="F354" s="323"/>
      <c r="G354" s="6"/>
      <c r="H354" s="162"/>
      <c r="I354" s="261"/>
      <c r="J354" s="6"/>
      <c r="K354" s="6"/>
      <c r="L354" s="162"/>
      <c r="M354" s="18"/>
      <c r="O354" s="363"/>
    </row>
    <row r="355" spans="1:15" s="58" customFormat="1" hidden="1">
      <c r="A355" s="60"/>
      <c r="B355" s="60"/>
      <c r="C355" s="265"/>
      <c r="D355" s="265"/>
      <c r="E355" s="6"/>
      <c r="F355" s="323"/>
      <c r="G355" s="6"/>
      <c r="H355" s="162"/>
      <c r="I355" s="261"/>
      <c r="J355" s="6"/>
      <c r="K355" s="6"/>
      <c r="L355" s="162"/>
      <c r="M355" s="18"/>
      <c r="O355" s="363"/>
    </row>
    <row r="356" spans="1:15" s="58" customFormat="1" hidden="1">
      <c r="A356" s="60"/>
      <c r="B356" s="60"/>
      <c r="C356" s="265"/>
      <c r="D356" s="265"/>
      <c r="E356" s="6"/>
      <c r="F356" s="323"/>
      <c r="G356" s="6"/>
      <c r="H356" s="162"/>
      <c r="I356" s="261"/>
      <c r="J356" s="6"/>
      <c r="K356" s="6"/>
      <c r="L356" s="162"/>
      <c r="M356" s="18"/>
      <c r="O356" s="363"/>
    </row>
    <row r="357" spans="1:15" s="58" customFormat="1" hidden="1">
      <c r="A357" s="60"/>
      <c r="B357" s="60"/>
      <c r="C357" s="265"/>
      <c r="D357" s="265"/>
      <c r="E357" s="6"/>
      <c r="F357" s="323"/>
      <c r="G357" s="6"/>
      <c r="H357" s="162"/>
      <c r="I357" s="261"/>
      <c r="J357" s="6"/>
      <c r="K357" s="6"/>
      <c r="L357" s="162"/>
      <c r="M357" s="18"/>
      <c r="O357" s="363"/>
    </row>
    <row r="358" spans="1:15" s="58" customFormat="1" hidden="1">
      <c r="A358" s="60"/>
      <c r="B358" s="60"/>
      <c r="C358" s="265"/>
      <c r="D358" s="265"/>
      <c r="E358" s="6"/>
      <c r="F358" s="323"/>
      <c r="G358" s="6"/>
      <c r="H358" s="162"/>
      <c r="I358" s="261"/>
      <c r="J358" s="6"/>
      <c r="K358" s="6"/>
      <c r="L358" s="162"/>
      <c r="M358" s="18"/>
      <c r="O358" s="363"/>
    </row>
    <row r="359" spans="1:15" s="58" customFormat="1" hidden="1">
      <c r="A359" s="60"/>
      <c r="B359" s="60"/>
      <c r="C359" s="265"/>
      <c r="D359" s="265"/>
      <c r="E359" s="6"/>
      <c r="F359" s="323"/>
      <c r="G359" s="6"/>
      <c r="H359" s="162"/>
      <c r="I359" s="261"/>
      <c r="J359" s="6"/>
      <c r="K359" s="6"/>
      <c r="L359" s="162"/>
      <c r="M359" s="18"/>
      <c r="O359" s="363"/>
    </row>
    <row r="360" spans="1:15" s="58" customFormat="1" hidden="1">
      <c r="A360" s="60"/>
      <c r="B360" s="60"/>
      <c r="C360" s="265"/>
      <c r="D360" s="265"/>
      <c r="E360" s="6"/>
      <c r="F360" s="323"/>
      <c r="G360" s="6"/>
      <c r="H360" s="162"/>
      <c r="I360" s="261"/>
      <c r="J360" s="6"/>
      <c r="K360" s="6"/>
      <c r="L360" s="162"/>
      <c r="M360" s="18"/>
      <c r="O360" s="363"/>
    </row>
    <row r="361" spans="1:15" s="58" customFormat="1" hidden="1">
      <c r="A361" s="60"/>
      <c r="B361" s="60"/>
      <c r="C361" s="265"/>
      <c r="D361" s="265"/>
      <c r="E361" s="6"/>
      <c r="F361" s="323"/>
      <c r="G361" s="6"/>
      <c r="H361" s="162"/>
      <c r="I361" s="261"/>
      <c r="J361" s="6"/>
      <c r="K361" s="6"/>
      <c r="L361" s="162"/>
      <c r="M361" s="18"/>
      <c r="O361" s="363"/>
    </row>
    <row r="362" spans="1:15" s="58" customFormat="1" hidden="1">
      <c r="A362" s="60"/>
      <c r="B362" s="60"/>
      <c r="C362" s="265"/>
      <c r="D362" s="265"/>
      <c r="E362" s="6"/>
      <c r="F362" s="323"/>
      <c r="G362" s="6"/>
      <c r="H362" s="162"/>
      <c r="I362" s="261"/>
      <c r="J362" s="6"/>
      <c r="K362" s="6"/>
      <c r="L362" s="162"/>
      <c r="M362" s="18"/>
      <c r="O362" s="363"/>
    </row>
    <row r="363" spans="1:15" s="58" customFormat="1" hidden="1">
      <c r="A363" s="60"/>
      <c r="B363" s="60"/>
      <c r="C363" s="265"/>
      <c r="D363" s="265"/>
      <c r="E363" s="6"/>
      <c r="F363" s="323"/>
      <c r="G363" s="6"/>
      <c r="H363" s="162"/>
      <c r="I363" s="261"/>
      <c r="J363" s="6"/>
      <c r="K363" s="6"/>
      <c r="L363" s="162"/>
      <c r="M363" s="18"/>
      <c r="O363" s="363"/>
    </row>
    <row r="364" spans="1:15" s="58" customFormat="1" hidden="1">
      <c r="A364" s="60"/>
      <c r="B364" s="60"/>
      <c r="C364" s="265"/>
      <c r="D364" s="265"/>
      <c r="E364" s="6"/>
      <c r="F364" s="323"/>
      <c r="G364" s="6"/>
      <c r="H364" s="162"/>
      <c r="I364" s="261"/>
      <c r="J364" s="6"/>
      <c r="K364" s="6"/>
      <c r="L364" s="162"/>
      <c r="M364" s="18"/>
      <c r="O364" s="363"/>
    </row>
    <row r="365" spans="1:15" s="58" customFormat="1" hidden="1">
      <c r="A365" s="60"/>
      <c r="B365" s="60"/>
      <c r="C365" s="265"/>
      <c r="D365" s="265"/>
      <c r="E365" s="6"/>
      <c r="F365" s="323"/>
      <c r="G365" s="6"/>
      <c r="H365" s="162"/>
      <c r="I365" s="261"/>
      <c r="J365" s="6"/>
      <c r="K365" s="6"/>
      <c r="L365" s="162"/>
      <c r="M365" s="18"/>
      <c r="O365" s="363"/>
    </row>
    <row r="366" spans="1:15" s="58" customFormat="1" hidden="1">
      <c r="A366" s="60"/>
      <c r="B366" s="60"/>
      <c r="C366" s="265"/>
      <c r="D366" s="265"/>
      <c r="E366" s="6"/>
      <c r="F366" s="323"/>
      <c r="G366" s="6"/>
      <c r="H366" s="162"/>
      <c r="I366" s="261"/>
      <c r="J366" s="6"/>
      <c r="K366" s="6"/>
      <c r="L366" s="162"/>
      <c r="M366" s="18"/>
      <c r="O366" s="363"/>
    </row>
    <row r="367" spans="1:15" s="58" customFormat="1" hidden="1">
      <c r="A367" s="60"/>
      <c r="B367" s="60"/>
      <c r="C367" s="265"/>
      <c r="D367" s="265"/>
      <c r="E367" s="6"/>
      <c r="F367" s="323"/>
      <c r="G367" s="6"/>
      <c r="H367" s="162"/>
      <c r="I367" s="261"/>
      <c r="J367" s="6"/>
      <c r="K367" s="6"/>
      <c r="L367" s="162"/>
      <c r="M367" s="18"/>
      <c r="O367" s="363"/>
    </row>
    <row r="368" spans="1:15" s="58" customFormat="1" hidden="1">
      <c r="A368" s="60"/>
      <c r="B368" s="60"/>
      <c r="C368" s="265"/>
      <c r="D368" s="265"/>
      <c r="E368" s="6"/>
      <c r="F368" s="323"/>
      <c r="G368" s="6"/>
      <c r="H368" s="162"/>
      <c r="I368" s="261"/>
      <c r="J368" s="6"/>
      <c r="K368" s="6"/>
      <c r="L368" s="162"/>
      <c r="M368" s="18"/>
      <c r="O368" s="363"/>
    </row>
    <row r="369" spans="1:15" s="58" customFormat="1" hidden="1">
      <c r="A369" s="60"/>
      <c r="B369" s="60"/>
      <c r="C369" s="265"/>
      <c r="D369" s="265"/>
      <c r="E369" s="6"/>
      <c r="F369" s="323"/>
      <c r="G369" s="6"/>
      <c r="H369" s="162"/>
      <c r="I369" s="261"/>
      <c r="J369" s="6"/>
      <c r="K369" s="6"/>
      <c r="L369" s="162"/>
      <c r="M369" s="18"/>
      <c r="O369" s="363"/>
    </row>
    <row r="370" spans="1:15" s="58" customFormat="1" hidden="1">
      <c r="A370" s="60"/>
      <c r="B370" s="60"/>
      <c r="C370" s="265"/>
      <c r="D370" s="265"/>
      <c r="E370" s="6"/>
      <c r="F370" s="323"/>
      <c r="G370" s="6"/>
      <c r="H370" s="162"/>
      <c r="I370" s="261"/>
      <c r="J370" s="6"/>
      <c r="K370" s="6"/>
      <c r="L370" s="162"/>
      <c r="M370" s="18"/>
      <c r="O370" s="363"/>
    </row>
    <row r="371" spans="1:15" s="58" customFormat="1" hidden="1">
      <c r="A371" s="60"/>
      <c r="B371" s="60"/>
      <c r="C371" s="265"/>
      <c r="D371" s="265"/>
      <c r="E371" s="6"/>
      <c r="F371" s="323"/>
      <c r="G371" s="6"/>
      <c r="H371" s="162"/>
      <c r="I371" s="261"/>
      <c r="J371" s="6"/>
      <c r="K371" s="6"/>
      <c r="L371" s="162"/>
      <c r="M371" s="18"/>
      <c r="O371" s="363"/>
    </row>
    <row r="372" spans="1:15" s="58" customFormat="1" hidden="1">
      <c r="A372" s="60"/>
      <c r="B372" s="60"/>
      <c r="C372" s="265"/>
      <c r="D372" s="265"/>
      <c r="E372" s="6"/>
      <c r="F372" s="323"/>
      <c r="G372" s="6"/>
      <c r="H372" s="162"/>
      <c r="I372" s="261"/>
      <c r="J372" s="6"/>
      <c r="K372" s="6"/>
      <c r="L372" s="162"/>
      <c r="M372" s="18"/>
      <c r="O372" s="363"/>
    </row>
    <row r="373" spans="1:15" s="58" customFormat="1" hidden="1">
      <c r="A373" s="60"/>
      <c r="B373" s="60"/>
      <c r="C373" s="265"/>
      <c r="D373" s="265"/>
      <c r="E373" s="6"/>
      <c r="F373" s="323"/>
      <c r="G373" s="6"/>
      <c r="H373" s="162"/>
      <c r="I373" s="261"/>
      <c r="J373" s="6"/>
      <c r="K373" s="6"/>
      <c r="L373" s="162"/>
      <c r="M373" s="18"/>
      <c r="O373" s="363"/>
    </row>
    <row r="374" spans="1:15" s="58" customFormat="1" hidden="1">
      <c r="A374" s="60"/>
      <c r="B374" s="60"/>
      <c r="C374" s="265"/>
      <c r="D374" s="265"/>
      <c r="E374" s="6"/>
      <c r="F374" s="323"/>
      <c r="G374" s="6"/>
      <c r="H374" s="162"/>
      <c r="I374" s="261"/>
      <c r="J374" s="6"/>
      <c r="K374" s="6"/>
      <c r="L374" s="162"/>
      <c r="M374" s="18"/>
      <c r="O374" s="363"/>
    </row>
    <row r="375" spans="1:15" s="58" customFormat="1" hidden="1">
      <c r="A375" s="60"/>
      <c r="B375" s="60"/>
      <c r="C375" s="265"/>
      <c r="D375" s="265"/>
      <c r="E375" s="6"/>
      <c r="F375" s="323"/>
      <c r="G375" s="6"/>
      <c r="H375" s="162"/>
      <c r="I375" s="261"/>
      <c r="J375" s="6"/>
      <c r="K375" s="6"/>
      <c r="L375" s="162"/>
      <c r="M375" s="18"/>
      <c r="O375" s="363"/>
    </row>
    <row r="376" spans="1:15" s="58" customFormat="1" hidden="1">
      <c r="A376" s="60"/>
      <c r="B376" s="60"/>
      <c r="C376" s="265"/>
      <c r="D376" s="265"/>
      <c r="E376" s="6"/>
      <c r="F376" s="323"/>
      <c r="G376" s="6"/>
      <c r="H376" s="162"/>
      <c r="I376" s="261"/>
      <c r="J376" s="6"/>
      <c r="K376" s="6"/>
      <c r="L376" s="162"/>
      <c r="M376" s="18"/>
      <c r="O376" s="363"/>
    </row>
    <row r="377" spans="1:15" s="58" customFormat="1" hidden="1">
      <c r="A377" s="60"/>
      <c r="B377" s="60"/>
      <c r="C377" s="265"/>
      <c r="D377" s="265"/>
      <c r="E377" s="6"/>
      <c r="F377" s="323"/>
      <c r="G377" s="6"/>
      <c r="H377" s="162"/>
      <c r="I377" s="261"/>
      <c r="J377" s="6"/>
      <c r="K377" s="6"/>
      <c r="L377" s="162"/>
      <c r="M377" s="18"/>
      <c r="O377" s="363"/>
    </row>
    <row r="378" spans="1:15" s="58" customFormat="1" hidden="1">
      <c r="A378" s="60"/>
      <c r="B378" s="60"/>
      <c r="C378" s="265"/>
      <c r="D378" s="265"/>
      <c r="E378" s="6"/>
      <c r="F378" s="323"/>
      <c r="G378" s="6"/>
      <c r="H378" s="162"/>
      <c r="I378" s="261"/>
      <c r="J378" s="6"/>
      <c r="K378" s="6"/>
      <c r="L378" s="162"/>
      <c r="M378" s="18"/>
      <c r="O378" s="363"/>
    </row>
    <row r="379" spans="1:15" s="58" customFormat="1" hidden="1">
      <c r="A379" s="60"/>
      <c r="B379" s="60"/>
      <c r="C379" s="265"/>
      <c r="D379" s="265"/>
      <c r="E379" s="6"/>
      <c r="F379" s="323"/>
      <c r="G379" s="6"/>
      <c r="H379" s="162"/>
      <c r="I379" s="261"/>
      <c r="J379" s="6"/>
      <c r="K379" s="6"/>
      <c r="L379" s="162"/>
      <c r="M379" s="18"/>
      <c r="O379" s="363"/>
    </row>
    <row r="380" spans="1:15" s="58" customFormat="1" hidden="1">
      <c r="A380" s="60"/>
      <c r="B380" s="60"/>
      <c r="C380" s="265"/>
      <c r="D380" s="265"/>
      <c r="E380" s="6"/>
      <c r="F380" s="323"/>
      <c r="G380" s="6"/>
      <c r="H380" s="162"/>
      <c r="I380" s="261"/>
      <c r="J380" s="6"/>
      <c r="K380" s="6"/>
      <c r="L380" s="162"/>
      <c r="M380" s="18"/>
      <c r="O380" s="363"/>
    </row>
    <row r="381" spans="1:15" s="58" customFormat="1" hidden="1">
      <c r="A381" s="60"/>
      <c r="B381" s="60"/>
      <c r="C381" s="265"/>
      <c r="D381" s="265"/>
      <c r="E381" s="6"/>
      <c r="F381" s="323"/>
      <c r="G381" s="6"/>
      <c r="H381" s="162"/>
      <c r="I381" s="261"/>
      <c r="J381" s="6"/>
      <c r="K381" s="6"/>
      <c r="L381" s="162"/>
      <c r="M381" s="18"/>
      <c r="O381" s="363"/>
    </row>
    <row r="382" spans="1:15" s="58" customFormat="1" hidden="1">
      <c r="A382" s="60"/>
      <c r="B382" s="60"/>
      <c r="C382" s="265"/>
      <c r="D382" s="265"/>
      <c r="E382" s="6"/>
      <c r="F382" s="323"/>
      <c r="G382" s="6"/>
      <c r="H382" s="162"/>
      <c r="I382" s="261"/>
      <c r="J382" s="6"/>
      <c r="K382" s="6"/>
      <c r="L382" s="162"/>
      <c r="M382" s="18"/>
      <c r="O382" s="363"/>
    </row>
    <row r="383" spans="1:15" s="58" customFormat="1" hidden="1">
      <c r="A383" s="60"/>
      <c r="B383" s="60"/>
      <c r="C383" s="265"/>
      <c r="D383" s="265"/>
      <c r="E383" s="6"/>
      <c r="F383" s="323"/>
      <c r="G383" s="6"/>
      <c r="H383" s="162"/>
      <c r="I383" s="261"/>
      <c r="J383" s="6"/>
      <c r="K383" s="6"/>
      <c r="L383" s="162"/>
      <c r="M383" s="18"/>
      <c r="O383" s="363"/>
    </row>
    <row r="384" spans="1:15" s="58" customFormat="1" hidden="1">
      <c r="A384" s="60"/>
      <c r="B384" s="60"/>
      <c r="C384" s="265"/>
      <c r="D384" s="265"/>
      <c r="E384" s="6"/>
      <c r="F384" s="323"/>
      <c r="G384" s="6"/>
      <c r="H384" s="162"/>
      <c r="I384" s="261"/>
      <c r="J384" s="6"/>
      <c r="K384" s="6"/>
      <c r="L384" s="162"/>
      <c r="M384" s="18"/>
      <c r="O384" s="363"/>
    </row>
    <row r="385" spans="1:15" s="58" customFormat="1" hidden="1">
      <c r="A385" s="60"/>
      <c r="B385" s="60"/>
      <c r="C385" s="265"/>
      <c r="D385" s="265"/>
      <c r="E385" s="6"/>
      <c r="F385" s="323"/>
      <c r="G385" s="6"/>
      <c r="H385" s="162"/>
      <c r="I385" s="261"/>
      <c r="J385" s="6"/>
      <c r="K385" s="6"/>
      <c r="L385" s="162"/>
      <c r="M385" s="18"/>
      <c r="O385" s="363"/>
    </row>
    <row r="386" spans="1:15" s="58" customFormat="1" hidden="1">
      <c r="A386" s="60"/>
      <c r="B386" s="60"/>
      <c r="C386" s="265"/>
      <c r="D386" s="265"/>
      <c r="E386" s="6"/>
      <c r="F386" s="323"/>
      <c r="G386" s="6"/>
      <c r="H386" s="162"/>
      <c r="I386" s="261"/>
      <c r="J386" s="6"/>
      <c r="K386" s="6"/>
      <c r="L386" s="162"/>
      <c r="M386" s="18"/>
      <c r="O386" s="363"/>
    </row>
    <row r="387" spans="1:15" s="58" customFormat="1" hidden="1">
      <c r="A387" s="60"/>
      <c r="B387" s="60"/>
      <c r="C387" s="265"/>
      <c r="D387" s="265"/>
      <c r="E387" s="6"/>
      <c r="F387" s="323"/>
      <c r="G387" s="6"/>
      <c r="H387" s="162"/>
      <c r="I387" s="261"/>
      <c r="J387" s="6"/>
      <c r="K387" s="6"/>
      <c r="L387" s="162"/>
      <c r="M387" s="18"/>
      <c r="O387" s="363"/>
    </row>
    <row r="388" spans="1:15" s="58" customFormat="1" hidden="1">
      <c r="A388" s="60"/>
      <c r="B388" s="60"/>
      <c r="C388" s="265"/>
      <c r="D388" s="265"/>
      <c r="E388" s="6"/>
      <c r="F388" s="323"/>
      <c r="G388" s="6"/>
      <c r="H388" s="162"/>
      <c r="I388" s="261"/>
      <c r="J388" s="6"/>
      <c r="K388" s="6"/>
      <c r="L388" s="162"/>
      <c r="M388" s="18"/>
      <c r="O388" s="363"/>
    </row>
    <row r="389" spans="1:15" s="58" customFormat="1" hidden="1">
      <c r="A389" s="60"/>
      <c r="B389" s="60"/>
      <c r="C389" s="265"/>
      <c r="D389" s="265"/>
      <c r="E389" s="6"/>
      <c r="F389" s="323"/>
      <c r="G389" s="6"/>
      <c r="H389" s="162"/>
      <c r="I389" s="261"/>
      <c r="J389" s="6"/>
      <c r="K389" s="6"/>
      <c r="L389" s="162"/>
      <c r="M389" s="18"/>
      <c r="O389" s="363"/>
    </row>
    <row r="390" spans="1:15" s="58" customFormat="1" hidden="1">
      <c r="A390" s="60"/>
      <c r="B390" s="60"/>
      <c r="C390" s="265"/>
      <c r="D390" s="265"/>
      <c r="E390" s="6"/>
      <c r="F390" s="323"/>
      <c r="G390" s="6"/>
      <c r="H390" s="162"/>
      <c r="I390" s="261"/>
      <c r="J390" s="6"/>
      <c r="K390" s="6"/>
      <c r="L390" s="162"/>
      <c r="M390" s="18"/>
      <c r="O390" s="363"/>
    </row>
    <row r="391" spans="1:15" s="58" customFormat="1" hidden="1">
      <c r="A391" s="60"/>
      <c r="B391" s="60"/>
      <c r="C391" s="265"/>
      <c r="D391" s="265"/>
      <c r="E391" s="6"/>
      <c r="F391" s="323"/>
      <c r="G391" s="6"/>
      <c r="H391" s="162"/>
      <c r="I391" s="261"/>
      <c r="J391" s="6"/>
      <c r="K391" s="6"/>
      <c r="L391" s="162"/>
      <c r="M391" s="18"/>
      <c r="O391" s="363"/>
    </row>
    <row r="392" spans="1:15" s="58" customFormat="1" hidden="1">
      <c r="A392" s="60"/>
      <c r="B392" s="60"/>
      <c r="C392" s="265"/>
      <c r="D392" s="265"/>
      <c r="E392" s="6"/>
      <c r="F392" s="323"/>
      <c r="G392" s="6"/>
      <c r="H392" s="162"/>
      <c r="I392" s="261"/>
      <c r="J392" s="6"/>
      <c r="K392" s="6"/>
      <c r="L392" s="162"/>
      <c r="M392" s="18"/>
      <c r="O392" s="363"/>
    </row>
    <row r="393" spans="1:15" s="58" customFormat="1" hidden="1">
      <c r="A393" s="60"/>
      <c r="B393" s="60"/>
      <c r="C393" s="265"/>
      <c r="D393" s="265"/>
      <c r="E393" s="6"/>
      <c r="F393" s="323"/>
      <c r="G393" s="6"/>
      <c r="H393" s="162"/>
      <c r="I393" s="261"/>
      <c r="J393" s="6"/>
      <c r="K393" s="6"/>
      <c r="L393" s="162"/>
      <c r="M393" s="18"/>
      <c r="O393" s="363"/>
    </row>
    <row r="394" spans="1:15" s="58" customFormat="1" hidden="1">
      <c r="A394" s="60"/>
      <c r="B394" s="60"/>
      <c r="C394" s="265"/>
      <c r="D394" s="265"/>
      <c r="E394" s="6"/>
      <c r="F394" s="323"/>
      <c r="G394" s="6"/>
      <c r="H394" s="162"/>
      <c r="I394" s="261"/>
      <c r="J394" s="6"/>
      <c r="K394" s="6"/>
      <c r="L394" s="162"/>
      <c r="M394" s="18"/>
      <c r="O394" s="363"/>
    </row>
    <row r="395" spans="1:15" s="58" customFormat="1" hidden="1">
      <c r="A395" s="60"/>
      <c r="B395" s="60"/>
      <c r="C395" s="265"/>
      <c r="D395" s="265"/>
      <c r="E395" s="6"/>
      <c r="F395" s="323"/>
      <c r="G395" s="6"/>
      <c r="H395" s="162"/>
      <c r="I395" s="261"/>
      <c r="J395" s="6"/>
      <c r="K395" s="6"/>
      <c r="L395" s="162"/>
      <c r="M395" s="18"/>
      <c r="O395" s="363"/>
    </row>
    <row r="396" spans="1:15" s="58" customFormat="1" hidden="1">
      <c r="A396" s="60"/>
      <c r="B396" s="60"/>
      <c r="C396" s="265"/>
      <c r="D396" s="265"/>
      <c r="E396" s="6"/>
      <c r="F396" s="323"/>
      <c r="G396" s="6"/>
      <c r="H396" s="162"/>
      <c r="I396" s="261"/>
      <c r="J396" s="6"/>
      <c r="K396" s="6"/>
      <c r="L396" s="162"/>
      <c r="M396" s="18"/>
      <c r="O396" s="363"/>
    </row>
    <row r="397" spans="1:15" s="58" customFormat="1" hidden="1">
      <c r="A397" s="216"/>
      <c r="B397" s="216"/>
      <c r="C397" s="265"/>
      <c r="D397" s="265"/>
      <c r="E397" s="6"/>
      <c r="F397" s="323"/>
      <c r="G397" s="6"/>
      <c r="H397" s="162"/>
      <c r="I397" s="261"/>
      <c r="J397" s="6"/>
      <c r="K397" s="6"/>
      <c r="L397" s="317"/>
      <c r="M397" s="272"/>
      <c r="O397" s="363"/>
    </row>
    <row r="398" spans="1:15" s="58" customFormat="1" hidden="1">
      <c r="A398" s="216"/>
      <c r="B398" s="216"/>
      <c r="C398" s="265"/>
      <c r="D398" s="265"/>
      <c r="E398" s="6"/>
      <c r="F398" s="323"/>
      <c r="G398" s="6"/>
      <c r="H398" s="162"/>
      <c r="I398" s="261"/>
      <c r="J398" s="6"/>
      <c r="K398" s="6"/>
      <c r="L398" s="317"/>
      <c r="M398" s="272"/>
      <c r="O398" s="363"/>
    </row>
    <row r="399" spans="1:15" s="58" customFormat="1" hidden="1">
      <c r="A399" s="216"/>
      <c r="B399" s="216"/>
      <c r="C399" s="265"/>
      <c r="D399" s="265"/>
      <c r="E399" s="6"/>
      <c r="F399" s="323"/>
      <c r="G399" s="6"/>
      <c r="H399" s="162"/>
      <c r="I399" s="261"/>
      <c r="J399" s="6"/>
      <c r="K399" s="6"/>
      <c r="L399" s="317"/>
      <c r="M399" s="272"/>
      <c r="O399" s="363"/>
    </row>
    <row r="400" spans="1:15" s="58" customFormat="1" hidden="1">
      <c r="A400" s="216"/>
      <c r="B400" s="216"/>
      <c r="C400" s="265"/>
      <c r="D400" s="265"/>
      <c r="E400" s="6"/>
      <c r="F400" s="323"/>
      <c r="G400" s="6"/>
      <c r="H400" s="162"/>
      <c r="I400" s="261"/>
      <c r="J400" s="6"/>
      <c r="K400" s="6"/>
      <c r="L400" s="317"/>
      <c r="M400" s="272"/>
      <c r="O400" s="363"/>
    </row>
    <row r="401" spans="1:15" s="58" customFormat="1" hidden="1">
      <c r="A401" s="216"/>
      <c r="B401" s="216"/>
      <c r="C401" s="265"/>
      <c r="D401" s="265"/>
      <c r="E401" s="6"/>
      <c r="F401" s="323"/>
      <c r="G401" s="6"/>
      <c r="H401" s="162"/>
      <c r="I401" s="261"/>
      <c r="J401" s="6"/>
      <c r="K401" s="6"/>
      <c r="L401" s="317"/>
      <c r="M401" s="272"/>
      <c r="O401" s="363"/>
    </row>
    <row r="402" spans="1:15" s="58" customFormat="1" hidden="1">
      <c r="A402" s="216"/>
      <c r="B402" s="216"/>
      <c r="C402" s="265"/>
      <c r="D402" s="265"/>
      <c r="E402" s="6"/>
      <c r="F402" s="323"/>
      <c r="G402" s="6"/>
      <c r="H402" s="162"/>
      <c r="I402" s="261"/>
      <c r="J402" s="6"/>
      <c r="K402" s="6"/>
      <c r="L402" s="317"/>
      <c r="M402" s="272"/>
      <c r="O402" s="363"/>
    </row>
    <row r="403" spans="1:15" s="58" customFormat="1" hidden="1">
      <c r="A403" s="216"/>
      <c r="B403" s="216"/>
      <c r="C403" s="265"/>
      <c r="D403" s="265"/>
      <c r="E403" s="6"/>
      <c r="F403" s="323"/>
      <c r="G403" s="6"/>
      <c r="H403" s="162"/>
      <c r="I403" s="261"/>
      <c r="J403" s="6"/>
      <c r="K403" s="6"/>
      <c r="L403" s="317"/>
      <c r="M403" s="272"/>
      <c r="O403" s="363"/>
    </row>
  </sheetData>
  <dataValidations count="4">
    <dataValidation type="list" allowBlank="1" showInputMessage="1" showErrorMessage="1" sqref="E2:E1048576">
      <formula1>"App &amp; Data Migration, Change Management, IT Transition, M&amp;C Program, SharePoint, Technology Foundation, Unified Communications"</formula1>
    </dataValidation>
    <dataValidation type="list" allowBlank="1" showInputMessage="1" showErrorMessage="1" sqref="G1:G1048576">
      <formula1>"Closed, Pending, Obsolete"</formula1>
    </dataValidation>
    <dataValidation type="date" allowBlank="1" showInputMessage="1" showErrorMessage="1" sqref="L1:L1048576">
      <formula1>40923</formula1>
      <formula2>41274</formula2>
    </dataValidation>
    <dataValidation type="list" allowBlank="1" showInputMessage="1" showErrorMessage="1" sqref="F1:F1048576">
      <formula1>"TF - Messaging, TF - Lync, TF - SPF, SP - People, SP - Communities, SP - CMS, SP - Metadata Management, SP - Search, SP - Research Tools, SP - Subscribe and Deliver, SP - User Experience"</formula1>
    </dataValidation>
  </dataValidations>
  <hyperlinks>
    <hyperlink ref="K24" r:id="rId1"/>
  </hyperlinks>
  <pageMargins left="0.99937500000000001" right="0.7" top="0.75" bottom="0.75" header="0.3" footer="0.3"/>
  <pageSetup paperSize="9" scale="83" orientation="landscape" r:id="rId2"/>
  <headerFooter>
    <oddHeader>&amp;L&amp;"EYInterstate Light,Bold"[Project name]
Decision Log&amp;R&amp;"EYInterstate Light,Regular"&amp;9Last Updated: DD-MMM-YYYY</oddHeader>
    <oddFooter>&amp;L&amp;"EYInterstate Light,Regular"&amp;9Template: Blueprint v4.4 - RAID (June 2011)&amp;R&amp;"EYInterstate Light,Regular"&amp;9&amp;P</oddFooter>
  </headerFooter>
  <ignoredErrors>
    <ignoredError sqref="F1:G1 L1" listDataValidation="1"/>
  </ignoredErrors>
  <legacyDrawing r:id="rId3"/>
  <tableParts count="1">
    <tablePart r:id="rId4"/>
  </tableParts>
</worksheet>
</file>

<file path=xl/worksheets/sheet7.xml><?xml version="1.0" encoding="utf-8"?>
<worksheet xmlns="http://schemas.openxmlformats.org/spreadsheetml/2006/main" xmlns:r="http://schemas.openxmlformats.org/officeDocument/2006/relationships">
  <dimension ref="A1:G60"/>
  <sheetViews>
    <sheetView zoomScale="88" zoomScaleNormal="88" workbookViewId="0">
      <selection activeCell="E1" sqref="E1"/>
    </sheetView>
  </sheetViews>
  <sheetFormatPr defaultRowHeight="12.75"/>
  <cols>
    <col min="1" max="1" width="11.5703125" style="242" customWidth="1"/>
    <col min="2" max="2" width="10.5703125" style="242" customWidth="1"/>
    <col min="3" max="3" width="53.28515625" style="248" customWidth="1"/>
    <col min="4" max="4" width="51" style="248" customWidth="1"/>
    <col min="5" max="5" width="20.140625" style="248" customWidth="1"/>
    <col min="6" max="6" width="10.5703125" style="242" customWidth="1"/>
    <col min="7" max="7" width="12.28515625" style="242" customWidth="1"/>
    <col min="8" max="16384" width="9.140625" style="242"/>
  </cols>
  <sheetData>
    <row r="1" spans="1:7" s="236" customFormat="1">
      <c r="A1" s="232" t="s">
        <v>1790</v>
      </c>
      <c r="B1" s="233" t="s">
        <v>4</v>
      </c>
      <c r="C1" s="234" t="s">
        <v>138</v>
      </c>
      <c r="D1" s="234" t="s">
        <v>72</v>
      </c>
      <c r="E1" s="234" t="s">
        <v>139</v>
      </c>
      <c r="F1" s="233" t="s">
        <v>71</v>
      </c>
      <c r="G1" s="235" t="s">
        <v>140</v>
      </c>
    </row>
    <row r="2" spans="1:7" customFormat="1" ht="38.25" hidden="1">
      <c r="A2" s="53" t="s">
        <v>1511</v>
      </c>
      <c r="B2" s="8" t="s">
        <v>676</v>
      </c>
      <c r="C2" s="139" t="s">
        <v>1510</v>
      </c>
      <c r="D2" s="139"/>
      <c r="E2" s="48" t="s">
        <v>261</v>
      </c>
      <c r="F2" s="134">
        <v>40919</v>
      </c>
      <c r="G2" s="135">
        <v>40918</v>
      </c>
    </row>
    <row r="3" spans="1:7" customFormat="1" hidden="1">
      <c r="A3" s="53" t="s">
        <v>1517</v>
      </c>
      <c r="B3" s="8" t="s">
        <v>676</v>
      </c>
      <c r="C3" s="139" t="s">
        <v>1515</v>
      </c>
      <c r="D3" s="139"/>
      <c r="E3" s="48" t="s">
        <v>1516</v>
      </c>
      <c r="F3" s="134">
        <v>40912</v>
      </c>
      <c r="G3" s="135">
        <v>40912</v>
      </c>
    </row>
    <row r="4" spans="1:7" customFormat="1" ht="25.5" hidden="1">
      <c r="A4" s="53" t="s">
        <v>1518</v>
      </c>
      <c r="B4" s="8" t="s">
        <v>676</v>
      </c>
      <c r="C4" s="139" t="s">
        <v>1519</v>
      </c>
      <c r="D4" s="139"/>
      <c r="E4" s="139" t="s">
        <v>1520</v>
      </c>
      <c r="F4" s="134">
        <v>40919</v>
      </c>
      <c r="G4" s="135">
        <v>40919</v>
      </c>
    </row>
    <row r="5" spans="1:7" customFormat="1" ht="25.5" hidden="1">
      <c r="A5" s="53" t="s">
        <v>1523</v>
      </c>
      <c r="B5" s="8" t="s">
        <v>676</v>
      </c>
      <c r="C5" s="139" t="s">
        <v>1522</v>
      </c>
      <c r="D5" s="139"/>
      <c r="E5" s="139" t="s">
        <v>261</v>
      </c>
      <c r="F5" s="134">
        <v>40919</v>
      </c>
      <c r="G5" s="135">
        <v>40919</v>
      </c>
    </row>
    <row r="6" spans="1:7" ht="38.25" hidden="1">
      <c r="A6" s="237" t="s">
        <v>1525</v>
      </c>
      <c r="B6" s="238" t="s">
        <v>676</v>
      </c>
      <c r="C6" s="239" t="s">
        <v>1524</v>
      </c>
      <c r="D6" s="239" t="s">
        <v>2158</v>
      </c>
      <c r="E6" s="239" t="s">
        <v>261</v>
      </c>
      <c r="F6" s="240">
        <v>40919</v>
      </c>
      <c r="G6" s="281">
        <v>40960</v>
      </c>
    </row>
    <row r="7" spans="1:7" customFormat="1" ht="25.5" hidden="1">
      <c r="A7" s="53" t="s">
        <v>1529</v>
      </c>
      <c r="B7" s="8" t="s">
        <v>676</v>
      </c>
      <c r="C7" s="139" t="s">
        <v>1528</v>
      </c>
      <c r="D7" s="139"/>
      <c r="E7" s="48" t="s">
        <v>471</v>
      </c>
      <c r="F7" s="134">
        <v>40919</v>
      </c>
      <c r="G7" s="135">
        <v>40918</v>
      </c>
    </row>
    <row r="8" spans="1:7" ht="51" hidden="1">
      <c r="A8" s="237" t="s">
        <v>1535</v>
      </c>
      <c r="B8" s="238" t="s">
        <v>676</v>
      </c>
      <c r="C8" s="239" t="s">
        <v>1539</v>
      </c>
      <c r="D8" s="239" t="s">
        <v>1993</v>
      </c>
      <c r="E8" s="239" t="s">
        <v>261</v>
      </c>
      <c r="F8" s="240">
        <v>40919</v>
      </c>
      <c r="G8" s="281">
        <v>40947</v>
      </c>
    </row>
    <row r="9" spans="1:7" ht="51" hidden="1">
      <c r="A9" s="237" t="s">
        <v>1672</v>
      </c>
      <c r="B9" s="238" t="s">
        <v>676</v>
      </c>
      <c r="C9" s="243" t="s">
        <v>1671</v>
      </c>
      <c r="D9" s="243" t="s">
        <v>1994</v>
      </c>
      <c r="E9" s="243" t="s">
        <v>1673</v>
      </c>
      <c r="F9" s="240">
        <v>40926</v>
      </c>
      <c r="G9" s="281">
        <v>40947</v>
      </c>
    </row>
    <row r="10" spans="1:7" customFormat="1" ht="25.5" hidden="1">
      <c r="A10" s="53" t="s">
        <v>1675</v>
      </c>
      <c r="B10" s="8" t="s">
        <v>676</v>
      </c>
      <c r="C10" s="40" t="s">
        <v>1718</v>
      </c>
      <c r="D10" s="40"/>
      <c r="E10" s="40" t="s">
        <v>1676</v>
      </c>
      <c r="F10" s="134">
        <v>40926</v>
      </c>
      <c r="G10" s="135">
        <v>40926</v>
      </c>
    </row>
    <row r="11" spans="1:7" ht="51" hidden="1">
      <c r="A11" s="237" t="s">
        <v>1678</v>
      </c>
      <c r="B11" s="238" t="s">
        <v>676</v>
      </c>
      <c r="C11" s="243" t="s">
        <v>1677</v>
      </c>
      <c r="D11" s="243" t="s">
        <v>2452</v>
      </c>
      <c r="E11" s="243" t="s">
        <v>166</v>
      </c>
      <c r="F11" s="240">
        <v>40940</v>
      </c>
      <c r="G11" s="281">
        <v>40974</v>
      </c>
    </row>
    <row r="12" spans="1:7" ht="38.25" hidden="1">
      <c r="A12" s="237" t="s">
        <v>1715</v>
      </c>
      <c r="B12" s="238" t="s">
        <v>676</v>
      </c>
      <c r="C12" s="243" t="s">
        <v>1716</v>
      </c>
      <c r="D12" s="243" t="s">
        <v>1995</v>
      </c>
      <c r="E12" s="243" t="s">
        <v>1717</v>
      </c>
      <c r="F12" s="240">
        <v>40932</v>
      </c>
      <c r="G12" s="281">
        <v>40947</v>
      </c>
    </row>
    <row r="13" spans="1:7" ht="38.25" hidden="1">
      <c r="A13" s="237" t="s">
        <v>1751</v>
      </c>
      <c r="B13" s="240" t="s">
        <v>676</v>
      </c>
      <c r="C13" s="243" t="s">
        <v>1752</v>
      </c>
      <c r="D13" s="243" t="s">
        <v>2602</v>
      </c>
      <c r="E13" s="243" t="s">
        <v>1753</v>
      </c>
      <c r="F13" s="238"/>
      <c r="G13" s="241"/>
    </row>
    <row r="14" spans="1:7" s="211" customFormat="1" ht="85.5" hidden="1">
      <c r="A14" s="208" t="s">
        <v>1775</v>
      </c>
      <c r="B14" s="209" t="s">
        <v>676</v>
      </c>
      <c r="C14" s="212" t="s">
        <v>1774</v>
      </c>
      <c r="D14" s="212" t="s">
        <v>1833</v>
      </c>
      <c r="E14" s="212" t="s">
        <v>523</v>
      </c>
      <c r="F14" s="210">
        <v>40940</v>
      </c>
      <c r="G14" s="213">
        <v>40934</v>
      </c>
    </row>
    <row r="15" spans="1:7" s="211" customFormat="1" ht="28.5" hidden="1">
      <c r="A15" s="208" t="s">
        <v>1777</v>
      </c>
      <c r="B15" s="209" t="s">
        <v>676</v>
      </c>
      <c r="C15" s="212" t="s">
        <v>1776</v>
      </c>
      <c r="D15" s="212" t="s">
        <v>574</v>
      </c>
      <c r="E15" s="212" t="s">
        <v>1520</v>
      </c>
      <c r="F15" s="210">
        <v>40940</v>
      </c>
      <c r="G15" s="213">
        <v>40934</v>
      </c>
    </row>
    <row r="16" spans="1:7" ht="76.5">
      <c r="A16" s="237" t="s">
        <v>1782</v>
      </c>
      <c r="B16" s="238" t="s">
        <v>1509</v>
      </c>
      <c r="C16" s="243" t="s">
        <v>1827</v>
      </c>
      <c r="D16" s="243" t="s">
        <v>1828</v>
      </c>
      <c r="E16" s="243" t="s">
        <v>1789</v>
      </c>
      <c r="F16" s="240">
        <v>41030</v>
      </c>
      <c r="G16" s="241"/>
    </row>
    <row r="17" spans="1:7" ht="76.5">
      <c r="A17" s="237" t="s">
        <v>1783</v>
      </c>
      <c r="B17" s="238" t="s">
        <v>1509</v>
      </c>
      <c r="C17" s="243" t="s">
        <v>1826</v>
      </c>
      <c r="D17" s="243" t="s">
        <v>1828</v>
      </c>
      <c r="E17" s="243" t="s">
        <v>1789</v>
      </c>
      <c r="F17" s="240">
        <v>41030</v>
      </c>
      <c r="G17" s="241"/>
    </row>
    <row r="18" spans="1:7" ht="76.5">
      <c r="A18" s="237" t="s">
        <v>1784</v>
      </c>
      <c r="B18" s="238" t="s">
        <v>1509</v>
      </c>
      <c r="C18" s="243" t="s">
        <v>1830</v>
      </c>
      <c r="D18" s="243" t="s">
        <v>1828</v>
      </c>
      <c r="E18" s="243" t="s">
        <v>1789</v>
      </c>
      <c r="F18" s="240">
        <v>40938</v>
      </c>
      <c r="G18" s="241"/>
    </row>
    <row r="19" spans="1:7" ht="76.5">
      <c r="A19" s="237" t="s">
        <v>1785</v>
      </c>
      <c r="B19" s="238" t="s">
        <v>1509</v>
      </c>
      <c r="C19" s="243" t="s">
        <v>1825</v>
      </c>
      <c r="D19" s="243" t="s">
        <v>1828</v>
      </c>
      <c r="E19" s="243" t="s">
        <v>1789</v>
      </c>
      <c r="F19" s="240">
        <v>41000</v>
      </c>
      <c r="G19" s="241"/>
    </row>
    <row r="20" spans="1:7" ht="76.5">
      <c r="A20" s="237" t="s">
        <v>1786</v>
      </c>
      <c r="B20" s="238" t="s">
        <v>1509</v>
      </c>
      <c r="C20" s="243" t="s">
        <v>1829</v>
      </c>
      <c r="D20" s="243" t="s">
        <v>1828</v>
      </c>
      <c r="E20" s="243" t="s">
        <v>1789</v>
      </c>
      <c r="F20" s="240">
        <v>40938</v>
      </c>
      <c r="G20" s="241"/>
    </row>
    <row r="21" spans="1:7" ht="76.5">
      <c r="A21" s="237" t="s">
        <v>1787</v>
      </c>
      <c r="B21" s="238" t="s">
        <v>1509</v>
      </c>
      <c r="C21" s="243" t="s">
        <v>1824</v>
      </c>
      <c r="D21" s="243" t="s">
        <v>1828</v>
      </c>
      <c r="E21" s="243" t="s">
        <v>1789</v>
      </c>
      <c r="F21" s="240">
        <v>41000</v>
      </c>
      <c r="G21" s="241"/>
    </row>
    <row r="22" spans="1:7" ht="76.5">
      <c r="A22" s="237" t="s">
        <v>1788</v>
      </c>
      <c r="B22" s="238" t="s">
        <v>1509</v>
      </c>
      <c r="C22" s="243" t="s">
        <v>1823</v>
      </c>
      <c r="D22" s="243" t="s">
        <v>1828</v>
      </c>
      <c r="E22" s="243" t="s">
        <v>1789</v>
      </c>
      <c r="F22" s="240">
        <v>41000</v>
      </c>
      <c r="G22" s="241"/>
    </row>
    <row r="23" spans="1:7" ht="51">
      <c r="A23" s="237" t="s">
        <v>1791</v>
      </c>
      <c r="B23" s="238" t="s">
        <v>1509</v>
      </c>
      <c r="C23" s="243" t="s">
        <v>1822</v>
      </c>
      <c r="D23" s="243" t="s">
        <v>1793</v>
      </c>
      <c r="E23" s="243" t="s">
        <v>1792</v>
      </c>
      <c r="F23" s="240">
        <v>41000</v>
      </c>
      <c r="G23" s="241"/>
    </row>
    <row r="24" spans="1:7" ht="51">
      <c r="A24" s="237" t="s">
        <v>1794</v>
      </c>
      <c r="B24" s="238" t="s">
        <v>1509</v>
      </c>
      <c r="C24" s="243" t="s">
        <v>1821</v>
      </c>
      <c r="D24" s="243" t="s">
        <v>1801</v>
      </c>
      <c r="E24" s="243" t="s">
        <v>1792</v>
      </c>
      <c r="F24" s="240">
        <v>41000</v>
      </c>
      <c r="G24" s="241"/>
    </row>
    <row r="25" spans="1:7" ht="25.5">
      <c r="A25" s="237" t="s">
        <v>1795</v>
      </c>
      <c r="B25" s="238" t="s">
        <v>1509</v>
      </c>
      <c r="C25" s="243" t="s">
        <v>1820</v>
      </c>
      <c r="D25" s="243" t="s">
        <v>1802</v>
      </c>
      <c r="E25" s="243" t="s">
        <v>2162</v>
      </c>
      <c r="F25" s="240">
        <v>41030</v>
      </c>
      <c r="G25" s="241"/>
    </row>
    <row r="26" spans="1:7" ht="25.5">
      <c r="A26" s="237" t="s">
        <v>1796</v>
      </c>
      <c r="B26" s="238" t="s">
        <v>1509</v>
      </c>
      <c r="C26" s="243" t="s">
        <v>1819</v>
      </c>
      <c r="D26" s="243" t="s">
        <v>1803</v>
      </c>
      <c r="E26" s="243" t="s">
        <v>2162</v>
      </c>
      <c r="F26" s="240">
        <v>41030</v>
      </c>
      <c r="G26" s="241"/>
    </row>
    <row r="27" spans="1:7" ht="89.25" hidden="1">
      <c r="A27" s="237" t="s">
        <v>1797</v>
      </c>
      <c r="B27" s="238" t="s">
        <v>676</v>
      </c>
      <c r="C27" s="243" t="s">
        <v>1806</v>
      </c>
      <c r="D27" s="243" t="s">
        <v>2161</v>
      </c>
      <c r="E27" s="243" t="s">
        <v>1804</v>
      </c>
      <c r="F27" s="240">
        <v>40921</v>
      </c>
      <c r="G27" s="281">
        <v>40960</v>
      </c>
    </row>
    <row r="28" spans="1:7" ht="63.75">
      <c r="A28" s="237" t="s">
        <v>1798</v>
      </c>
      <c r="B28" s="238" t="s">
        <v>1509</v>
      </c>
      <c r="C28" s="243" t="s">
        <v>1807</v>
      </c>
      <c r="D28" s="243" t="s">
        <v>1805</v>
      </c>
      <c r="E28" s="243" t="s">
        <v>2160</v>
      </c>
      <c r="F28" s="240">
        <v>40952</v>
      </c>
      <c r="G28" s="241"/>
    </row>
    <row r="29" spans="1:7" ht="63.75">
      <c r="A29" s="237" t="s">
        <v>1799</v>
      </c>
      <c r="B29" s="238" t="s">
        <v>1509</v>
      </c>
      <c r="C29" s="243" t="s">
        <v>1808</v>
      </c>
      <c r="D29" s="243" t="s">
        <v>1805</v>
      </c>
      <c r="E29" s="243" t="s">
        <v>2160</v>
      </c>
      <c r="F29" s="240">
        <v>40987</v>
      </c>
      <c r="G29" s="241"/>
    </row>
    <row r="30" spans="1:7" ht="25.5">
      <c r="A30" s="237" t="s">
        <v>1800</v>
      </c>
      <c r="B30" s="238" t="s">
        <v>1509</v>
      </c>
      <c r="C30" s="243" t="s">
        <v>1810</v>
      </c>
      <c r="D30" s="243" t="s">
        <v>1814</v>
      </c>
      <c r="E30" s="243" t="s">
        <v>1809</v>
      </c>
      <c r="F30" s="240">
        <v>41014</v>
      </c>
      <c r="G30" s="241"/>
    </row>
    <row r="31" spans="1:7" ht="38.25" hidden="1">
      <c r="A31" s="237" t="s">
        <v>1811</v>
      </c>
      <c r="B31" s="238" t="s">
        <v>676</v>
      </c>
      <c r="C31" s="243" t="s">
        <v>1813</v>
      </c>
      <c r="D31" s="243" t="s">
        <v>2159</v>
      </c>
      <c r="E31" s="243" t="s">
        <v>1815</v>
      </c>
      <c r="F31" s="240">
        <v>41000</v>
      </c>
      <c r="G31" s="281">
        <v>40960</v>
      </c>
    </row>
    <row r="32" spans="1:7" ht="51">
      <c r="A32" s="237" t="s">
        <v>1812</v>
      </c>
      <c r="B32" s="238" t="s">
        <v>1509</v>
      </c>
      <c r="C32" s="243" t="s">
        <v>1818</v>
      </c>
      <c r="D32" s="243" t="s">
        <v>1816</v>
      </c>
      <c r="E32" s="243" t="s">
        <v>1817</v>
      </c>
      <c r="F32" s="240">
        <v>40931</v>
      </c>
      <c r="G32" s="241"/>
    </row>
    <row r="33" spans="1:7" ht="25.5" hidden="1">
      <c r="A33" s="237" t="s">
        <v>1887</v>
      </c>
      <c r="B33" s="238" t="s">
        <v>676</v>
      </c>
      <c r="C33" s="243" t="s">
        <v>1886</v>
      </c>
      <c r="D33" s="243" t="s">
        <v>2157</v>
      </c>
      <c r="E33" s="243" t="s">
        <v>685</v>
      </c>
      <c r="F33" s="240">
        <v>40947</v>
      </c>
      <c r="G33" s="281">
        <v>40949</v>
      </c>
    </row>
    <row r="34" spans="1:7" ht="25.5" hidden="1">
      <c r="A34" s="237" t="s">
        <v>1991</v>
      </c>
      <c r="B34" s="238" t="s">
        <v>676</v>
      </c>
      <c r="C34" s="243" t="s">
        <v>1992</v>
      </c>
      <c r="D34" s="243" t="s">
        <v>2603</v>
      </c>
      <c r="E34" s="243" t="s">
        <v>166</v>
      </c>
      <c r="F34" s="240">
        <v>40954</v>
      </c>
      <c r="G34" s="281">
        <v>40974</v>
      </c>
    </row>
    <row r="35" spans="1:7" ht="38.25" hidden="1">
      <c r="A35" s="237" t="s">
        <v>1998</v>
      </c>
      <c r="B35" s="238" t="s">
        <v>676</v>
      </c>
      <c r="C35" s="243" t="s">
        <v>1999</v>
      </c>
      <c r="D35" s="243" t="s">
        <v>2604</v>
      </c>
      <c r="E35" s="243" t="s">
        <v>2000</v>
      </c>
      <c r="F35" s="240">
        <v>40954</v>
      </c>
      <c r="G35" s="281">
        <v>40974</v>
      </c>
    </row>
    <row r="36" spans="1:7" ht="38.25">
      <c r="A36" s="237" t="s">
        <v>2002</v>
      </c>
      <c r="B36" s="238" t="s">
        <v>1509</v>
      </c>
      <c r="C36" s="243" t="s">
        <v>2001</v>
      </c>
      <c r="D36" s="243"/>
      <c r="E36" s="243" t="s">
        <v>323</v>
      </c>
      <c r="F36" s="240">
        <v>40954</v>
      </c>
      <c r="G36" s="241"/>
    </row>
    <row r="37" spans="1:7" ht="38.25">
      <c r="A37" s="237" t="s">
        <v>2003</v>
      </c>
      <c r="B37" s="238" t="s">
        <v>1509</v>
      </c>
      <c r="C37" s="243" t="s">
        <v>2005</v>
      </c>
      <c r="D37" s="243"/>
      <c r="E37" s="243" t="s">
        <v>2004</v>
      </c>
      <c r="F37" s="240" t="s">
        <v>768</v>
      </c>
      <c r="G37" s="241"/>
    </row>
    <row r="38" spans="1:7" ht="51">
      <c r="A38" s="237" t="s">
        <v>2008</v>
      </c>
      <c r="B38" s="238" t="s">
        <v>1509</v>
      </c>
      <c r="C38" s="243" t="s">
        <v>1738</v>
      </c>
      <c r="D38" s="243" t="s">
        <v>2009</v>
      </c>
      <c r="E38" s="243" t="s">
        <v>2010</v>
      </c>
      <c r="F38" s="240"/>
      <c r="G38" s="241"/>
    </row>
    <row r="39" spans="1:7" ht="51" hidden="1">
      <c r="A39" s="237" t="s">
        <v>2155</v>
      </c>
      <c r="B39" s="238" t="s">
        <v>676</v>
      </c>
      <c r="C39" s="243" t="s">
        <v>2156</v>
      </c>
      <c r="D39" s="243" t="s">
        <v>2605</v>
      </c>
      <c r="E39" s="243" t="s">
        <v>166</v>
      </c>
      <c r="F39" s="240"/>
      <c r="G39" s="281">
        <v>40973</v>
      </c>
    </row>
    <row r="40" spans="1:7" ht="51" hidden="1">
      <c r="A40" s="237" t="s">
        <v>2222</v>
      </c>
      <c r="B40" s="238" t="s">
        <v>676</v>
      </c>
      <c r="C40" s="243" t="s">
        <v>2223</v>
      </c>
      <c r="D40" s="243" t="s">
        <v>2224</v>
      </c>
      <c r="E40" s="243" t="s">
        <v>523</v>
      </c>
      <c r="F40" s="240">
        <v>40968</v>
      </c>
      <c r="G40" s="281">
        <v>40966</v>
      </c>
    </row>
    <row r="41" spans="1:7">
      <c r="A41" s="237"/>
      <c r="B41" s="238"/>
      <c r="C41" s="243"/>
      <c r="D41" s="243"/>
      <c r="E41" s="243"/>
      <c r="F41" s="240"/>
      <c r="G41" s="241"/>
    </row>
    <row r="42" spans="1:7">
      <c r="A42" s="237"/>
      <c r="B42" s="238"/>
      <c r="C42" s="243"/>
      <c r="D42" s="243"/>
      <c r="E42" s="243"/>
      <c r="F42" s="240"/>
      <c r="G42" s="241"/>
    </row>
    <row r="43" spans="1:7">
      <c r="A43" s="237"/>
      <c r="B43" s="238"/>
      <c r="C43" s="243"/>
      <c r="D43" s="243"/>
      <c r="E43" s="243"/>
      <c r="F43" s="240"/>
      <c r="G43" s="241"/>
    </row>
    <row r="44" spans="1:7">
      <c r="A44" s="237"/>
      <c r="B44" s="238"/>
      <c r="C44" s="243"/>
      <c r="D44" s="243"/>
      <c r="E44" s="243"/>
      <c r="F44" s="240"/>
      <c r="G44" s="241"/>
    </row>
    <row r="45" spans="1:7">
      <c r="A45" s="237"/>
      <c r="B45" s="238"/>
      <c r="C45" s="243"/>
      <c r="D45" s="243"/>
      <c r="E45" s="243"/>
      <c r="F45" s="240"/>
      <c r="G45" s="241"/>
    </row>
    <row r="46" spans="1:7">
      <c r="A46" s="237"/>
      <c r="B46" s="238"/>
      <c r="C46" s="243"/>
      <c r="D46" s="243"/>
      <c r="E46" s="243"/>
      <c r="F46" s="240"/>
      <c r="G46" s="241"/>
    </row>
    <row r="47" spans="1:7">
      <c r="A47" s="237"/>
      <c r="B47" s="238"/>
      <c r="C47" s="243"/>
      <c r="D47" s="243"/>
      <c r="E47" s="243"/>
      <c r="F47" s="240"/>
      <c r="G47" s="241"/>
    </row>
    <row r="48" spans="1:7">
      <c r="A48" s="237"/>
      <c r="B48" s="238"/>
      <c r="C48" s="243"/>
      <c r="D48" s="243"/>
      <c r="E48" s="243"/>
      <c r="F48" s="240"/>
      <c r="G48" s="241"/>
    </row>
    <row r="49" spans="1:7">
      <c r="A49" s="237"/>
      <c r="B49" s="238"/>
      <c r="C49" s="243"/>
      <c r="D49" s="243"/>
      <c r="E49" s="243"/>
      <c r="F49" s="240"/>
      <c r="G49" s="241"/>
    </row>
    <row r="50" spans="1:7">
      <c r="A50" s="237"/>
      <c r="B50" s="238"/>
      <c r="C50" s="243"/>
      <c r="D50" s="243"/>
      <c r="E50" s="243"/>
      <c r="F50" s="240"/>
      <c r="G50" s="241"/>
    </row>
    <row r="51" spans="1:7">
      <c r="A51" s="237"/>
      <c r="B51" s="238"/>
      <c r="C51" s="243"/>
      <c r="D51" s="243"/>
      <c r="E51" s="243"/>
      <c r="F51" s="240"/>
      <c r="G51" s="241"/>
    </row>
    <row r="52" spans="1:7">
      <c r="A52" s="237"/>
      <c r="B52" s="238"/>
      <c r="C52" s="243"/>
      <c r="D52" s="243"/>
      <c r="E52" s="243"/>
      <c r="F52" s="240"/>
      <c r="G52" s="241"/>
    </row>
    <row r="53" spans="1:7">
      <c r="A53" s="237"/>
      <c r="B53" s="238"/>
      <c r="C53" s="243"/>
      <c r="D53" s="243"/>
      <c r="E53" s="243"/>
      <c r="F53" s="238"/>
      <c r="G53" s="241"/>
    </row>
    <row r="54" spans="1:7">
      <c r="A54" s="237"/>
      <c r="B54" s="238"/>
      <c r="C54" s="243"/>
      <c r="D54" s="243"/>
      <c r="E54" s="243"/>
      <c r="F54" s="238"/>
      <c r="G54" s="241"/>
    </row>
    <row r="55" spans="1:7">
      <c r="A55" s="237"/>
      <c r="B55" s="238"/>
      <c r="C55" s="243"/>
      <c r="D55" s="243"/>
      <c r="E55" s="243"/>
      <c r="F55" s="238"/>
      <c r="G55" s="241"/>
    </row>
    <row r="56" spans="1:7">
      <c r="A56" s="237"/>
      <c r="B56" s="238"/>
      <c r="C56" s="243"/>
      <c r="D56" s="243"/>
      <c r="E56" s="243"/>
      <c r="F56" s="238"/>
      <c r="G56" s="241"/>
    </row>
    <row r="57" spans="1:7">
      <c r="A57" s="237"/>
      <c r="B57" s="238"/>
      <c r="C57" s="243"/>
      <c r="D57" s="243"/>
      <c r="E57" s="243"/>
      <c r="F57" s="238"/>
      <c r="G57" s="241"/>
    </row>
    <row r="58" spans="1:7">
      <c r="A58" s="237"/>
      <c r="B58" s="238"/>
      <c r="C58" s="243"/>
      <c r="D58" s="243"/>
      <c r="E58" s="243"/>
      <c r="F58" s="238"/>
      <c r="G58" s="241"/>
    </row>
    <row r="59" spans="1:7">
      <c r="A59" s="237"/>
      <c r="B59" s="238"/>
      <c r="C59" s="243"/>
      <c r="D59" s="243"/>
      <c r="E59" s="243"/>
      <c r="F59" s="238"/>
      <c r="G59" s="241"/>
    </row>
    <row r="60" spans="1:7">
      <c r="A60" s="244"/>
      <c r="B60" s="245"/>
      <c r="C60" s="246"/>
      <c r="D60" s="246"/>
      <c r="E60" s="246"/>
      <c r="F60" s="245"/>
      <c r="G60" s="247"/>
    </row>
  </sheetData>
  <dataValidations count="1">
    <dataValidation type="list" allowBlank="1" showInputMessage="1" showErrorMessage="1" sqref="B1:B3 B14:B1048576 B5:B12">
      <formula1>"Open, Closed"</formula1>
    </dataValidation>
  </dataValidations>
  <pageMargins left="0.7" right="0.7" top="0.75" bottom="0.75" header="0.3" footer="0.3"/>
  <pageSetup orientation="portrait" verticalDpi="0" r:id="rId1"/>
  <ignoredErrors>
    <ignoredError sqref="B53:B60 B1" listDataValidation="1"/>
  </ignoredErrors>
  <legacyDrawing r:id="rId2"/>
  <tableParts count="1">
    <tablePart r:id="rId3"/>
  </tableParts>
</worksheet>
</file>

<file path=xl/worksheets/sheet8.xml><?xml version="1.0" encoding="utf-8"?>
<worksheet xmlns="http://schemas.openxmlformats.org/spreadsheetml/2006/main" xmlns:r="http://schemas.openxmlformats.org/officeDocument/2006/relationships">
  <dimension ref="A1:AQ44"/>
  <sheetViews>
    <sheetView workbookViewId="0">
      <selection activeCell="M16" sqref="M16"/>
    </sheetView>
  </sheetViews>
  <sheetFormatPr defaultRowHeight="12.75"/>
  <cols>
    <col min="1" max="1" width="39.85546875" bestFit="1" customWidth="1"/>
    <col min="2" max="2" width="11.42578125" bestFit="1" customWidth="1"/>
    <col min="3" max="26" width="11.42578125" customWidth="1"/>
    <col min="27" max="27" width="9.28515625" customWidth="1"/>
  </cols>
  <sheetData>
    <row r="1" spans="1:43">
      <c r="B1" s="192">
        <v>40898</v>
      </c>
      <c r="C1" s="192">
        <v>40912</v>
      </c>
      <c r="D1" s="192">
        <v>40919</v>
      </c>
      <c r="E1" s="192">
        <v>40926</v>
      </c>
      <c r="F1" s="192">
        <v>40933</v>
      </c>
      <c r="G1" s="192">
        <v>40940</v>
      </c>
      <c r="H1" s="192">
        <v>40947</v>
      </c>
      <c r="I1" s="192">
        <v>40954</v>
      </c>
      <c r="J1" s="192">
        <v>40961</v>
      </c>
      <c r="K1" s="192">
        <v>40968</v>
      </c>
      <c r="L1" s="192">
        <v>40974</v>
      </c>
      <c r="M1" s="192">
        <v>40975</v>
      </c>
      <c r="N1" s="192">
        <v>40976</v>
      </c>
      <c r="O1" s="192">
        <v>40977</v>
      </c>
      <c r="P1" s="192">
        <v>40980</v>
      </c>
      <c r="Q1" s="192">
        <v>40981</v>
      </c>
      <c r="R1" s="192">
        <v>40982</v>
      </c>
      <c r="S1" s="192">
        <v>40983</v>
      </c>
      <c r="T1" s="192">
        <v>40984</v>
      </c>
      <c r="U1" s="192">
        <v>40987</v>
      </c>
      <c r="V1" s="192">
        <v>40988</v>
      </c>
      <c r="W1" s="192">
        <v>40989</v>
      </c>
      <c r="X1" s="192">
        <v>40990</v>
      </c>
      <c r="Y1" s="192">
        <v>40991</v>
      </c>
      <c r="Z1" s="192">
        <v>40994</v>
      </c>
      <c r="AA1" s="159" t="s">
        <v>2198</v>
      </c>
      <c r="AB1" s="193"/>
      <c r="AC1" s="9"/>
      <c r="AD1" s="9"/>
      <c r="AE1" s="9"/>
      <c r="AF1" s="9"/>
      <c r="AG1" s="9"/>
      <c r="AH1" s="9"/>
      <c r="AI1" s="9"/>
      <c r="AJ1" s="9"/>
      <c r="AK1" s="9"/>
      <c r="AL1" s="9"/>
      <c r="AM1" s="9"/>
      <c r="AN1" s="9"/>
      <c r="AO1" s="9"/>
      <c r="AP1" s="9"/>
      <c r="AQ1" s="9"/>
    </row>
    <row r="2" spans="1:43">
      <c r="A2" s="9" t="s">
        <v>45</v>
      </c>
      <c r="B2" s="48">
        <v>40</v>
      </c>
      <c r="C2" s="48">
        <v>34</v>
      </c>
      <c r="D2" s="48">
        <v>33</v>
      </c>
      <c r="E2" s="48">
        <v>30</v>
      </c>
      <c r="F2" s="48">
        <v>32</v>
      </c>
      <c r="G2" s="48">
        <v>32</v>
      </c>
      <c r="H2" s="48">
        <v>30</v>
      </c>
      <c r="I2" s="48">
        <v>30</v>
      </c>
      <c r="J2" s="48">
        <v>32</v>
      </c>
      <c r="K2" s="48">
        <v>39</v>
      </c>
      <c r="L2" s="48">
        <v>45</v>
      </c>
      <c r="M2" s="48">
        <v>38</v>
      </c>
      <c r="N2" s="48">
        <v>37</v>
      </c>
      <c r="O2" s="48">
        <v>32</v>
      </c>
      <c r="P2" s="48">
        <v>30</v>
      </c>
      <c r="Q2" s="48">
        <v>29</v>
      </c>
      <c r="R2" s="48">
        <v>32</v>
      </c>
      <c r="S2" s="48">
        <v>32</v>
      </c>
      <c r="T2" s="48">
        <v>32</v>
      </c>
      <c r="U2" s="48">
        <v>35</v>
      </c>
      <c r="V2" s="48">
        <v>35</v>
      </c>
      <c r="W2" s="48"/>
      <c r="X2" s="48"/>
      <c r="Y2" s="48"/>
      <c r="Z2" s="48"/>
      <c r="AA2" s="8">
        <f>COUNTIF('Risk Log'!D:D,"01. Open")+COUNTIF('Risk Log'!D:D,"02. Open &amp; Assigned")+COUNTIF('Risk Log'!D:D,"03. Action/Mitigation Plan Defined")+COUNTIF('Risk Log'!D:D,"04. Action Plan Completed")+COUNTIF('Risk Log'!D:D,"08. Blank")</f>
        <v>35</v>
      </c>
      <c r="AB2" s="8"/>
      <c r="AC2" s="8"/>
      <c r="AD2" s="8"/>
      <c r="AE2" s="8"/>
      <c r="AF2" s="8"/>
      <c r="AG2" s="8"/>
      <c r="AH2" s="8"/>
      <c r="AI2" s="8"/>
      <c r="AJ2" s="8"/>
      <c r="AK2" s="8"/>
      <c r="AL2" s="8"/>
      <c r="AM2" s="8"/>
      <c r="AN2" s="8"/>
      <c r="AO2" s="8"/>
      <c r="AP2" s="8"/>
      <c r="AQ2" s="8"/>
    </row>
    <row r="3" spans="1:43">
      <c r="A3" s="9" t="s">
        <v>141</v>
      </c>
      <c r="B3" s="48">
        <v>15</v>
      </c>
      <c r="C3" s="48">
        <v>10</v>
      </c>
      <c r="D3" s="48">
        <v>13</v>
      </c>
      <c r="E3" s="48">
        <v>13</v>
      </c>
      <c r="F3" s="48">
        <v>14</v>
      </c>
      <c r="G3" s="48">
        <v>14</v>
      </c>
      <c r="H3" s="48">
        <v>16</v>
      </c>
      <c r="I3" s="48">
        <v>16</v>
      </c>
      <c r="J3" s="48">
        <v>21</v>
      </c>
      <c r="K3" s="48">
        <v>28</v>
      </c>
      <c r="L3" s="48">
        <v>25</v>
      </c>
      <c r="M3" s="48">
        <v>19</v>
      </c>
      <c r="N3" s="48">
        <v>17</v>
      </c>
      <c r="O3" s="48">
        <v>14</v>
      </c>
      <c r="P3" s="48">
        <v>14</v>
      </c>
      <c r="Q3" s="48">
        <v>14</v>
      </c>
      <c r="R3" s="48">
        <v>17</v>
      </c>
      <c r="S3" s="48">
        <v>16</v>
      </c>
      <c r="T3" s="48">
        <v>16</v>
      </c>
      <c r="U3" s="48">
        <v>15</v>
      </c>
      <c r="V3" s="48">
        <v>15</v>
      </c>
      <c r="W3" s="48"/>
      <c r="X3" s="48"/>
      <c r="Y3" s="48"/>
      <c r="Z3" s="48"/>
      <c r="AA3" s="8">
        <f>COUNTIFS('Risk Log'!L:L,"High",'Risk Log'!D:D,"01. Open")+COUNTIFS('Risk Log'!L:L,"High",'Risk Log'!D:D,"02. Open &amp; Assigned")+COUNTIFS('Risk Log'!L:L,"High",'Risk Log'!D:D,"03. Action/Mitigation Plan Defined")+COUNTIFS('Risk Log'!L:L,"High",'Risk Log'!D:D,"04. Action Plan Completed")+COUNTIFS('Risk Log'!L:L,"High",'Risk Log'!D:D,"08. Blank")+COUNTIFS('Risk Log'!L:L,"Critical",'Risk Log'!D:D,"01. Open")+COUNTIFS('Risk Log'!L:L,"Critical",'Risk Log'!D:D,"02. Open &amp; Assigned")+COUNTIFS('Risk Log'!L:L,"Critical",'Risk Log'!D:D,"03. Action/Mitigation Plan Defined")+COUNTIFS('Risk Log'!L:L,"Critical",'Risk Log'!D:D,"04. Action Plan Completed")+COUNTIFS('Risk Log'!L:L,"Critical",'Risk Log'!D:D,"08. Blank")</f>
        <v>15</v>
      </c>
      <c r="AB3" s="8"/>
      <c r="AC3" s="8"/>
      <c r="AD3" s="8"/>
      <c r="AE3" s="8"/>
      <c r="AF3" s="8"/>
      <c r="AG3" s="8"/>
      <c r="AH3" s="8"/>
      <c r="AI3" s="8"/>
      <c r="AJ3" s="8"/>
      <c r="AK3" s="8"/>
      <c r="AL3" s="8"/>
      <c r="AM3" s="8"/>
      <c r="AN3" s="8"/>
      <c r="AO3" s="8"/>
      <c r="AP3" s="8"/>
      <c r="AQ3" s="8"/>
    </row>
    <row r="4" spans="1:43">
      <c r="A4" s="9" t="s">
        <v>145</v>
      </c>
      <c r="B4" s="48"/>
      <c r="C4" s="48"/>
      <c r="D4" s="48">
        <v>2</v>
      </c>
      <c r="E4" s="48">
        <v>3</v>
      </c>
      <c r="F4" s="48">
        <v>5</v>
      </c>
      <c r="G4" s="48">
        <v>7</v>
      </c>
      <c r="H4" s="48">
        <v>8</v>
      </c>
      <c r="I4" s="48">
        <v>10</v>
      </c>
      <c r="J4" s="48">
        <v>9</v>
      </c>
      <c r="K4" s="48">
        <v>13</v>
      </c>
      <c r="L4" s="48">
        <v>9</v>
      </c>
      <c r="M4" s="48">
        <v>2</v>
      </c>
      <c r="N4" s="48">
        <v>2</v>
      </c>
      <c r="O4" s="48">
        <v>1</v>
      </c>
      <c r="P4" s="48">
        <v>1</v>
      </c>
      <c r="Q4" s="48">
        <v>0</v>
      </c>
      <c r="R4" s="48">
        <v>1</v>
      </c>
      <c r="S4" s="48">
        <v>1</v>
      </c>
      <c r="T4" s="48">
        <v>0</v>
      </c>
      <c r="U4" s="48">
        <v>0</v>
      </c>
      <c r="V4" s="48">
        <v>0</v>
      </c>
      <c r="W4" s="48"/>
      <c r="X4" s="48"/>
      <c r="Y4" s="48"/>
      <c r="Z4" s="48"/>
      <c r="AA4" s="8">
        <f ca="1">COUNTIFS('Risk Log'!AF:AF,"TRUE",'Risk Log'!AG:AG,"TRUE")</f>
        <v>0</v>
      </c>
      <c r="AB4" s="8"/>
      <c r="AC4" s="8"/>
      <c r="AD4" s="8"/>
      <c r="AE4" s="8"/>
      <c r="AF4" s="8"/>
      <c r="AG4" s="8"/>
      <c r="AH4" s="8"/>
      <c r="AI4" s="8"/>
      <c r="AJ4" s="8"/>
      <c r="AK4" s="8"/>
      <c r="AL4" s="8"/>
      <c r="AM4" s="8"/>
      <c r="AN4" s="8"/>
      <c r="AO4" s="8"/>
      <c r="AP4" s="8"/>
      <c r="AQ4" s="8"/>
    </row>
    <row r="5" spans="1:43">
      <c r="A5" s="9" t="s">
        <v>44</v>
      </c>
      <c r="B5" s="48">
        <v>37</v>
      </c>
      <c r="C5" s="48">
        <v>37</v>
      </c>
      <c r="D5" s="48">
        <v>42</v>
      </c>
      <c r="E5" s="48">
        <v>42</v>
      </c>
      <c r="F5" s="48">
        <v>45</v>
      </c>
      <c r="G5" s="48">
        <v>48</v>
      </c>
      <c r="H5" s="48">
        <v>52</v>
      </c>
      <c r="I5" s="48">
        <v>43</v>
      </c>
      <c r="J5" s="48">
        <v>49</v>
      </c>
      <c r="K5" s="48">
        <v>51</v>
      </c>
      <c r="L5" s="48">
        <v>55</v>
      </c>
      <c r="M5" s="48">
        <v>51</v>
      </c>
      <c r="N5" s="48">
        <v>53</v>
      </c>
      <c r="O5" s="48">
        <v>46</v>
      </c>
      <c r="P5" s="48">
        <v>47</v>
      </c>
      <c r="Q5" s="48">
        <v>44</v>
      </c>
      <c r="R5" s="48">
        <v>44</v>
      </c>
      <c r="S5" s="48">
        <v>42</v>
      </c>
      <c r="T5" s="48">
        <v>41</v>
      </c>
      <c r="U5" s="48">
        <v>37</v>
      </c>
      <c r="V5" s="48">
        <v>37</v>
      </c>
      <c r="W5" s="48"/>
      <c r="X5" s="48"/>
      <c r="Y5" s="48"/>
      <c r="Z5" s="48"/>
      <c r="AA5" s="8">
        <f>COUNTIF('Issues Log'!$D:$D,"Active")</f>
        <v>37</v>
      </c>
      <c r="AB5" s="8"/>
      <c r="AC5" s="8"/>
      <c r="AD5" s="8"/>
      <c r="AE5" s="8"/>
      <c r="AF5" s="8"/>
      <c r="AG5" s="8"/>
      <c r="AH5" s="8"/>
      <c r="AI5" s="8"/>
      <c r="AJ5" s="8"/>
      <c r="AK5" s="8"/>
      <c r="AL5" s="8"/>
      <c r="AM5" s="8"/>
      <c r="AN5" s="8"/>
      <c r="AO5" s="8"/>
      <c r="AP5" s="8"/>
      <c r="AQ5" s="8"/>
    </row>
    <row r="6" spans="1:43">
      <c r="A6" s="9" t="s">
        <v>142</v>
      </c>
      <c r="B6" s="48"/>
      <c r="C6" s="48"/>
      <c r="D6" s="48">
        <v>25</v>
      </c>
      <c r="E6" s="48">
        <v>25</v>
      </c>
      <c r="F6" s="48">
        <v>28</v>
      </c>
      <c r="G6" s="48">
        <v>33</v>
      </c>
      <c r="H6" s="48">
        <v>39</v>
      </c>
      <c r="I6" s="48">
        <v>31</v>
      </c>
      <c r="J6" s="48">
        <v>37</v>
      </c>
      <c r="K6" s="48">
        <v>40</v>
      </c>
      <c r="L6" s="48">
        <v>45</v>
      </c>
      <c r="M6" s="48">
        <v>42</v>
      </c>
      <c r="N6" s="48">
        <v>45</v>
      </c>
      <c r="O6" s="48">
        <v>37</v>
      </c>
      <c r="P6" s="48">
        <v>37</v>
      </c>
      <c r="Q6" s="48">
        <v>36</v>
      </c>
      <c r="R6" s="48">
        <v>36</v>
      </c>
      <c r="S6" s="48">
        <v>34</v>
      </c>
      <c r="T6" s="48">
        <v>33</v>
      </c>
      <c r="U6" s="48">
        <v>29</v>
      </c>
      <c r="V6" s="48">
        <v>29</v>
      </c>
      <c r="W6" s="48"/>
      <c r="X6" s="48"/>
      <c r="Y6" s="48"/>
      <c r="Z6" s="48"/>
      <c r="AA6" s="8">
        <f>COUNTIFS('Issues Log'!$D:$D,"Active",'Issues Log'!$K:$K,"04. High")+COUNTIFS('Issues Log'!$D:$D,"Active",'Issues Log'!$K:$K,"05. Critical")</f>
        <v>29</v>
      </c>
      <c r="AB6" s="8"/>
      <c r="AC6" s="8"/>
      <c r="AD6" s="8"/>
      <c r="AE6" s="8"/>
      <c r="AF6" s="8"/>
      <c r="AG6" s="8"/>
      <c r="AH6" s="8"/>
      <c r="AI6" s="8"/>
      <c r="AJ6" s="8"/>
      <c r="AK6" s="8"/>
      <c r="AL6" s="8"/>
      <c r="AM6" s="8"/>
      <c r="AN6" s="8"/>
      <c r="AO6" s="8"/>
      <c r="AP6" s="8"/>
      <c r="AQ6" s="8"/>
    </row>
    <row r="7" spans="1:43">
      <c r="A7" s="9" t="s">
        <v>146</v>
      </c>
      <c r="B7" s="48"/>
      <c r="C7" s="48"/>
      <c r="D7" s="48">
        <v>13</v>
      </c>
      <c r="E7" s="48">
        <v>12</v>
      </c>
      <c r="F7" s="48">
        <v>7</v>
      </c>
      <c r="G7" s="48">
        <v>13</v>
      </c>
      <c r="H7" s="48">
        <v>16</v>
      </c>
      <c r="I7" s="48">
        <v>14</v>
      </c>
      <c r="J7" s="48">
        <v>12</v>
      </c>
      <c r="K7" s="48">
        <v>22</v>
      </c>
      <c r="L7" s="48">
        <v>20</v>
      </c>
      <c r="M7" s="48">
        <v>14</v>
      </c>
      <c r="N7" s="48">
        <v>16</v>
      </c>
      <c r="O7" s="48">
        <v>13</v>
      </c>
      <c r="P7" s="48">
        <v>8</v>
      </c>
      <c r="Q7" s="48">
        <v>6</v>
      </c>
      <c r="R7" s="48">
        <v>4</v>
      </c>
      <c r="S7" s="48">
        <v>7</v>
      </c>
      <c r="T7" s="48">
        <v>6</v>
      </c>
      <c r="U7" s="48">
        <v>3</v>
      </c>
      <c r="V7" s="48">
        <v>4</v>
      </c>
      <c r="W7" s="48"/>
      <c r="X7" s="48"/>
      <c r="Y7" s="48"/>
      <c r="Z7" s="48"/>
      <c r="AA7" s="8">
        <f ca="1">COUNTIFS('Issues Log'!D:D,"Active",'Issues Log'!Z:Z,"1")</f>
        <v>4</v>
      </c>
      <c r="AB7" s="8"/>
      <c r="AC7" s="8"/>
      <c r="AD7" s="8"/>
      <c r="AE7" s="8"/>
      <c r="AF7" s="8"/>
      <c r="AG7" s="8"/>
      <c r="AH7" s="8"/>
      <c r="AI7" s="8"/>
      <c r="AJ7" s="8"/>
      <c r="AK7" s="8"/>
      <c r="AL7" s="8"/>
      <c r="AM7" s="8"/>
      <c r="AN7" s="8"/>
      <c r="AO7" s="8"/>
      <c r="AP7" s="8"/>
      <c r="AQ7" s="8"/>
    </row>
    <row r="8" spans="1:43">
      <c r="A8" s="9" t="s">
        <v>164</v>
      </c>
      <c r="B8" s="48">
        <v>78</v>
      </c>
      <c r="C8" s="48">
        <v>70</v>
      </c>
      <c r="D8" s="48">
        <v>67</v>
      </c>
      <c r="E8" s="48">
        <v>67</v>
      </c>
      <c r="F8" s="48">
        <v>68</v>
      </c>
      <c r="G8" s="48">
        <v>69</v>
      </c>
      <c r="H8" s="48">
        <v>69</v>
      </c>
      <c r="I8" s="48">
        <v>69</v>
      </c>
      <c r="J8" s="48">
        <v>63</v>
      </c>
      <c r="K8" s="48">
        <v>63</v>
      </c>
      <c r="L8" s="48">
        <v>63</v>
      </c>
      <c r="M8" s="48">
        <v>63</v>
      </c>
      <c r="N8" s="48">
        <v>63</v>
      </c>
      <c r="O8" s="48">
        <v>63</v>
      </c>
      <c r="P8" s="48">
        <v>62</v>
      </c>
      <c r="Q8" s="48">
        <v>62</v>
      </c>
      <c r="R8" s="48">
        <v>62</v>
      </c>
      <c r="S8" s="48">
        <v>62</v>
      </c>
      <c r="T8" s="48">
        <v>62</v>
      </c>
      <c r="U8" s="48">
        <v>62</v>
      </c>
      <c r="V8" s="48">
        <v>54</v>
      </c>
      <c r="W8" s="48"/>
      <c r="X8" s="48"/>
      <c r="Y8" s="48"/>
      <c r="Z8" s="48"/>
      <c r="AA8" s="8">
        <f>COUNTIF('Assumption Log'!L:L,"Not yet validated")+COUNTIF('Assumption Log'!L:L,"Validated")</f>
        <v>54</v>
      </c>
      <c r="AB8" s="8"/>
      <c r="AC8" s="8"/>
      <c r="AD8" s="8"/>
      <c r="AE8" s="8"/>
      <c r="AF8" s="8"/>
      <c r="AG8" s="8"/>
      <c r="AH8" s="8"/>
      <c r="AI8" s="8"/>
      <c r="AJ8" s="8"/>
      <c r="AK8" s="8"/>
      <c r="AL8" s="8"/>
      <c r="AM8" s="8"/>
      <c r="AN8" s="8"/>
      <c r="AO8" s="8"/>
      <c r="AP8" s="8"/>
      <c r="AQ8" s="8"/>
    </row>
    <row r="9" spans="1:43">
      <c r="A9" s="9" t="s">
        <v>163</v>
      </c>
      <c r="B9" s="48">
        <v>153</v>
      </c>
      <c r="C9" s="48">
        <v>153</v>
      </c>
      <c r="D9" s="48">
        <v>154</v>
      </c>
      <c r="E9" s="48">
        <v>154</v>
      </c>
      <c r="F9" s="48">
        <v>161</v>
      </c>
      <c r="G9" s="48">
        <v>182</v>
      </c>
      <c r="H9" s="48">
        <v>183</v>
      </c>
      <c r="I9" s="48">
        <v>179</v>
      </c>
      <c r="J9" s="48">
        <v>179</v>
      </c>
      <c r="K9" s="48">
        <v>179</v>
      </c>
      <c r="L9" s="48">
        <v>181</v>
      </c>
      <c r="M9" s="48">
        <v>194</v>
      </c>
      <c r="N9" s="48">
        <v>192</v>
      </c>
      <c r="O9" s="48">
        <v>191</v>
      </c>
      <c r="P9" s="48">
        <v>192</v>
      </c>
      <c r="Q9" s="48">
        <v>193</v>
      </c>
      <c r="R9" s="48">
        <v>193</v>
      </c>
      <c r="S9" s="48">
        <v>191</v>
      </c>
      <c r="T9" s="48">
        <v>191</v>
      </c>
      <c r="U9" s="48">
        <v>191</v>
      </c>
      <c r="V9" s="48">
        <v>176</v>
      </c>
      <c r="W9" s="48"/>
      <c r="X9" s="48"/>
      <c r="Y9" s="48"/>
      <c r="Z9" s="48"/>
      <c r="AA9" s="8">
        <f>COUNTIF('Decision Log'!G:G,"Pending")+COUNTIF('Decision Log'!G:G,"Closed")</f>
        <v>176</v>
      </c>
      <c r="AB9" s="8"/>
      <c r="AC9" s="8"/>
      <c r="AD9" s="8"/>
      <c r="AE9" s="8"/>
      <c r="AF9" s="8"/>
      <c r="AG9" s="8"/>
      <c r="AH9" s="8"/>
      <c r="AI9" s="8"/>
      <c r="AJ9" s="8"/>
      <c r="AK9" s="8"/>
      <c r="AL9" s="8"/>
      <c r="AM9" s="8"/>
      <c r="AN9" s="8"/>
      <c r="AO9" s="8"/>
      <c r="AP9" s="8"/>
      <c r="AQ9" s="8"/>
    </row>
    <row r="10" spans="1:43">
      <c r="A10" s="9" t="s">
        <v>144</v>
      </c>
      <c r="B10" s="420">
        <v>24</v>
      </c>
      <c r="C10" s="420">
        <v>24</v>
      </c>
      <c r="D10" s="420">
        <v>25</v>
      </c>
      <c r="E10" s="420">
        <v>24</v>
      </c>
      <c r="F10" s="420">
        <v>30</v>
      </c>
      <c r="G10" s="420">
        <v>39</v>
      </c>
      <c r="H10" s="420">
        <v>40</v>
      </c>
      <c r="I10" s="420">
        <v>29</v>
      </c>
      <c r="J10" s="420">
        <v>28</v>
      </c>
      <c r="K10" s="420">
        <v>27</v>
      </c>
      <c r="L10" s="420">
        <v>22</v>
      </c>
      <c r="M10" s="420">
        <v>33</v>
      </c>
      <c r="N10" s="420">
        <v>28</v>
      </c>
      <c r="O10" s="420">
        <v>26</v>
      </c>
      <c r="P10" s="420">
        <v>26</v>
      </c>
      <c r="Q10" s="420">
        <v>26</v>
      </c>
      <c r="R10" s="420">
        <v>26</v>
      </c>
      <c r="S10" s="420">
        <v>23</v>
      </c>
      <c r="T10" s="420">
        <v>22</v>
      </c>
      <c r="U10" s="420">
        <v>21</v>
      </c>
      <c r="V10" s="420">
        <v>21</v>
      </c>
      <c r="W10" s="420"/>
      <c r="X10" s="420"/>
      <c r="Y10" s="420"/>
      <c r="Z10" s="420"/>
      <c r="AA10" s="421">
        <f>COUNTIF('Decision Log'!G:G,"Pending")</f>
        <v>21</v>
      </c>
      <c r="AB10" s="421"/>
      <c r="AC10" s="421"/>
      <c r="AD10" s="421"/>
      <c r="AE10" s="421"/>
      <c r="AF10" s="421"/>
      <c r="AG10" s="421"/>
      <c r="AH10" s="421"/>
      <c r="AI10" s="421"/>
      <c r="AJ10" s="421"/>
      <c r="AK10" s="421"/>
      <c r="AL10" s="421"/>
      <c r="AM10" s="421"/>
      <c r="AN10" s="421"/>
      <c r="AO10" s="421"/>
      <c r="AP10" s="421"/>
      <c r="AQ10" s="421"/>
    </row>
    <row r="11" spans="1:43">
      <c r="A11" s="419" t="s">
        <v>2859</v>
      </c>
      <c r="B11" s="8"/>
      <c r="C11" s="8"/>
      <c r="D11" s="8"/>
      <c r="E11" s="8"/>
      <c r="F11" s="8"/>
      <c r="G11" s="8"/>
      <c r="H11" s="8"/>
      <c r="I11" s="8"/>
      <c r="J11" s="8"/>
      <c r="K11" s="8"/>
      <c r="L11" s="8"/>
      <c r="M11" s="8"/>
      <c r="N11" s="8"/>
      <c r="O11" s="8"/>
      <c r="P11" s="8"/>
      <c r="Q11" s="8"/>
      <c r="R11" s="8">
        <v>43</v>
      </c>
      <c r="S11" s="8">
        <v>43</v>
      </c>
      <c r="T11" s="8">
        <v>43</v>
      </c>
      <c r="U11" s="8">
        <v>43</v>
      </c>
      <c r="V11" s="8">
        <v>12</v>
      </c>
      <c r="W11" s="8"/>
      <c r="X11" s="8"/>
      <c r="Y11" s="8"/>
      <c r="Z11" s="8"/>
      <c r="AA11" s="8">
        <f>COUNTIF('Assumption Log'!L:L,"Not yet validated")</f>
        <v>12</v>
      </c>
      <c r="AB11" s="8"/>
      <c r="AC11" s="8"/>
      <c r="AD11" s="8"/>
      <c r="AE11" s="8"/>
      <c r="AF11" s="8"/>
      <c r="AG11" s="8"/>
      <c r="AH11" s="8"/>
      <c r="AI11" s="8"/>
      <c r="AJ11" s="8"/>
      <c r="AK11" s="8"/>
      <c r="AL11" s="8"/>
      <c r="AM11" s="8"/>
      <c r="AN11" s="8"/>
      <c r="AO11" s="8"/>
      <c r="AP11" s="8"/>
      <c r="AQ11" s="8"/>
    </row>
    <row r="12" spans="1:43">
      <c r="A12" s="419" t="s">
        <v>2856</v>
      </c>
      <c r="B12" s="8"/>
      <c r="C12" s="8"/>
      <c r="D12" s="8"/>
      <c r="E12" s="8"/>
      <c r="F12" s="8"/>
      <c r="G12" s="8"/>
      <c r="H12" s="8"/>
      <c r="I12" s="8"/>
      <c r="J12" s="8"/>
      <c r="K12" s="8"/>
      <c r="L12" s="8"/>
      <c r="M12" s="48"/>
      <c r="N12" s="8">
        <v>41</v>
      </c>
      <c r="O12" s="8">
        <v>41</v>
      </c>
      <c r="P12" s="8">
        <v>40</v>
      </c>
      <c r="Q12" s="8">
        <v>39</v>
      </c>
      <c r="R12" s="8">
        <v>39</v>
      </c>
      <c r="S12" s="8">
        <v>38</v>
      </c>
      <c r="T12" s="8">
        <v>38</v>
      </c>
      <c r="U12" s="8">
        <v>37</v>
      </c>
      <c r="V12" s="8">
        <v>6</v>
      </c>
      <c r="W12" s="8"/>
      <c r="X12" s="8"/>
      <c r="Y12" s="8"/>
      <c r="Z12" s="8"/>
      <c r="AA12" s="8">
        <f ca="1">COUNTIFS('Assumption Log'!L:L,"Not yet validated",'Assumption Log'!P:P,"TRUE")</f>
        <v>6</v>
      </c>
      <c r="AB12" s="8"/>
      <c r="AC12" s="8"/>
      <c r="AD12" s="8"/>
      <c r="AE12" s="8"/>
      <c r="AF12" s="8"/>
      <c r="AG12" s="8"/>
      <c r="AH12" s="8"/>
      <c r="AI12" s="8"/>
      <c r="AJ12" s="8"/>
      <c r="AK12" s="8"/>
      <c r="AL12" s="8"/>
      <c r="AM12" s="8"/>
      <c r="AN12" s="8"/>
      <c r="AO12" s="8"/>
      <c r="AP12" s="8"/>
      <c r="AQ12" s="8"/>
    </row>
    <row r="13" spans="1:43">
      <c r="A13" s="419" t="s">
        <v>2857</v>
      </c>
      <c r="B13" s="8"/>
      <c r="C13" s="8"/>
      <c r="D13" s="8"/>
      <c r="E13" s="8"/>
      <c r="F13" s="8"/>
      <c r="G13" s="8"/>
      <c r="H13" s="8"/>
      <c r="I13" s="8"/>
      <c r="J13" s="8"/>
      <c r="K13" s="8"/>
      <c r="L13" s="8"/>
      <c r="M13" s="48"/>
      <c r="N13" s="8">
        <v>11</v>
      </c>
      <c r="O13" s="8">
        <v>9</v>
      </c>
      <c r="P13" s="8">
        <v>9</v>
      </c>
      <c r="Q13" s="8">
        <v>9</v>
      </c>
      <c r="R13" s="8">
        <v>8</v>
      </c>
      <c r="S13" s="8">
        <v>5</v>
      </c>
      <c r="T13" s="8">
        <v>2</v>
      </c>
      <c r="U13" s="8">
        <v>1</v>
      </c>
      <c r="V13" s="8">
        <v>2</v>
      </c>
      <c r="W13" s="8"/>
      <c r="X13" s="8"/>
      <c r="Y13" s="8"/>
      <c r="Z13" s="8"/>
      <c r="AA13" s="8">
        <f ca="1">COUNTIFS('Decision Log'!G:G,"Pending",'Decision Log'!P:P,"TRUE")</f>
        <v>2</v>
      </c>
      <c r="AB13" s="8"/>
      <c r="AC13" s="8"/>
      <c r="AD13" s="8"/>
      <c r="AE13" s="8"/>
      <c r="AF13" s="8"/>
      <c r="AG13" s="8"/>
      <c r="AH13" s="8"/>
      <c r="AI13" s="8"/>
      <c r="AJ13" s="8"/>
      <c r="AK13" s="8"/>
      <c r="AL13" s="8"/>
      <c r="AM13" s="8"/>
      <c r="AN13" s="8"/>
      <c r="AO13" s="8"/>
      <c r="AP13" s="8"/>
      <c r="AQ13" s="8"/>
    </row>
    <row r="14" spans="1:43">
      <c r="A14" s="136"/>
      <c r="M14" s="136"/>
      <c r="AD14" s="422"/>
      <c r="AE14" s="476" t="s">
        <v>53</v>
      </c>
      <c r="AF14" s="477"/>
      <c r="AG14" s="423"/>
    </row>
    <row r="15" spans="1:43" ht="18">
      <c r="AD15" s="12" t="s">
        <v>48</v>
      </c>
      <c r="AE15" s="470" t="s">
        <v>49</v>
      </c>
      <c r="AF15" s="471"/>
      <c r="AG15" s="13" t="s">
        <v>50</v>
      </c>
    </row>
    <row r="16" spans="1:43">
      <c r="AD16" s="14">
        <v>1</v>
      </c>
      <c r="AE16" s="472"/>
      <c r="AF16" s="473"/>
      <c r="AG16" s="15"/>
    </row>
    <row r="17" spans="30:33">
      <c r="AD17" s="14">
        <v>2</v>
      </c>
      <c r="AE17" s="472"/>
      <c r="AF17" s="473"/>
      <c r="AG17" s="15"/>
    </row>
    <row r="18" spans="30:33" ht="13.5" thickBot="1">
      <c r="AD18" s="16">
        <v>3</v>
      </c>
      <c r="AE18" s="474"/>
      <c r="AF18" s="475"/>
      <c r="AG18" s="17"/>
    </row>
    <row r="19" spans="30:33" ht="13.5" thickBot="1"/>
    <row r="20" spans="30:33">
      <c r="AD20" s="10"/>
      <c r="AE20" s="478" t="s">
        <v>52</v>
      </c>
      <c r="AF20" s="479"/>
      <c r="AG20" s="11"/>
    </row>
    <row r="21" spans="30:33">
      <c r="AD21" s="12" t="s">
        <v>48</v>
      </c>
      <c r="AE21" s="470" t="s">
        <v>49</v>
      </c>
      <c r="AF21" s="471"/>
      <c r="AG21" s="13" t="s">
        <v>51</v>
      </c>
    </row>
    <row r="22" spans="30:33">
      <c r="AD22" s="14">
        <v>1</v>
      </c>
      <c r="AE22" s="472"/>
      <c r="AF22" s="473"/>
      <c r="AG22" s="15"/>
    </row>
    <row r="23" spans="30:33">
      <c r="AD23" s="14">
        <v>2</v>
      </c>
      <c r="AE23" s="472"/>
      <c r="AF23" s="473"/>
      <c r="AG23" s="15"/>
    </row>
    <row r="24" spans="30:33" ht="13.5" thickBot="1">
      <c r="AD24" s="16">
        <v>3</v>
      </c>
      <c r="AE24" s="474"/>
      <c r="AF24" s="475"/>
      <c r="AG24" s="17"/>
    </row>
    <row r="44" spans="1:26">
      <c r="A44" s="160" t="s">
        <v>1647</v>
      </c>
      <c r="B44" s="164">
        <f ca="1">TODAY()</f>
        <v>40990</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row>
  </sheetData>
  <mergeCells count="10">
    <mergeCell ref="AE21:AF21"/>
    <mergeCell ref="AE22:AF22"/>
    <mergeCell ref="AE23:AF23"/>
    <mergeCell ref="AE24:AF24"/>
    <mergeCell ref="AE14:AF14"/>
    <mergeCell ref="AE15:AF15"/>
    <mergeCell ref="AE16:AF16"/>
    <mergeCell ref="AE17:AF17"/>
    <mergeCell ref="AE18:AF18"/>
    <mergeCell ref="AE20:AF20"/>
  </mergeCells>
  <pageMargins left="0.7" right="0.7" top="0.75" bottom="0.75" header="0.3" footer="0.3"/>
  <pageSetup orientation="portrait" verticalDpi="0" r:id="rId1"/>
  <drawing r:id="rId2"/>
</worksheet>
</file>

<file path=xl/worksheets/sheet9.xml><?xml version="1.0" encoding="utf-8"?>
<worksheet xmlns="http://schemas.openxmlformats.org/spreadsheetml/2006/main" xmlns:r="http://schemas.openxmlformats.org/officeDocument/2006/relationships">
  <dimension ref="A1:X112"/>
  <sheetViews>
    <sheetView topLeftCell="R1" zoomScaleNormal="100" workbookViewId="0">
      <selection activeCell="AB117" sqref="AB117"/>
    </sheetView>
  </sheetViews>
  <sheetFormatPr defaultRowHeight="12.75"/>
  <cols>
    <col min="1" max="1" width="40.28515625" customWidth="1"/>
    <col min="2" max="6" width="9.5703125" bestFit="1" customWidth="1"/>
    <col min="7" max="7" width="8.5703125" bestFit="1" customWidth="1"/>
    <col min="8" max="23" width="8.5703125" customWidth="1"/>
    <col min="24" max="24" width="21.42578125" bestFit="1" customWidth="1"/>
    <col min="25" max="25" width="18.85546875" bestFit="1" customWidth="1"/>
    <col min="26" max="26" width="12.7109375" bestFit="1" customWidth="1"/>
    <col min="27" max="27" width="10.5703125" customWidth="1"/>
    <col min="28" max="28" width="14.85546875" bestFit="1" customWidth="1"/>
    <col min="29" max="29" width="21.42578125" bestFit="1" customWidth="1"/>
    <col min="30" max="30" width="11.7109375" bestFit="1" customWidth="1"/>
    <col min="31" max="31" width="21.42578125" bestFit="1" customWidth="1"/>
    <col min="32" max="32" width="17" bestFit="1" customWidth="1"/>
    <col min="33" max="33" width="6.140625" customWidth="1"/>
    <col min="34" max="34" width="9.5703125" bestFit="1" customWidth="1"/>
    <col min="35" max="35" width="7.140625" customWidth="1"/>
    <col min="36" max="36" width="11.7109375" bestFit="1" customWidth="1"/>
  </cols>
  <sheetData>
    <row r="1" spans="1:24">
      <c r="A1" s="285" t="s">
        <v>70</v>
      </c>
      <c r="B1" s="318">
        <v>40952</v>
      </c>
      <c r="C1" s="318">
        <v>40955</v>
      </c>
      <c r="D1" s="318">
        <v>40959</v>
      </c>
      <c r="E1" s="318">
        <v>40962</v>
      </c>
      <c r="F1" s="318">
        <v>40966</v>
      </c>
      <c r="G1" s="318">
        <v>40969</v>
      </c>
      <c r="H1" s="318">
        <v>40973</v>
      </c>
      <c r="I1" s="318">
        <v>40974</v>
      </c>
      <c r="J1" s="318">
        <v>40975</v>
      </c>
      <c r="K1" s="318">
        <v>40976</v>
      </c>
      <c r="L1" s="318">
        <v>40977</v>
      </c>
      <c r="M1" s="318">
        <v>40980</v>
      </c>
      <c r="N1" s="318">
        <v>40981</v>
      </c>
      <c r="O1" s="318">
        <v>40982</v>
      </c>
      <c r="P1" s="318">
        <v>40983</v>
      </c>
      <c r="Q1" s="318">
        <v>40984</v>
      </c>
      <c r="R1" s="318">
        <v>40987</v>
      </c>
      <c r="S1" s="318">
        <v>40988</v>
      </c>
      <c r="T1" s="318">
        <v>40989</v>
      </c>
      <c r="U1" s="318">
        <v>40990</v>
      </c>
      <c r="V1" s="318">
        <v>40991</v>
      </c>
      <c r="W1" s="318">
        <v>40994</v>
      </c>
      <c r="X1" s="193" t="s">
        <v>2198</v>
      </c>
    </row>
    <row r="2" spans="1:24">
      <c r="A2" s="9" t="s">
        <v>45</v>
      </c>
      <c r="B2" s="9">
        <v>7</v>
      </c>
      <c r="C2" s="9">
        <v>7</v>
      </c>
      <c r="D2" s="9">
        <v>7</v>
      </c>
      <c r="E2" s="9">
        <v>6</v>
      </c>
      <c r="F2" s="9">
        <v>6</v>
      </c>
      <c r="G2" s="9">
        <v>7</v>
      </c>
      <c r="H2" s="9">
        <v>7</v>
      </c>
      <c r="I2" s="9">
        <v>7</v>
      </c>
      <c r="J2" s="9">
        <v>2</v>
      </c>
      <c r="K2" s="9">
        <v>2</v>
      </c>
      <c r="L2" s="9">
        <v>2</v>
      </c>
      <c r="M2" s="9">
        <v>2</v>
      </c>
      <c r="N2" s="9">
        <v>2</v>
      </c>
      <c r="O2" s="9">
        <v>2</v>
      </c>
      <c r="P2" s="9">
        <v>2</v>
      </c>
      <c r="Q2" s="9">
        <v>2</v>
      </c>
      <c r="R2" s="9">
        <v>2</v>
      </c>
      <c r="S2" s="8">
        <f>COUNTIFS('Risk Log'!$H:$H,"App and Data Migration",'Risk Log'!$AF:$AF,"TRUE")</f>
        <v>2</v>
      </c>
      <c r="T2" s="9"/>
      <c r="U2" s="9"/>
      <c r="V2" s="9"/>
      <c r="W2" s="9"/>
      <c r="X2" s="8">
        <f>COUNTIFS('Risk Log'!$H:$H,"App and Data Migration",'Risk Log'!$AF:$AF,"TRUE")</f>
        <v>2</v>
      </c>
    </row>
    <row r="3" spans="1:24">
      <c r="A3" s="9" t="s">
        <v>141</v>
      </c>
      <c r="B3" s="9">
        <v>4</v>
      </c>
      <c r="C3" s="9">
        <v>4</v>
      </c>
      <c r="D3" s="9">
        <v>4</v>
      </c>
      <c r="E3" s="9">
        <v>3</v>
      </c>
      <c r="F3" s="9">
        <v>3</v>
      </c>
      <c r="G3" s="9">
        <v>4</v>
      </c>
      <c r="H3" s="9">
        <v>4</v>
      </c>
      <c r="I3" s="9">
        <v>2</v>
      </c>
      <c r="J3" s="9">
        <v>0</v>
      </c>
      <c r="K3" s="9">
        <v>0</v>
      </c>
      <c r="L3" s="9">
        <v>0</v>
      </c>
      <c r="M3" s="9">
        <v>1</v>
      </c>
      <c r="N3" s="9">
        <v>1</v>
      </c>
      <c r="O3" s="9">
        <v>1</v>
      </c>
      <c r="P3" s="9">
        <v>1</v>
      </c>
      <c r="Q3" s="9">
        <v>1</v>
      </c>
      <c r="R3" s="9">
        <v>1</v>
      </c>
      <c r="S3" s="8">
        <f>COUNTIFS('Risk Log'!$H:$H,"App and Data Migration", 'Risk Log'!$AF:$AF,"TRUE",'Risk Log'!$AK:$AK,"TRUE")</f>
        <v>1</v>
      </c>
      <c r="T3" s="9"/>
      <c r="U3" s="9"/>
      <c r="V3" s="9"/>
      <c r="W3" s="9"/>
      <c r="X3" s="8">
        <f>COUNTIFS('Risk Log'!$H:$H,"App and Data Migration", 'Risk Log'!$AF:$AF,"TRUE",'Risk Log'!$AK:$AK,"TRUE")</f>
        <v>1</v>
      </c>
    </row>
    <row r="4" spans="1:24">
      <c r="A4" s="9" t="s">
        <v>145</v>
      </c>
      <c r="B4" s="9">
        <v>3</v>
      </c>
      <c r="C4" s="9">
        <v>5</v>
      </c>
      <c r="D4" s="9">
        <v>6</v>
      </c>
      <c r="E4" s="9">
        <v>5</v>
      </c>
      <c r="F4" s="9">
        <v>5</v>
      </c>
      <c r="G4" s="9">
        <v>5</v>
      </c>
      <c r="H4" s="9">
        <v>7</v>
      </c>
      <c r="I4" s="9">
        <v>7</v>
      </c>
      <c r="J4" s="9">
        <v>0</v>
      </c>
      <c r="K4" s="9">
        <v>0</v>
      </c>
      <c r="L4" s="9">
        <v>0</v>
      </c>
      <c r="M4" s="9">
        <v>0</v>
      </c>
      <c r="N4" s="9">
        <v>0</v>
      </c>
      <c r="O4" s="9">
        <v>0</v>
      </c>
      <c r="P4" s="9">
        <v>0</v>
      </c>
      <c r="Q4" s="9">
        <v>0</v>
      </c>
      <c r="R4" s="9">
        <v>0</v>
      </c>
      <c r="S4" s="8">
        <f ca="1">COUNTIFS('Risk Log'!$H:$H,"App and Data Migration",'Risk Log'!$AG:$AG,"TRUE",'Risk Log'!$AF:$AF,"TRUE")</f>
        <v>0</v>
      </c>
      <c r="T4" s="9"/>
      <c r="U4" s="9"/>
      <c r="V4" s="9"/>
      <c r="W4" s="9"/>
      <c r="X4" s="8">
        <f ca="1">COUNTIFS('Risk Log'!$H:$H,"App and Data Migration",'Risk Log'!$AG:$AG,"TRUE",'Risk Log'!$AF:$AF,"TRUE")</f>
        <v>0</v>
      </c>
    </row>
    <row r="5" spans="1:24">
      <c r="A5" s="9" t="s">
        <v>2045</v>
      </c>
      <c r="B5" s="9">
        <v>0</v>
      </c>
      <c r="C5" s="9">
        <v>0</v>
      </c>
      <c r="D5" s="9">
        <v>0</v>
      </c>
      <c r="E5" s="9">
        <v>0</v>
      </c>
      <c r="F5" s="9">
        <v>0</v>
      </c>
      <c r="G5" s="9">
        <v>0</v>
      </c>
      <c r="H5" s="9">
        <v>0</v>
      </c>
      <c r="I5" s="9">
        <v>0</v>
      </c>
      <c r="J5" s="9">
        <v>0</v>
      </c>
      <c r="K5" s="9">
        <v>0</v>
      </c>
      <c r="L5" s="9">
        <v>0</v>
      </c>
      <c r="M5" s="9">
        <v>0</v>
      </c>
      <c r="N5" s="9">
        <v>0</v>
      </c>
      <c r="O5" s="9">
        <v>0</v>
      </c>
      <c r="P5" s="9">
        <v>0</v>
      </c>
      <c r="Q5" s="9">
        <v>0</v>
      </c>
      <c r="R5" s="9">
        <v>0</v>
      </c>
      <c r="S5" s="8">
        <f>COUNTIFS('Risk Log'!$AF:$AF,"TRUE",'Risk Log'!$H:$H,"App and Data Migration",'Risk Log'!$AA:$AA,"")</f>
        <v>0</v>
      </c>
      <c r="T5" s="9"/>
      <c r="U5" s="9"/>
      <c r="V5" s="9"/>
      <c r="W5" s="9"/>
      <c r="X5" s="8">
        <f>COUNTIFS('Risk Log'!$AF:$AF,"TRUE",'Risk Log'!$H:$H,"App and Data Migration",'Risk Log'!$AA:$AA,"")</f>
        <v>0</v>
      </c>
    </row>
    <row r="6" spans="1:24">
      <c r="A6" s="9" t="s">
        <v>155</v>
      </c>
      <c r="B6" s="9">
        <v>2</v>
      </c>
      <c r="C6" s="9">
        <v>2</v>
      </c>
      <c r="D6" s="9">
        <v>2</v>
      </c>
      <c r="E6" s="9">
        <v>1</v>
      </c>
      <c r="F6" s="9">
        <v>1</v>
      </c>
      <c r="G6" s="9">
        <v>1</v>
      </c>
      <c r="H6" s="9">
        <v>2</v>
      </c>
      <c r="I6" s="9">
        <v>2</v>
      </c>
      <c r="J6" s="9">
        <v>1</v>
      </c>
      <c r="K6" s="9">
        <v>1</v>
      </c>
      <c r="L6" s="9">
        <v>1</v>
      </c>
      <c r="M6" s="9">
        <v>1</v>
      </c>
      <c r="N6" s="9">
        <v>1</v>
      </c>
      <c r="O6" s="9">
        <v>1</v>
      </c>
      <c r="P6" s="9">
        <v>1</v>
      </c>
      <c r="Q6" s="9">
        <v>1</v>
      </c>
      <c r="R6" s="9">
        <v>1</v>
      </c>
      <c r="S6" s="8">
        <f ca="1">COUNTIFS('Risk Log'!$AF:$AF,"TRUE",'Risk Log'!$H:$H,"App and Data Migration",'Risk Log'!$AH:$AH,"TRUE")</f>
        <v>1</v>
      </c>
      <c r="T6" s="9"/>
      <c r="U6" s="9"/>
      <c r="V6" s="9"/>
      <c r="W6" s="9"/>
      <c r="X6" s="8">
        <f ca="1">COUNTIFS('Risk Log'!$AF:$AF,"TRUE",'Risk Log'!$H:$H,"App and Data Migration",'Risk Log'!$AH:$AH,"TRUE")</f>
        <v>1</v>
      </c>
    </row>
    <row r="7" spans="1:24">
      <c r="A7" s="9" t="s">
        <v>156</v>
      </c>
      <c r="B7" s="9">
        <v>1</v>
      </c>
      <c r="C7" s="9">
        <v>1</v>
      </c>
      <c r="D7" s="9">
        <v>1</v>
      </c>
      <c r="E7" s="9">
        <v>2</v>
      </c>
      <c r="F7" s="9">
        <v>2</v>
      </c>
      <c r="G7" s="9">
        <v>2</v>
      </c>
      <c r="H7" s="9">
        <v>2</v>
      </c>
      <c r="I7" s="9">
        <v>2</v>
      </c>
      <c r="J7" s="9">
        <v>0</v>
      </c>
      <c r="K7" s="9">
        <v>0</v>
      </c>
      <c r="L7" s="9">
        <v>0</v>
      </c>
      <c r="M7" s="9">
        <v>0</v>
      </c>
      <c r="N7" s="9">
        <v>0</v>
      </c>
      <c r="O7" s="9">
        <v>0</v>
      </c>
      <c r="P7" s="9">
        <v>0</v>
      </c>
      <c r="Q7" s="9">
        <v>0</v>
      </c>
      <c r="R7" s="9">
        <v>0</v>
      </c>
      <c r="S7" s="8">
        <f ca="1">COUNTIFS('Risk Log'!$AF:$AF,"TRUE",'Risk Log'!$H:$H,"App and Data Migration",'Risk Log'!$AI:$AI,"TRUE")</f>
        <v>0</v>
      </c>
      <c r="T7" s="9"/>
      <c r="U7" s="9"/>
      <c r="V7" s="9"/>
      <c r="W7" s="9"/>
      <c r="X7" s="8">
        <f ca="1">COUNTIFS('Risk Log'!$AF:$AF,"TRUE",'Risk Log'!$H:$H,"App and Data Migration",'Risk Log'!$AI:$AI,"TRUE")</f>
        <v>0</v>
      </c>
    </row>
    <row r="8" spans="1:24">
      <c r="A8" s="9" t="s">
        <v>157</v>
      </c>
      <c r="B8" s="9">
        <v>2</v>
      </c>
      <c r="C8" s="9">
        <v>2</v>
      </c>
      <c r="D8" s="9">
        <v>2</v>
      </c>
      <c r="E8" s="9">
        <v>1</v>
      </c>
      <c r="F8" s="9">
        <v>1</v>
      </c>
      <c r="G8" s="9">
        <v>1</v>
      </c>
      <c r="H8" s="9">
        <v>1</v>
      </c>
      <c r="I8" s="9">
        <v>1</v>
      </c>
      <c r="J8" s="9">
        <v>0</v>
      </c>
      <c r="K8" s="9">
        <v>0</v>
      </c>
      <c r="L8" s="9">
        <v>0</v>
      </c>
      <c r="M8" s="9">
        <v>0</v>
      </c>
      <c r="N8" s="9">
        <v>0</v>
      </c>
      <c r="O8" s="9">
        <v>0</v>
      </c>
      <c r="P8" s="9">
        <v>0</v>
      </c>
      <c r="Q8" s="9">
        <v>0</v>
      </c>
      <c r="R8" s="9">
        <v>0</v>
      </c>
      <c r="S8" s="8">
        <f ca="1">COUNTIFS('Risk Log'!$AF:$AF,"TRUE",'Risk Log'!$H:$H,"App and Data Migration",'Risk Log'!$AJ:$AJ,"TRUE")</f>
        <v>0</v>
      </c>
      <c r="T8" s="9"/>
      <c r="U8" s="9"/>
      <c r="V8" s="9"/>
      <c r="W8" s="9"/>
      <c r="X8" s="8">
        <f ca="1">COUNTIFS('Risk Log'!$AF:$AF,"TRUE",'Risk Log'!$H:$H,"App and Data Migration",'Risk Log'!$AJ:$AJ,"TRUE")</f>
        <v>0</v>
      </c>
    </row>
    <row r="9" spans="1:24">
      <c r="A9" s="9" t="s">
        <v>44</v>
      </c>
      <c r="B9" s="9">
        <v>5</v>
      </c>
      <c r="C9" s="9">
        <v>4</v>
      </c>
      <c r="D9" s="9">
        <v>4</v>
      </c>
      <c r="E9" s="9">
        <v>5</v>
      </c>
      <c r="F9" s="9">
        <v>5</v>
      </c>
      <c r="G9" s="9">
        <v>6</v>
      </c>
      <c r="H9" s="9">
        <v>6</v>
      </c>
      <c r="I9" s="9">
        <v>6</v>
      </c>
      <c r="J9" s="9">
        <v>3</v>
      </c>
      <c r="K9" s="9">
        <v>3</v>
      </c>
      <c r="L9" s="9">
        <v>3</v>
      </c>
      <c r="M9" s="9">
        <v>3</v>
      </c>
      <c r="N9" s="9">
        <v>3</v>
      </c>
      <c r="O9" s="9">
        <v>3</v>
      </c>
      <c r="P9" s="9">
        <v>3</v>
      </c>
      <c r="Q9" s="9">
        <v>3</v>
      </c>
      <c r="R9" s="9">
        <v>3</v>
      </c>
      <c r="S9" s="8">
        <f>COUNTIFS('Issues Log'!$N:$N,"App and Data Migration",'Issues Log'!$D:$D,"Active")</f>
        <v>3</v>
      </c>
      <c r="T9" s="9"/>
      <c r="U9" s="9"/>
      <c r="V9" s="9"/>
      <c r="W9" s="9"/>
      <c r="X9" s="8">
        <f>COUNTIFS('Issues Log'!$N:$N,"App and Data Migration",'Issues Log'!$D:$D,"Active")</f>
        <v>3</v>
      </c>
    </row>
    <row r="10" spans="1:24">
      <c r="A10" s="9" t="s">
        <v>142</v>
      </c>
      <c r="B10" s="9">
        <v>5</v>
      </c>
      <c r="C10" s="9">
        <v>4</v>
      </c>
      <c r="D10" s="9">
        <v>4</v>
      </c>
      <c r="E10" s="9">
        <v>5</v>
      </c>
      <c r="F10" s="9">
        <v>5</v>
      </c>
      <c r="G10" s="9">
        <v>5</v>
      </c>
      <c r="H10" s="9">
        <v>5</v>
      </c>
      <c r="I10" s="9">
        <v>5</v>
      </c>
      <c r="J10" s="9">
        <v>3</v>
      </c>
      <c r="K10" s="9">
        <v>3</v>
      </c>
      <c r="L10" s="9">
        <v>3</v>
      </c>
      <c r="M10" s="9">
        <v>3</v>
      </c>
      <c r="N10" s="9">
        <v>3</v>
      </c>
      <c r="O10" s="9">
        <v>3</v>
      </c>
      <c r="P10" s="9">
        <v>3</v>
      </c>
      <c r="Q10" s="9">
        <v>3</v>
      </c>
      <c r="R10" s="9">
        <v>3</v>
      </c>
      <c r="S10" s="8">
        <f>COUNTIFS('Issues Log'!$AB:$AB,"TRUE",'Issues Log'!$N:$N,"App and Data Migration",'Issues Log'!$D:$D,"Active")</f>
        <v>3</v>
      </c>
      <c r="T10" s="9"/>
      <c r="U10" s="9"/>
      <c r="V10" s="9"/>
      <c r="W10" s="9"/>
      <c r="X10" s="8">
        <f>COUNTIFS('Issues Log'!$AB:$AB,"TRUE",'Issues Log'!$N:$N,"App and Data Migration",'Issues Log'!$D:$D,"Active")</f>
        <v>3</v>
      </c>
    </row>
    <row r="11" spans="1:24">
      <c r="A11" s="9" t="s">
        <v>146</v>
      </c>
      <c r="B11" s="9">
        <v>4</v>
      </c>
      <c r="C11" s="9">
        <v>3</v>
      </c>
      <c r="D11" s="9">
        <v>3</v>
      </c>
      <c r="E11" s="9">
        <v>3</v>
      </c>
      <c r="F11" s="9">
        <v>4</v>
      </c>
      <c r="G11" s="9">
        <v>5</v>
      </c>
      <c r="H11" s="9">
        <v>5</v>
      </c>
      <c r="I11" s="9">
        <v>5</v>
      </c>
      <c r="J11" s="9">
        <v>0</v>
      </c>
      <c r="K11" s="9">
        <v>0</v>
      </c>
      <c r="L11" s="9">
        <v>0</v>
      </c>
      <c r="M11" s="9">
        <v>0</v>
      </c>
      <c r="N11" s="9">
        <v>0</v>
      </c>
      <c r="O11" s="9">
        <v>0</v>
      </c>
      <c r="P11" s="9">
        <v>0</v>
      </c>
      <c r="Q11" s="9">
        <v>0</v>
      </c>
      <c r="R11" s="9">
        <v>0</v>
      </c>
      <c r="S11" s="8">
        <f ca="1">COUNTIFS('Issues Log'!$D:$D,"Active",'Issues Log'!$N:$N,"App and Data Migration",'Issues Log'!$Z:$Z,"1")</f>
        <v>0</v>
      </c>
      <c r="T11" s="9"/>
      <c r="U11" s="9"/>
      <c r="V11" s="9"/>
      <c r="W11" s="9"/>
      <c r="X11" s="8">
        <f ca="1">COUNTIFS('Issues Log'!$D:$D,"Active",'Issues Log'!$N:$N,"App and Data Migration",'Issues Log'!$Z:$Z,"1")</f>
        <v>0</v>
      </c>
    </row>
    <row r="12" spans="1:24">
      <c r="A12" s="9" t="s">
        <v>2046</v>
      </c>
      <c r="B12" s="9">
        <v>0</v>
      </c>
      <c r="C12" s="9">
        <v>0</v>
      </c>
      <c r="D12" s="9">
        <v>0</v>
      </c>
      <c r="E12" s="9">
        <v>0</v>
      </c>
      <c r="F12" s="9">
        <v>0</v>
      </c>
      <c r="G12" s="9">
        <v>0</v>
      </c>
      <c r="H12" s="9">
        <v>0</v>
      </c>
      <c r="I12" s="9">
        <v>0</v>
      </c>
      <c r="J12" s="9">
        <v>0</v>
      </c>
      <c r="K12" s="9">
        <v>0</v>
      </c>
      <c r="L12" s="9">
        <v>0</v>
      </c>
      <c r="M12" s="9">
        <v>0</v>
      </c>
      <c r="N12" s="9">
        <v>0</v>
      </c>
      <c r="O12" s="9">
        <v>0</v>
      </c>
      <c r="P12" s="9">
        <v>0</v>
      </c>
      <c r="Q12" s="9">
        <v>0</v>
      </c>
      <c r="R12" s="9">
        <v>0</v>
      </c>
      <c r="S12" s="8">
        <f>COUNTIFS('Issues Log'!$D:$D,"Active",'Issues Log'!$N:$N,"App and Data Migration",'Issues Log'!$R:$R,"")</f>
        <v>0</v>
      </c>
      <c r="T12" s="9"/>
      <c r="U12" s="9"/>
      <c r="V12" s="9"/>
      <c r="W12" s="9"/>
      <c r="X12" s="8">
        <f>COUNTIFS('Issues Log'!$D:$D,"Active",'Issues Log'!$N:$N,"App and Data Migration",'Issues Log'!$R:$R,"")</f>
        <v>0</v>
      </c>
    </row>
    <row r="13" spans="1:24">
      <c r="A13" s="9" t="s">
        <v>158</v>
      </c>
      <c r="B13" s="9">
        <v>3</v>
      </c>
      <c r="C13" s="9">
        <v>3</v>
      </c>
      <c r="D13" s="9">
        <v>3</v>
      </c>
      <c r="E13" s="9">
        <v>3</v>
      </c>
      <c r="F13" s="9">
        <v>4</v>
      </c>
      <c r="G13" s="9">
        <v>4</v>
      </c>
      <c r="H13" s="9">
        <v>4</v>
      </c>
      <c r="I13" s="9">
        <v>4</v>
      </c>
      <c r="J13" s="9">
        <v>1</v>
      </c>
      <c r="K13" s="9">
        <v>1</v>
      </c>
      <c r="L13" s="9">
        <v>1</v>
      </c>
      <c r="M13" s="9">
        <v>1</v>
      </c>
      <c r="N13" s="9">
        <v>1</v>
      </c>
      <c r="O13" s="9">
        <v>1</v>
      </c>
      <c r="P13" s="9">
        <v>1</v>
      </c>
      <c r="Q13" s="9">
        <v>1</v>
      </c>
      <c r="R13" s="9">
        <v>1</v>
      </c>
      <c r="S13" s="8">
        <f ca="1">COUNTIFS('Issues Log'!$D:$D,"Active",'Issues Log'!$N:$N,"App and Data Migration",'Issues Log'!$AD:$AD,"TRUE")</f>
        <v>1</v>
      </c>
      <c r="T13" s="9"/>
      <c r="U13" s="9"/>
      <c r="V13" s="9"/>
      <c r="W13" s="9"/>
      <c r="X13" s="8">
        <f ca="1">COUNTIFS('Issues Log'!$D:$D,"Active",'Issues Log'!$N:$N,"App and Data Migration",'Issues Log'!$AD:$AD,"TRUE")</f>
        <v>1</v>
      </c>
    </row>
    <row r="14" spans="1:24">
      <c r="A14" s="9" t="s">
        <v>159</v>
      </c>
      <c r="B14" s="9">
        <v>0</v>
      </c>
      <c r="C14" s="9">
        <v>0</v>
      </c>
      <c r="D14" s="9">
        <v>0</v>
      </c>
      <c r="E14" s="9">
        <v>0</v>
      </c>
      <c r="F14" s="9">
        <v>0</v>
      </c>
      <c r="G14" s="9">
        <v>0</v>
      </c>
      <c r="H14" s="9">
        <v>0</v>
      </c>
      <c r="I14" s="9">
        <v>0</v>
      </c>
      <c r="J14" s="9">
        <v>0</v>
      </c>
      <c r="K14" s="9">
        <v>0</v>
      </c>
      <c r="L14" s="9">
        <v>0</v>
      </c>
      <c r="M14" s="9">
        <v>0</v>
      </c>
      <c r="N14" s="9">
        <v>0</v>
      </c>
      <c r="O14" s="9">
        <v>0</v>
      </c>
      <c r="P14" s="9">
        <v>0</v>
      </c>
      <c r="Q14" s="9">
        <v>0</v>
      </c>
      <c r="R14" s="9">
        <v>0</v>
      </c>
      <c r="S14" s="8">
        <f ca="1">COUNTIFS('Issues Log'!$D:$D,"Active",'Issues Log'!$N:$N,"App and Data Migration",'Issues Log'!$AE:$AE,"TRUE")</f>
        <v>0</v>
      </c>
      <c r="T14" s="9"/>
      <c r="U14" s="9"/>
      <c r="V14" s="9"/>
      <c r="W14" s="9"/>
      <c r="X14" s="8">
        <f ca="1">COUNTIFS('Issues Log'!$D:$D,"Active",'Issues Log'!$N:$N,"App and Data Migration",'Issues Log'!$AE:$AE,"TRUE")</f>
        <v>0</v>
      </c>
    </row>
    <row r="15" spans="1:24">
      <c r="A15" s="9" t="s">
        <v>160</v>
      </c>
      <c r="B15" s="9">
        <v>0</v>
      </c>
      <c r="C15" s="9">
        <v>0</v>
      </c>
      <c r="D15" s="9">
        <v>0</v>
      </c>
      <c r="E15" s="9">
        <v>0</v>
      </c>
      <c r="F15" s="9">
        <v>0</v>
      </c>
      <c r="G15" s="9">
        <v>0</v>
      </c>
      <c r="H15" s="9">
        <v>0</v>
      </c>
      <c r="I15" s="9">
        <v>0</v>
      </c>
      <c r="J15" s="9">
        <v>0</v>
      </c>
      <c r="K15" s="9">
        <v>0</v>
      </c>
      <c r="L15" s="9">
        <v>0</v>
      </c>
      <c r="M15" s="9">
        <v>0</v>
      </c>
      <c r="N15" s="9">
        <v>0</v>
      </c>
      <c r="O15" s="9">
        <v>0</v>
      </c>
      <c r="P15" s="9">
        <v>0</v>
      </c>
      <c r="Q15" s="9">
        <v>0</v>
      </c>
      <c r="R15" s="9">
        <v>0</v>
      </c>
      <c r="S15" s="8">
        <f ca="1">COUNTIFS('Issues Log'!$D:$D,"Active",'Issues Log'!$N:$N,"App and Data Migration",'Issues Log'!$AF:$AF,"TRUE")</f>
        <v>0</v>
      </c>
      <c r="T15" s="9"/>
      <c r="U15" s="9"/>
      <c r="V15" s="9"/>
      <c r="W15" s="9"/>
      <c r="X15" s="8">
        <f ca="1">COUNTIFS('Issues Log'!$D:$D,"Active",'Issues Log'!$N:$N,"App and Data Migration",'Issues Log'!$AF:$AF,"TRUE")</f>
        <v>0</v>
      </c>
    </row>
    <row r="16" spans="1:24">
      <c r="A16" s="9" t="s">
        <v>143</v>
      </c>
      <c r="B16" s="9">
        <v>2</v>
      </c>
      <c r="C16" s="9">
        <v>2</v>
      </c>
      <c r="D16" s="9">
        <v>2</v>
      </c>
      <c r="E16" s="9">
        <v>2</v>
      </c>
      <c r="F16" s="9">
        <v>2</v>
      </c>
      <c r="G16" s="9">
        <v>2</v>
      </c>
      <c r="H16" s="9">
        <v>2</v>
      </c>
      <c r="I16" s="9">
        <v>2</v>
      </c>
      <c r="J16" s="9">
        <v>2</v>
      </c>
      <c r="K16" s="9">
        <v>2</v>
      </c>
      <c r="L16" s="9">
        <v>2</v>
      </c>
      <c r="M16" s="9">
        <v>2</v>
      </c>
      <c r="N16" s="9">
        <v>2</v>
      </c>
      <c r="O16" s="9">
        <v>2</v>
      </c>
      <c r="P16" s="9">
        <v>2</v>
      </c>
      <c r="Q16" s="9">
        <v>2</v>
      </c>
      <c r="R16" s="9">
        <v>2</v>
      </c>
      <c r="S16" s="8">
        <f>COUNTIFS('Assumption Log'!$C:$C,"App &amp; Data Migration",'Assumption Log'!$L:$L,"Not yet validated")</f>
        <v>2</v>
      </c>
      <c r="T16" s="9"/>
      <c r="U16" s="9"/>
      <c r="V16" s="9"/>
      <c r="W16" s="9"/>
      <c r="X16" s="8">
        <f>COUNTIFS('Assumption Log'!$C:$C,"App &amp; Data Migration",'Assumption Log'!$L:$L,"Not yet validated")</f>
        <v>2</v>
      </c>
    </row>
    <row r="17" spans="1:24">
      <c r="A17" s="9" t="s">
        <v>144</v>
      </c>
      <c r="B17" s="9">
        <v>3</v>
      </c>
      <c r="C17" s="9">
        <v>3</v>
      </c>
      <c r="D17" s="9">
        <v>3</v>
      </c>
      <c r="E17" s="9">
        <v>2</v>
      </c>
      <c r="F17" s="9">
        <v>2</v>
      </c>
      <c r="G17" s="9">
        <v>2</v>
      </c>
      <c r="H17" s="9">
        <v>2</v>
      </c>
      <c r="I17" s="9">
        <v>2</v>
      </c>
      <c r="J17" s="9">
        <v>3</v>
      </c>
      <c r="K17" s="9">
        <v>3</v>
      </c>
      <c r="L17" s="9">
        <v>3</v>
      </c>
      <c r="M17" s="9">
        <v>3</v>
      </c>
      <c r="N17" s="9">
        <v>3</v>
      </c>
      <c r="O17" s="9">
        <v>3</v>
      </c>
      <c r="P17" s="9">
        <v>3</v>
      </c>
      <c r="Q17" s="9">
        <v>3</v>
      </c>
      <c r="R17" s="9">
        <v>3</v>
      </c>
      <c r="S17" s="8">
        <f>COUNTIFS('Decision Log'!$E:$E,"App &amp; Data Migration",'Decision Log'!$G:$G,"Pending")</f>
        <v>3</v>
      </c>
      <c r="T17" s="9"/>
      <c r="U17" s="9"/>
      <c r="V17" s="9"/>
      <c r="W17" s="9"/>
      <c r="X17" s="8">
        <f>COUNTIFS('Decision Log'!$E:$E,"App &amp; Data Migration",'Decision Log'!$G:$G,"Pending")</f>
        <v>3</v>
      </c>
    </row>
    <row r="20" spans="1:24">
      <c r="A20" s="285" t="s">
        <v>148</v>
      </c>
      <c r="B20" s="318">
        <v>40952</v>
      </c>
      <c r="C20" s="318">
        <v>40955</v>
      </c>
      <c r="D20" s="318">
        <v>40959</v>
      </c>
      <c r="E20" s="318">
        <v>40962</v>
      </c>
      <c r="F20" s="318">
        <v>40966</v>
      </c>
      <c r="G20" s="318">
        <v>40969</v>
      </c>
      <c r="H20" s="318">
        <v>40973</v>
      </c>
      <c r="I20" s="318">
        <v>40974</v>
      </c>
      <c r="J20" s="318">
        <v>40975</v>
      </c>
      <c r="K20" s="318">
        <v>40976</v>
      </c>
      <c r="L20" s="318">
        <v>40977</v>
      </c>
      <c r="M20" s="318">
        <v>40980</v>
      </c>
      <c r="N20" s="318">
        <v>40981</v>
      </c>
      <c r="O20" s="318">
        <v>40982</v>
      </c>
      <c r="P20" s="318">
        <v>40983</v>
      </c>
      <c r="Q20" s="318">
        <v>40984</v>
      </c>
      <c r="R20" s="318">
        <v>40987</v>
      </c>
      <c r="S20" s="318">
        <v>40988</v>
      </c>
      <c r="T20" s="318">
        <v>40989</v>
      </c>
      <c r="U20" s="318">
        <v>40990</v>
      </c>
      <c r="V20" s="318">
        <v>40991</v>
      </c>
      <c r="W20" s="318">
        <v>40994</v>
      </c>
      <c r="X20" s="193" t="s">
        <v>2198</v>
      </c>
    </row>
    <row r="21" spans="1:24">
      <c r="A21" s="9" t="s">
        <v>45</v>
      </c>
      <c r="B21" s="9">
        <v>1</v>
      </c>
      <c r="C21" s="9">
        <v>1</v>
      </c>
      <c r="D21" s="9">
        <v>1</v>
      </c>
      <c r="E21" s="9">
        <v>1</v>
      </c>
      <c r="F21" s="9">
        <v>1</v>
      </c>
      <c r="G21" s="9">
        <v>1</v>
      </c>
      <c r="H21" s="9">
        <v>1</v>
      </c>
      <c r="I21" s="9">
        <v>1</v>
      </c>
      <c r="J21" s="9">
        <v>1</v>
      </c>
      <c r="K21" s="9">
        <v>1</v>
      </c>
      <c r="L21" s="9">
        <v>1</v>
      </c>
      <c r="M21" s="9">
        <v>1</v>
      </c>
      <c r="N21" s="9">
        <v>1</v>
      </c>
      <c r="O21" s="9">
        <v>1</v>
      </c>
      <c r="P21" s="9">
        <v>1</v>
      </c>
      <c r="Q21" s="9">
        <v>1</v>
      </c>
      <c r="R21" s="9">
        <v>1</v>
      </c>
      <c r="S21" s="8">
        <f>COUNTIFS('Risk Log'!$H:$H,"Change Management",'Risk Log'!$AF:$AF,"TRUE")</f>
        <v>1</v>
      </c>
      <c r="T21" s="9"/>
      <c r="U21" s="9"/>
      <c r="V21" s="9"/>
      <c r="W21" s="9"/>
      <c r="X21" s="8">
        <f>COUNTIFS('Risk Log'!$H:$H,"Change Management",'Risk Log'!$AF:$AF,"TRUE")</f>
        <v>1</v>
      </c>
    </row>
    <row r="22" spans="1:24">
      <c r="A22" s="9" t="s">
        <v>141</v>
      </c>
      <c r="B22" s="9">
        <v>1</v>
      </c>
      <c r="C22" s="9">
        <v>1</v>
      </c>
      <c r="D22" s="9">
        <v>1</v>
      </c>
      <c r="E22" s="9">
        <v>1</v>
      </c>
      <c r="F22" s="9">
        <v>1</v>
      </c>
      <c r="G22" s="9">
        <v>1</v>
      </c>
      <c r="H22" s="9">
        <v>1</v>
      </c>
      <c r="I22" s="9">
        <v>1</v>
      </c>
      <c r="J22" s="9">
        <v>1</v>
      </c>
      <c r="K22" s="9">
        <v>0</v>
      </c>
      <c r="L22" s="9">
        <v>0</v>
      </c>
      <c r="M22" s="9">
        <v>0</v>
      </c>
      <c r="N22" s="9">
        <v>0</v>
      </c>
      <c r="O22" s="9">
        <v>0</v>
      </c>
      <c r="P22" s="9">
        <v>0</v>
      </c>
      <c r="Q22" s="9">
        <v>0</v>
      </c>
      <c r="R22" s="9">
        <v>0</v>
      </c>
      <c r="S22" s="8">
        <f>COUNTIFS('Risk Log'!$H:$H,"Change Management", 'Risk Log'!$AF:$AF,"TRUE",'Risk Log'!$AK:$AK,"TRUE")</f>
        <v>0</v>
      </c>
      <c r="T22" s="9"/>
      <c r="U22" s="9"/>
      <c r="V22" s="9"/>
      <c r="W22" s="9"/>
      <c r="X22" s="8">
        <f>COUNTIFS('Risk Log'!$H:$H,"Change Management", 'Risk Log'!$AF:$AF,"TRUE",'Risk Log'!$AK:$AK,"TRUE")</f>
        <v>0</v>
      </c>
    </row>
    <row r="23" spans="1:24">
      <c r="A23" s="9" t="s">
        <v>145</v>
      </c>
      <c r="B23" s="9">
        <v>0</v>
      </c>
      <c r="C23" s="9">
        <v>0</v>
      </c>
      <c r="D23" s="9">
        <v>0</v>
      </c>
      <c r="E23" s="9">
        <v>0</v>
      </c>
      <c r="F23" s="9">
        <v>0</v>
      </c>
      <c r="G23" s="9">
        <v>1</v>
      </c>
      <c r="H23" s="9">
        <v>1</v>
      </c>
      <c r="I23" s="9">
        <v>1</v>
      </c>
      <c r="J23" s="9">
        <v>1</v>
      </c>
      <c r="K23" s="9">
        <v>1</v>
      </c>
      <c r="L23" s="9">
        <v>1</v>
      </c>
      <c r="M23" s="9">
        <v>1</v>
      </c>
      <c r="N23" s="9">
        <v>0</v>
      </c>
      <c r="O23" s="9">
        <v>0</v>
      </c>
      <c r="P23" s="9">
        <v>0</v>
      </c>
      <c r="Q23" s="9">
        <v>0</v>
      </c>
      <c r="R23" s="9">
        <v>0</v>
      </c>
      <c r="S23" s="8">
        <f ca="1">COUNTIFS('Risk Log'!$H:$H,"Change Management",'Risk Log'!$AG:$AG,"TRUE",'Risk Log'!$AF:$AF,"TRUE")</f>
        <v>0</v>
      </c>
      <c r="T23" s="9"/>
      <c r="U23" s="9"/>
      <c r="V23" s="9"/>
      <c r="W23" s="9"/>
      <c r="X23" s="8">
        <f ca="1">COUNTIFS('Risk Log'!$H:$H,"Change Management",'Risk Log'!$AG:$AG,"TRUE",'Risk Log'!$AF:$AF,"TRUE")</f>
        <v>0</v>
      </c>
    </row>
    <row r="24" spans="1:24">
      <c r="A24" s="9" t="s">
        <v>2045</v>
      </c>
      <c r="B24" s="9">
        <v>0</v>
      </c>
      <c r="C24" s="9">
        <v>0</v>
      </c>
      <c r="D24" s="9">
        <v>0</v>
      </c>
      <c r="E24" s="9">
        <v>0</v>
      </c>
      <c r="F24" s="9">
        <v>0</v>
      </c>
      <c r="G24" s="9">
        <v>0</v>
      </c>
      <c r="H24" s="9">
        <v>0</v>
      </c>
      <c r="I24" s="9">
        <v>0</v>
      </c>
      <c r="J24" s="9">
        <v>0</v>
      </c>
      <c r="K24" s="9">
        <v>0</v>
      </c>
      <c r="L24" s="9">
        <v>0</v>
      </c>
      <c r="M24" s="9">
        <v>0</v>
      </c>
      <c r="N24" s="9">
        <v>0</v>
      </c>
      <c r="O24" s="9">
        <v>0</v>
      </c>
      <c r="P24" s="9">
        <v>0</v>
      </c>
      <c r="Q24" s="9">
        <v>0</v>
      </c>
      <c r="R24" s="9">
        <v>0</v>
      </c>
      <c r="S24" s="8">
        <f>COUNTIFS('Risk Log'!$AF:$AF,"TRUE",'Risk Log'!$H:$H,"Change Management",'Risk Log'!$AA:$AA,"")</f>
        <v>0</v>
      </c>
      <c r="T24" s="9"/>
      <c r="U24" s="9"/>
      <c r="V24" s="9"/>
      <c r="W24" s="9"/>
      <c r="X24" s="8">
        <f>COUNTIFS('Risk Log'!$AF:$AF,"TRUE",'Risk Log'!$H:$H,"Change Management",'Risk Log'!$AA:$AA,"")</f>
        <v>0</v>
      </c>
    </row>
    <row r="25" spans="1:24">
      <c r="A25" s="9" t="s">
        <v>155</v>
      </c>
      <c r="B25" s="9">
        <v>0</v>
      </c>
      <c r="C25" s="9">
        <v>0</v>
      </c>
      <c r="D25" s="9">
        <v>0</v>
      </c>
      <c r="E25" s="9">
        <v>0</v>
      </c>
      <c r="F25" s="9">
        <v>0</v>
      </c>
      <c r="G25" s="9">
        <v>0</v>
      </c>
      <c r="H25" s="9">
        <v>0</v>
      </c>
      <c r="I25" s="9">
        <v>0</v>
      </c>
      <c r="J25" s="9">
        <v>0</v>
      </c>
      <c r="K25" s="9">
        <v>0</v>
      </c>
      <c r="L25" s="9">
        <v>0</v>
      </c>
      <c r="M25" s="9">
        <v>0</v>
      </c>
      <c r="N25" s="9">
        <v>0</v>
      </c>
      <c r="O25" s="9">
        <v>0</v>
      </c>
      <c r="P25" s="9">
        <v>0</v>
      </c>
      <c r="Q25" s="9">
        <v>0</v>
      </c>
      <c r="R25" s="9">
        <v>0</v>
      </c>
      <c r="S25" s="8">
        <f ca="1">COUNTIFS('Risk Log'!$AF:$AF,"TRUE",'Risk Log'!$H:$H,"Change Management",'Risk Log'!$AH:$AH,"TRUE")</f>
        <v>0</v>
      </c>
      <c r="T25" s="9"/>
      <c r="U25" s="9"/>
      <c r="V25" s="9"/>
      <c r="W25" s="9"/>
      <c r="X25" s="8">
        <f ca="1">COUNTIFS('Risk Log'!$AF:$AF,"TRUE",'Risk Log'!$H:$H,"Change Management",'Risk Log'!$AH:$AH,"TRUE")</f>
        <v>0</v>
      </c>
    </row>
    <row r="26" spans="1:24">
      <c r="A26" s="9" t="s">
        <v>156</v>
      </c>
      <c r="B26" s="9">
        <v>0</v>
      </c>
      <c r="C26" s="9">
        <v>0</v>
      </c>
      <c r="D26" s="9">
        <v>0</v>
      </c>
      <c r="E26" s="9">
        <v>0</v>
      </c>
      <c r="F26" s="9">
        <v>0</v>
      </c>
      <c r="G26" s="9">
        <v>0</v>
      </c>
      <c r="H26" s="9">
        <v>0</v>
      </c>
      <c r="I26" s="9">
        <v>0</v>
      </c>
      <c r="J26" s="9">
        <v>0</v>
      </c>
      <c r="K26" s="9">
        <v>0</v>
      </c>
      <c r="L26" s="9">
        <v>0</v>
      </c>
      <c r="M26" s="9">
        <v>0</v>
      </c>
      <c r="N26" s="9">
        <v>0</v>
      </c>
      <c r="O26" s="9">
        <v>0</v>
      </c>
      <c r="P26" s="9">
        <v>0</v>
      </c>
      <c r="Q26" s="9">
        <v>0</v>
      </c>
      <c r="R26" s="9">
        <v>0</v>
      </c>
      <c r="S26" s="8">
        <f ca="1">COUNTIFS('Risk Log'!$AF:$AF,"TRUE",'Risk Log'!$H:$H,"Change Management",'Risk Log'!$AI:$AI,"TRUE")</f>
        <v>0</v>
      </c>
      <c r="T26" s="9"/>
      <c r="U26" s="9"/>
      <c r="V26" s="9"/>
      <c r="W26" s="9"/>
      <c r="X26" s="8">
        <f ca="1">COUNTIFS('Risk Log'!$AF:$AF,"TRUE",'Risk Log'!$H:$H,"Change Management",'Risk Log'!$AI:$AI,"TRUE")</f>
        <v>0</v>
      </c>
    </row>
    <row r="27" spans="1:24">
      <c r="A27" s="9" t="s">
        <v>157</v>
      </c>
      <c r="B27" s="9">
        <v>1</v>
      </c>
      <c r="C27" s="9">
        <v>1</v>
      </c>
      <c r="D27" s="9">
        <v>1</v>
      </c>
      <c r="E27" s="9">
        <v>1</v>
      </c>
      <c r="F27" s="9">
        <v>1</v>
      </c>
      <c r="G27" s="9">
        <v>1</v>
      </c>
      <c r="H27" s="9">
        <v>1</v>
      </c>
      <c r="I27" s="9">
        <v>1</v>
      </c>
      <c r="J27" s="9">
        <v>1</v>
      </c>
      <c r="K27" s="9">
        <v>1</v>
      </c>
      <c r="L27" s="9">
        <v>1</v>
      </c>
      <c r="M27" s="9">
        <v>1</v>
      </c>
      <c r="N27" s="9">
        <v>1</v>
      </c>
      <c r="O27" s="9">
        <v>1</v>
      </c>
      <c r="P27" s="9">
        <v>1</v>
      </c>
      <c r="Q27" s="9">
        <v>1</v>
      </c>
      <c r="R27" s="9">
        <v>1</v>
      </c>
      <c r="S27" s="8">
        <f ca="1">COUNTIFS('Risk Log'!$AF:$AF,"TRUE",'Risk Log'!$H:$H,"Change Management",'Risk Log'!$AJ:$AJ,"TRUE")</f>
        <v>1</v>
      </c>
      <c r="T27" s="9"/>
      <c r="U27" s="9"/>
      <c r="V27" s="9"/>
      <c r="W27" s="9"/>
      <c r="X27" s="8">
        <f ca="1">COUNTIFS('Risk Log'!$AF:$AF,"TRUE",'Risk Log'!$H:$H,"Change Management",'Risk Log'!$AJ:$AJ,"TRUE")</f>
        <v>1</v>
      </c>
    </row>
    <row r="28" spans="1:24">
      <c r="A28" s="9" t="s">
        <v>44</v>
      </c>
      <c r="B28" s="9">
        <v>3</v>
      </c>
      <c r="C28" s="9">
        <v>2</v>
      </c>
      <c r="D28" s="9">
        <v>2</v>
      </c>
      <c r="E28" s="9">
        <v>2</v>
      </c>
      <c r="F28" s="9">
        <v>2</v>
      </c>
      <c r="G28" s="9">
        <v>2</v>
      </c>
      <c r="H28" s="9">
        <v>2</v>
      </c>
      <c r="I28" s="9">
        <v>2</v>
      </c>
      <c r="J28" s="9">
        <v>2</v>
      </c>
      <c r="K28" s="9">
        <v>1</v>
      </c>
      <c r="L28" s="9">
        <v>1</v>
      </c>
      <c r="M28" s="9">
        <v>1</v>
      </c>
      <c r="N28" s="9">
        <v>1</v>
      </c>
      <c r="O28" s="9">
        <v>1</v>
      </c>
      <c r="P28" s="9">
        <v>1</v>
      </c>
      <c r="Q28" s="9">
        <v>1</v>
      </c>
      <c r="R28" s="9">
        <v>1</v>
      </c>
      <c r="S28" s="8">
        <f>COUNTIFS('Issues Log'!$N:$N,"Change Management",'Issues Log'!$D:$D,"Active")</f>
        <v>1</v>
      </c>
      <c r="T28" s="9"/>
      <c r="U28" s="9"/>
      <c r="V28" s="9"/>
      <c r="W28" s="9"/>
      <c r="X28" s="8">
        <f>COUNTIFS('Issues Log'!$N:$N,"Change Management",'Issues Log'!$D:$D,"Active")</f>
        <v>1</v>
      </c>
    </row>
    <row r="29" spans="1:24">
      <c r="A29" s="9" t="s">
        <v>142</v>
      </c>
      <c r="B29" s="9">
        <v>2</v>
      </c>
      <c r="C29" s="9">
        <v>2</v>
      </c>
      <c r="D29" s="9">
        <v>2</v>
      </c>
      <c r="E29" s="9">
        <v>2</v>
      </c>
      <c r="F29" s="9">
        <v>2</v>
      </c>
      <c r="G29" s="9">
        <v>2</v>
      </c>
      <c r="H29" s="9">
        <v>2</v>
      </c>
      <c r="I29" s="9">
        <v>2</v>
      </c>
      <c r="J29" s="9">
        <v>2</v>
      </c>
      <c r="K29" s="9">
        <v>1</v>
      </c>
      <c r="L29" s="9">
        <v>1</v>
      </c>
      <c r="M29" s="9">
        <v>1</v>
      </c>
      <c r="N29" s="9">
        <v>1</v>
      </c>
      <c r="O29" s="9">
        <v>1</v>
      </c>
      <c r="P29" s="9">
        <v>1</v>
      </c>
      <c r="Q29" s="9">
        <v>1</v>
      </c>
      <c r="R29" s="9">
        <v>1</v>
      </c>
      <c r="S29" s="8">
        <f>COUNTIFS('Issues Log'!$AB:$AB,"TRUE",'Issues Log'!$N:$N,"Change Management",'Issues Log'!$D:$D,"Active")</f>
        <v>1</v>
      </c>
      <c r="T29" s="9"/>
      <c r="U29" s="9"/>
      <c r="V29" s="9"/>
      <c r="W29" s="9"/>
      <c r="X29" s="8">
        <f>COUNTIFS('Issues Log'!$AB:$AB,"TRUE",'Issues Log'!$N:$N,"Change Management",'Issues Log'!$D:$D,"Active")</f>
        <v>1</v>
      </c>
    </row>
    <row r="30" spans="1:24">
      <c r="A30" s="9" t="s">
        <v>146</v>
      </c>
      <c r="B30" s="9">
        <v>3</v>
      </c>
      <c r="C30" s="9">
        <v>2</v>
      </c>
      <c r="D30" s="9">
        <v>2</v>
      </c>
      <c r="E30" s="9">
        <v>0</v>
      </c>
      <c r="F30" s="9">
        <v>0</v>
      </c>
      <c r="G30" s="9">
        <v>0</v>
      </c>
      <c r="H30" s="9">
        <v>0</v>
      </c>
      <c r="I30" s="9">
        <v>0</v>
      </c>
      <c r="J30" s="9">
        <v>0</v>
      </c>
      <c r="K30" s="9">
        <v>0</v>
      </c>
      <c r="L30" s="9">
        <v>0</v>
      </c>
      <c r="M30" s="9">
        <v>0</v>
      </c>
      <c r="N30" s="9">
        <v>0</v>
      </c>
      <c r="O30" s="9">
        <v>0</v>
      </c>
      <c r="P30" s="9">
        <v>0</v>
      </c>
      <c r="Q30" s="9">
        <v>0</v>
      </c>
      <c r="R30" s="9">
        <v>0</v>
      </c>
      <c r="S30" s="8">
        <f ca="1">COUNTIFS('Issues Log'!$D:$D,"Active",'Issues Log'!$N:$N,"Change Management",'Issues Log'!$Z:$Z,"1")</f>
        <v>0</v>
      </c>
      <c r="T30" s="9"/>
      <c r="U30" s="9"/>
      <c r="V30" s="9"/>
      <c r="W30" s="9"/>
      <c r="X30" s="8">
        <f ca="1">COUNTIFS('Issues Log'!$D:$D,"Active",'Issues Log'!$N:$N,"Change Management",'Issues Log'!$Z:$Z,"1")</f>
        <v>0</v>
      </c>
    </row>
    <row r="31" spans="1:24">
      <c r="A31" s="9" t="s">
        <v>2046</v>
      </c>
      <c r="B31" s="9">
        <v>0</v>
      </c>
      <c r="C31" s="9">
        <v>0</v>
      </c>
      <c r="D31" s="9">
        <v>0</v>
      </c>
      <c r="E31" s="9">
        <v>0</v>
      </c>
      <c r="F31" s="9">
        <v>0</v>
      </c>
      <c r="G31" s="9">
        <v>0</v>
      </c>
      <c r="H31" s="9">
        <v>0</v>
      </c>
      <c r="I31" s="9">
        <v>0</v>
      </c>
      <c r="J31" s="9">
        <v>0</v>
      </c>
      <c r="K31" s="9">
        <v>0</v>
      </c>
      <c r="L31" s="9">
        <v>0</v>
      </c>
      <c r="M31" s="9">
        <v>0</v>
      </c>
      <c r="N31" s="9">
        <v>0</v>
      </c>
      <c r="O31" s="9">
        <v>0</v>
      </c>
      <c r="P31" s="9">
        <v>0</v>
      </c>
      <c r="Q31" s="9">
        <v>0</v>
      </c>
      <c r="R31" s="9">
        <v>0</v>
      </c>
      <c r="S31" s="8">
        <f>COUNTIFS('Issues Log'!$D:$D,"Active",'Issues Log'!$N:$N,"Change Management",'Issues Log'!$R:$R,"")</f>
        <v>0</v>
      </c>
      <c r="T31" s="9"/>
      <c r="U31" s="9"/>
      <c r="V31" s="9"/>
      <c r="W31" s="9"/>
      <c r="X31" s="8">
        <f>COUNTIFS('Issues Log'!$D:$D,"Active",'Issues Log'!$N:$N,"Change Management",'Issues Log'!$R:$R,"")</f>
        <v>0</v>
      </c>
    </row>
    <row r="32" spans="1:24">
      <c r="A32" s="9" t="s">
        <v>158</v>
      </c>
      <c r="B32" s="9">
        <v>1</v>
      </c>
      <c r="C32" s="9">
        <v>0</v>
      </c>
      <c r="D32" s="9">
        <v>0</v>
      </c>
      <c r="E32" s="9">
        <v>0</v>
      </c>
      <c r="F32" s="9">
        <v>0</v>
      </c>
      <c r="G32" s="9">
        <v>0</v>
      </c>
      <c r="H32" s="9">
        <v>0</v>
      </c>
      <c r="I32" s="9">
        <v>0</v>
      </c>
      <c r="J32" s="9">
        <v>0</v>
      </c>
      <c r="K32" s="9">
        <v>0</v>
      </c>
      <c r="L32" s="9">
        <v>0</v>
      </c>
      <c r="M32" s="9">
        <v>0</v>
      </c>
      <c r="N32" s="9">
        <v>0</v>
      </c>
      <c r="O32" s="9">
        <v>0</v>
      </c>
      <c r="P32" s="9">
        <v>0</v>
      </c>
      <c r="Q32" s="9">
        <v>0</v>
      </c>
      <c r="R32" s="9">
        <v>0</v>
      </c>
      <c r="S32" s="8">
        <f ca="1">COUNTIFS('Issues Log'!$D:$D,"Active",'Issues Log'!$N:$N,"Change Management",'Issues Log'!$AD:$AD,"TRUE")</f>
        <v>0</v>
      </c>
      <c r="T32" s="9"/>
      <c r="U32" s="9"/>
      <c r="V32" s="9"/>
      <c r="W32" s="9"/>
      <c r="X32" s="8">
        <f ca="1">COUNTIFS('Issues Log'!$D:$D,"Active",'Issues Log'!$N:$N,"Change Management",'Issues Log'!$AD:$AD,"TRUE")</f>
        <v>0</v>
      </c>
    </row>
    <row r="33" spans="1:24">
      <c r="A33" s="9" t="s">
        <v>159</v>
      </c>
      <c r="B33" s="9">
        <v>2</v>
      </c>
      <c r="C33" s="9">
        <v>2</v>
      </c>
      <c r="D33" s="9">
        <v>2</v>
      </c>
      <c r="E33" s="9">
        <v>2</v>
      </c>
      <c r="F33" s="9">
        <v>2</v>
      </c>
      <c r="G33" s="9">
        <v>2</v>
      </c>
      <c r="H33" s="9">
        <v>2</v>
      </c>
      <c r="I33" s="9">
        <v>2</v>
      </c>
      <c r="J33" s="9">
        <v>2</v>
      </c>
      <c r="K33" s="9">
        <v>1</v>
      </c>
      <c r="L33" s="9">
        <v>1</v>
      </c>
      <c r="M33" s="9">
        <v>1</v>
      </c>
      <c r="N33" s="9">
        <v>1</v>
      </c>
      <c r="O33" s="9">
        <v>1</v>
      </c>
      <c r="P33" s="9">
        <v>1</v>
      </c>
      <c r="Q33" s="9">
        <v>1</v>
      </c>
      <c r="R33" s="9">
        <v>1</v>
      </c>
      <c r="S33" s="8">
        <f ca="1">COUNTIFS('Issues Log'!$D:$D,"Active",'Issues Log'!$N:$N,"Change Management",'Issues Log'!$AE:$AE,"TRUE")</f>
        <v>1</v>
      </c>
      <c r="T33" s="9"/>
      <c r="U33" s="9"/>
      <c r="V33" s="9"/>
      <c r="W33" s="9"/>
      <c r="X33" s="8">
        <f ca="1">COUNTIFS('Issues Log'!$D:$D,"Active",'Issues Log'!$N:$N,"Change Management",'Issues Log'!$AE:$AE,"TRUE")</f>
        <v>1</v>
      </c>
    </row>
    <row r="34" spans="1:24">
      <c r="A34" s="9" t="s">
        <v>160</v>
      </c>
      <c r="B34" s="9">
        <v>0</v>
      </c>
      <c r="C34" s="9">
        <v>0</v>
      </c>
      <c r="D34" s="9">
        <v>0</v>
      </c>
      <c r="E34" s="9">
        <v>0</v>
      </c>
      <c r="F34" s="9">
        <v>0</v>
      </c>
      <c r="G34" s="9">
        <v>0</v>
      </c>
      <c r="H34" s="9">
        <v>0</v>
      </c>
      <c r="I34" s="9">
        <v>0</v>
      </c>
      <c r="J34" s="9">
        <v>0</v>
      </c>
      <c r="K34" s="9">
        <v>0</v>
      </c>
      <c r="L34" s="9">
        <v>0</v>
      </c>
      <c r="M34" s="9">
        <v>0</v>
      </c>
      <c r="N34" s="9">
        <v>0</v>
      </c>
      <c r="O34" s="9">
        <v>0</v>
      </c>
      <c r="P34" s="9">
        <v>0</v>
      </c>
      <c r="Q34" s="9">
        <v>0</v>
      </c>
      <c r="R34" s="9">
        <v>0</v>
      </c>
      <c r="S34" s="8">
        <f ca="1">COUNTIFS('Issues Log'!$D:$D,"Active",'Issues Log'!$N:$N,"Change Management",'Issues Log'!$AF:$AF,"TRUE")</f>
        <v>0</v>
      </c>
      <c r="T34" s="9"/>
      <c r="U34" s="9"/>
      <c r="V34" s="9"/>
      <c r="W34" s="9"/>
      <c r="X34" s="8">
        <f ca="1">COUNTIFS('Issues Log'!$D:$D,"Active",'Issues Log'!$N:$N,"Change Management",'Issues Log'!$AF:$AF,"TRUE")</f>
        <v>0</v>
      </c>
    </row>
    <row r="35" spans="1:24">
      <c r="A35" s="9" t="s">
        <v>143</v>
      </c>
      <c r="B35" s="9">
        <v>0</v>
      </c>
      <c r="C35" s="9">
        <v>0</v>
      </c>
      <c r="D35" s="9">
        <v>0</v>
      </c>
      <c r="E35" s="9">
        <v>0</v>
      </c>
      <c r="F35" s="9">
        <v>0</v>
      </c>
      <c r="G35" s="9">
        <v>0</v>
      </c>
      <c r="H35" s="9">
        <v>0</v>
      </c>
      <c r="I35" s="9">
        <v>0</v>
      </c>
      <c r="J35" s="9">
        <v>0</v>
      </c>
      <c r="K35" s="9">
        <v>0</v>
      </c>
      <c r="L35" s="9">
        <v>0</v>
      </c>
      <c r="M35" s="9">
        <v>0</v>
      </c>
      <c r="N35" s="9">
        <v>0</v>
      </c>
      <c r="O35" s="9">
        <v>0</v>
      </c>
      <c r="P35" s="9">
        <v>0</v>
      </c>
      <c r="Q35" s="9">
        <v>0</v>
      </c>
      <c r="R35" s="9">
        <v>0</v>
      </c>
      <c r="S35" s="8">
        <f>COUNTIFS('Assumption Log'!$C:$C,"Change Management",'Assumption Log'!$L:$L,"Not yet validated")</f>
        <v>0</v>
      </c>
      <c r="T35" s="9"/>
      <c r="U35" s="9"/>
      <c r="V35" s="9"/>
      <c r="W35" s="9"/>
      <c r="X35" s="8">
        <f>COUNTIFS('Assumption Log'!$C:$C,"Change Management",'Assumption Log'!$L:$L,"Not yet validated")</f>
        <v>0</v>
      </c>
    </row>
    <row r="36" spans="1:24">
      <c r="A36" s="9" t="s">
        <v>144</v>
      </c>
      <c r="B36" s="9">
        <v>0</v>
      </c>
      <c r="C36" s="9">
        <v>0</v>
      </c>
      <c r="D36" s="9">
        <v>0</v>
      </c>
      <c r="E36" s="9">
        <v>0</v>
      </c>
      <c r="F36" s="9">
        <v>0</v>
      </c>
      <c r="G36" s="9">
        <v>0</v>
      </c>
      <c r="H36" s="9">
        <v>0</v>
      </c>
      <c r="I36" s="9">
        <v>0</v>
      </c>
      <c r="J36" s="9">
        <v>0</v>
      </c>
      <c r="K36" s="9">
        <v>0</v>
      </c>
      <c r="L36" s="9">
        <v>0</v>
      </c>
      <c r="M36" s="9">
        <v>0</v>
      </c>
      <c r="N36" s="9">
        <v>0</v>
      </c>
      <c r="O36" s="9">
        <v>0</v>
      </c>
      <c r="P36" s="9">
        <v>0</v>
      </c>
      <c r="Q36" s="9">
        <v>0</v>
      </c>
      <c r="R36" s="9">
        <v>0</v>
      </c>
      <c r="S36" s="8">
        <f>COUNTIFS('Decision Log'!$E:$E,"Change Management",'Decision Log'!$G:$G,"Pending")</f>
        <v>0</v>
      </c>
      <c r="T36" s="9"/>
      <c r="U36" s="9"/>
      <c r="V36" s="9"/>
      <c r="W36" s="9"/>
      <c r="X36" s="8">
        <f>COUNTIFS('Decision Log'!$E:$E,"Change Management",'Decision Log'!$G:$G,"Pending")</f>
        <v>0</v>
      </c>
    </row>
    <row r="39" spans="1:24">
      <c r="A39" s="285" t="s">
        <v>149</v>
      </c>
      <c r="B39" s="318">
        <v>40952</v>
      </c>
      <c r="C39" s="318">
        <v>40955</v>
      </c>
      <c r="D39" s="318">
        <v>40959</v>
      </c>
      <c r="E39" s="318">
        <v>40962</v>
      </c>
      <c r="F39" s="318">
        <v>40966</v>
      </c>
      <c r="G39" s="318">
        <v>40969</v>
      </c>
      <c r="H39" s="318">
        <v>40973</v>
      </c>
      <c r="I39" s="318">
        <v>40974</v>
      </c>
      <c r="J39" s="318">
        <v>40975</v>
      </c>
      <c r="K39" s="318">
        <v>40976</v>
      </c>
      <c r="L39" s="318">
        <v>40977</v>
      </c>
      <c r="M39" s="318">
        <v>40980</v>
      </c>
      <c r="N39" s="318">
        <v>40981</v>
      </c>
      <c r="O39" s="318">
        <v>40982</v>
      </c>
      <c r="P39" s="318">
        <v>40983</v>
      </c>
      <c r="Q39" s="318">
        <v>40984</v>
      </c>
      <c r="R39" s="318">
        <v>40987</v>
      </c>
      <c r="S39" s="318">
        <v>40988</v>
      </c>
      <c r="T39" s="318">
        <v>40989</v>
      </c>
      <c r="U39" s="318">
        <v>40990</v>
      </c>
      <c r="V39" s="318">
        <v>40991</v>
      </c>
      <c r="W39" s="318">
        <v>40994</v>
      </c>
      <c r="X39" s="193" t="s">
        <v>2198</v>
      </c>
    </row>
    <row r="40" spans="1:24">
      <c r="A40" s="9" t="s">
        <v>45</v>
      </c>
      <c r="B40" s="9">
        <v>4</v>
      </c>
      <c r="C40" s="9">
        <v>4</v>
      </c>
      <c r="D40" s="9">
        <v>4</v>
      </c>
      <c r="E40" s="9">
        <v>4</v>
      </c>
      <c r="F40" s="9">
        <v>4</v>
      </c>
      <c r="G40" s="9">
        <v>9</v>
      </c>
      <c r="H40" s="9">
        <v>9</v>
      </c>
      <c r="I40" s="9">
        <v>8</v>
      </c>
      <c r="J40" s="9">
        <v>7</v>
      </c>
      <c r="K40" s="9">
        <v>7</v>
      </c>
      <c r="L40" s="9">
        <v>7</v>
      </c>
      <c r="M40" s="9">
        <v>7</v>
      </c>
      <c r="N40" s="9">
        <v>7</v>
      </c>
      <c r="O40" s="9">
        <v>6</v>
      </c>
      <c r="P40" s="9">
        <v>7</v>
      </c>
      <c r="Q40" s="9">
        <v>7</v>
      </c>
      <c r="R40" s="9">
        <v>7</v>
      </c>
      <c r="S40" s="8">
        <f>COUNTIFS('Risk Log'!$H:$H,"M&amp;C Program",'Risk Log'!$AF:$AF,"TRUE")</f>
        <v>7</v>
      </c>
      <c r="T40" s="9"/>
      <c r="U40" s="9"/>
      <c r="V40" s="9"/>
      <c r="W40" s="9"/>
      <c r="X40" s="8">
        <f>COUNTIFS('Risk Log'!$H:$H,"M&amp;C Program",'Risk Log'!$AF:$AF,"TRUE")</f>
        <v>7</v>
      </c>
    </row>
    <row r="41" spans="1:24">
      <c r="A41" s="9" t="s">
        <v>141</v>
      </c>
      <c r="B41" s="9">
        <v>1</v>
      </c>
      <c r="C41" s="9">
        <v>1</v>
      </c>
      <c r="D41" s="9">
        <v>1</v>
      </c>
      <c r="E41" s="9">
        <v>1</v>
      </c>
      <c r="F41" s="9">
        <v>1</v>
      </c>
      <c r="G41" s="9">
        <v>6</v>
      </c>
      <c r="H41" s="9">
        <v>6</v>
      </c>
      <c r="I41" s="9">
        <v>6</v>
      </c>
      <c r="J41" s="9">
        <v>5</v>
      </c>
      <c r="K41" s="9">
        <v>5</v>
      </c>
      <c r="L41" s="9">
        <v>5</v>
      </c>
      <c r="M41" s="9">
        <v>5</v>
      </c>
      <c r="N41" s="9">
        <v>5</v>
      </c>
      <c r="O41" s="9">
        <v>4</v>
      </c>
      <c r="P41" s="9">
        <v>5</v>
      </c>
      <c r="Q41" s="9">
        <v>5</v>
      </c>
      <c r="R41" s="9">
        <v>5</v>
      </c>
      <c r="S41" s="8">
        <f>COUNTIFS('Risk Log'!$H:$H,"M&amp;C Program", 'Risk Log'!$AF:$AF,"TRUE",'Risk Log'!$AK:$AK,"TRUE")</f>
        <v>5</v>
      </c>
      <c r="T41" s="9"/>
      <c r="U41" s="9"/>
      <c r="V41" s="9"/>
      <c r="W41" s="9"/>
      <c r="X41" s="8">
        <f>COUNTIFS('Risk Log'!$H:$H,"M&amp;C Program", 'Risk Log'!$AF:$AF,"TRUE",'Risk Log'!$AK:$AK,"TRUE")</f>
        <v>5</v>
      </c>
    </row>
    <row r="42" spans="1:24">
      <c r="A42" s="9" t="s">
        <v>145</v>
      </c>
      <c r="B42" s="9">
        <v>0</v>
      </c>
      <c r="C42" s="9">
        <v>0</v>
      </c>
      <c r="D42" s="9">
        <v>0</v>
      </c>
      <c r="E42" s="9">
        <v>0</v>
      </c>
      <c r="F42" s="9">
        <v>0</v>
      </c>
      <c r="G42" s="9">
        <v>0</v>
      </c>
      <c r="H42" s="9">
        <v>0</v>
      </c>
      <c r="I42" s="9">
        <v>0</v>
      </c>
      <c r="J42" s="9">
        <v>0</v>
      </c>
      <c r="K42" s="9">
        <v>0</v>
      </c>
      <c r="L42" s="9">
        <v>0</v>
      </c>
      <c r="M42" s="9">
        <v>0</v>
      </c>
      <c r="N42" s="9">
        <v>0</v>
      </c>
      <c r="O42" s="9">
        <v>0</v>
      </c>
      <c r="P42" s="9">
        <v>0</v>
      </c>
      <c r="Q42" s="9">
        <v>0</v>
      </c>
      <c r="R42" s="9">
        <v>0</v>
      </c>
      <c r="S42" s="8">
        <f ca="1">COUNTIFS('Risk Log'!$H:$H,"M&amp;C Program",'Risk Log'!$AG:$AG,"TRUE",'Risk Log'!$AF:$AF,"TRUE")</f>
        <v>0</v>
      </c>
      <c r="T42" s="9"/>
      <c r="U42" s="9"/>
      <c r="V42" s="9"/>
      <c r="W42" s="9"/>
      <c r="X42" s="8">
        <f ca="1">COUNTIFS('Risk Log'!$H:$H,"M&amp;C Program",'Risk Log'!$AG:$AG,"TRUE",'Risk Log'!$AF:$AF,"TRUE")</f>
        <v>0</v>
      </c>
    </row>
    <row r="43" spans="1:24">
      <c r="A43" s="9" t="s">
        <v>2045</v>
      </c>
      <c r="B43" s="9">
        <v>3</v>
      </c>
      <c r="C43" s="9">
        <v>3</v>
      </c>
      <c r="D43" s="9">
        <v>3</v>
      </c>
      <c r="E43" s="9">
        <v>2</v>
      </c>
      <c r="F43" s="9">
        <v>2</v>
      </c>
      <c r="G43" s="9">
        <v>7</v>
      </c>
      <c r="H43" s="9">
        <v>7</v>
      </c>
      <c r="I43" s="9">
        <v>6</v>
      </c>
      <c r="J43" s="9">
        <v>3</v>
      </c>
      <c r="K43" s="9">
        <v>1</v>
      </c>
      <c r="L43" s="9">
        <v>1</v>
      </c>
      <c r="M43" s="9">
        <v>2</v>
      </c>
      <c r="N43" s="9">
        <v>1</v>
      </c>
      <c r="O43" s="9">
        <v>0</v>
      </c>
      <c r="P43" s="9">
        <v>1</v>
      </c>
      <c r="Q43" s="9">
        <v>0</v>
      </c>
      <c r="R43" s="9">
        <v>0</v>
      </c>
      <c r="S43" s="8">
        <f>COUNTIFS('Risk Log'!$AF:$AF,"TRUE",'Risk Log'!$H:$H,"M&amp;C Program",'Risk Log'!$AA:$AA,"")</f>
        <v>0</v>
      </c>
      <c r="T43" s="9"/>
      <c r="U43" s="9"/>
      <c r="V43" s="9"/>
      <c r="W43" s="9"/>
      <c r="X43" s="8">
        <f>COUNTIFS('Risk Log'!$AF:$AF,"TRUE",'Risk Log'!$H:$H,"M&amp;C Program",'Risk Log'!$AA:$AA,"")</f>
        <v>0</v>
      </c>
    </row>
    <row r="44" spans="1:24">
      <c r="A44" s="9" t="s">
        <v>155</v>
      </c>
      <c r="B44" s="9">
        <v>3</v>
      </c>
      <c r="C44" s="9">
        <v>3</v>
      </c>
      <c r="D44" s="9">
        <v>3</v>
      </c>
      <c r="E44" s="9">
        <v>3</v>
      </c>
      <c r="F44" s="9">
        <v>3</v>
      </c>
      <c r="G44" s="9">
        <v>3</v>
      </c>
      <c r="H44" s="9">
        <v>2</v>
      </c>
      <c r="I44" s="9">
        <v>2</v>
      </c>
      <c r="J44" s="9">
        <v>2</v>
      </c>
      <c r="K44" s="9">
        <v>2</v>
      </c>
      <c r="L44" s="9">
        <v>2</v>
      </c>
      <c r="M44" s="9">
        <v>2</v>
      </c>
      <c r="N44" s="9">
        <v>2</v>
      </c>
      <c r="O44" s="9">
        <v>1</v>
      </c>
      <c r="P44" s="9">
        <v>0</v>
      </c>
      <c r="Q44" s="9">
        <v>0</v>
      </c>
      <c r="R44" s="9">
        <v>2</v>
      </c>
      <c r="S44" s="8">
        <f ca="1">COUNTIFS('Risk Log'!$AF:$AF,"TRUE",'Risk Log'!$H:$H,"M&amp;C Program",'Risk Log'!$AH:$AH,"TRUE")</f>
        <v>3</v>
      </c>
      <c r="T44" s="9"/>
      <c r="U44" s="9"/>
      <c r="V44" s="9"/>
      <c r="W44" s="9"/>
      <c r="X44" s="8">
        <f ca="1">COUNTIFS('Risk Log'!$AF:$AF,"TRUE",'Risk Log'!$H:$H,"M&amp;C Program",'Risk Log'!$AH:$AH,"TRUE")</f>
        <v>3</v>
      </c>
    </row>
    <row r="45" spans="1:24">
      <c r="A45" s="9" t="s">
        <v>156</v>
      </c>
      <c r="B45" s="9">
        <v>1</v>
      </c>
      <c r="C45" s="9">
        <v>1</v>
      </c>
      <c r="D45" s="9">
        <v>1</v>
      </c>
      <c r="E45" s="9">
        <v>1</v>
      </c>
      <c r="F45" s="9">
        <v>1</v>
      </c>
      <c r="G45" s="9">
        <v>1</v>
      </c>
      <c r="H45" s="9">
        <v>2</v>
      </c>
      <c r="I45" s="9">
        <v>1</v>
      </c>
      <c r="J45" s="9">
        <v>1</v>
      </c>
      <c r="K45" s="9">
        <v>1</v>
      </c>
      <c r="L45" s="9">
        <v>1</v>
      </c>
      <c r="M45" s="9">
        <v>1</v>
      </c>
      <c r="N45" s="9">
        <v>1</v>
      </c>
      <c r="O45" s="9">
        <v>1</v>
      </c>
      <c r="P45" s="9">
        <v>2</v>
      </c>
      <c r="Q45" s="9">
        <v>2</v>
      </c>
      <c r="R45" s="9">
        <v>2</v>
      </c>
      <c r="S45" s="8">
        <f ca="1">COUNTIFS('Risk Log'!$AF:$AF,"TRUE",'Risk Log'!$H:$H,"M&amp;C Program",'Risk Log'!$AI:$AI,"TRUE")</f>
        <v>2</v>
      </c>
      <c r="T45" s="9"/>
      <c r="U45" s="9"/>
      <c r="V45" s="9"/>
      <c r="W45" s="9"/>
      <c r="X45" s="8">
        <f ca="1">COUNTIFS('Risk Log'!$AF:$AF,"TRUE",'Risk Log'!$H:$H,"M&amp;C Program",'Risk Log'!$AI:$AI,"TRUE")</f>
        <v>2</v>
      </c>
    </row>
    <row r="46" spans="1:24">
      <c r="A46" s="9" t="s">
        <v>157</v>
      </c>
      <c r="B46" s="9">
        <v>0</v>
      </c>
      <c r="C46" s="9">
        <v>0</v>
      </c>
      <c r="D46" s="9">
        <v>0</v>
      </c>
      <c r="E46" s="9">
        <v>0</v>
      </c>
      <c r="F46" s="9">
        <v>0</v>
      </c>
      <c r="G46" s="9">
        <v>0</v>
      </c>
      <c r="H46" s="9">
        <v>0</v>
      </c>
      <c r="I46" s="9">
        <v>0</v>
      </c>
      <c r="J46" s="9">
        <v>0</v>
      </c>
      <c r="K46" s="9">
        <v>0</v>
      </c>
      <c r="L46" s="9">
        <v>0</v>
      </c>
      <c r="M46" s="9">
        <v>0</v>
      </c>
      <c r="N46" s="9">
        <v>0</v>
      </c>
      <c r="O46" s="9">
        <v>0</v>
      </c>
      <c r="P46" s="9">
        <v>0</v>
      </c>
      <c r="Q46" s="9">
        <v>0</v>
      </c>
      <c r="R46" s="9">
        <v>0</v>
      </c>
      <c r="S46" s="8">
        <f ca="1">COUNTIFS('Risk Log'!$AF:$AF,"TRUE",'Risk Log'!$H:$H,"M&amp;C Program",'Risk Log'!$AJ:$AJ,"TRUE")</f>
        <v>0</v>
      </c>
      <c r="T46" s="9"/>
      <c r="U46" s="9"/>
      <c r="V46" s="9"/>
      <c r="W46" s="9"/>
      <c r="X46" s="8">
        <f ca="1">COUNTIFS('Risk Log'!$AF:$AF,"TRUE",'Risk Log'!$H:$H,"M&amp;C Program",'Risk Log'!$AJ:$AJ,"TRUE")</f>
        <v>0</v>
      </c>
    </row>
    <row r="47" spans="1:24">
      <c r="A47" s="9" t="s">
        <v>44</v>
      </c>
      <c r="B47" s="9">
        <v>8</v>
      </c>
      <c r="C47" s="9">
        <v>8</v>
      </c>
      <c r="D47" s="9">
        <v>8</v>
      </c>
      <c r="E47" s="9">
        <v>8</v>
      </c>
      <c r="F47" s="9">
        <v>8</v>
      </c>
      <c r="G47" s="9">
        <v>8</v>
      </c>
      <c r="H47" s="9">
        <v>8</v>
      </c>
      <c r="I47" s="9">
        <v>7</v>
      </c>
      <c r="J47" s="9">
        <v>7</v>
      </c>
      <c r="K47" s="9">
        <v>8</v>
      </c>
      <c r="L47" s="9">
        <v>14</v>
      </c>
      <c r="M47" s="9">
        <v>15</v>
      </c>
      <c r="N47" s="9">
        <v>15</v>
      </c>
      <c r="O47" s="9">
        <v>15</v>
      </c>
      <c r="P47" s="9">
        <v>15</v>
      </c>
      <c r="Q47" s="9">
        <v>15</v>
      </c>
      <c r="R47" s="9">
        <v>14</v>
      </c>
      <c r="S47" s="8">
        <f>COUNTIFS('Issues Log'!$N:$N,"M&amp;C Program",'Issues Log'!$D:$D,"Active")</f>
        <v>14</v>
      </c>
      <c r="T47" s="9"/>
      <c r="U47" s="9"/>
      <c r="V47" s="9"/>
      <c r="W47" s="9"/>
      <c r="X47" s="8">
        <f>COUNTIFS('Issues Log'!$N:$N,"M&amp;C Program",'Issues Log'!$D:$D,"Active")</f>
        <v>14</v>
      </c>
    </row>
    <row r="48" spans="1:24">
      <c r="A48" s="9" t="s">
        <v>142</v>
      </c>
      <c r="B48" s="9">
        <v>8</v>
      </c>
      <c r="C48" s="9">
        <v>8</v>
      </c>
      <c r="D48" s="9">
        <v>8</v>
      </c>
      <c r="E48" s="9">
        <v>8</v>
      </c>
      <c r="F48" s="9">
        <v>8</v>
      </c>
      <c r="G48" s="9">
        <v>8</v>
      </c>
      <c r="H48" s="9">
        <v>8</v>
      </c>
      <c r="I48" s="9">
        <v>7</v>
      </c>
      <c r="J48" s="9">
        <v>7</v>
      </c>
      <c r="K48" s="9">
        <v>8</v>
      </c>
      <c r="L48" s="9">
        <v>10</v>
      </c>
      <c r="M48" s="9">
        <v>10</v>
      </c>
      <c r="N48" s="9">
        <v>10</v>
      </c>
      <c r="O48" s="9">
        <v>10</v>
      </c>
      <c r="P48" s="9">
        <v>10</v>
      </c>
      <c r="Q48" s="9">
        <v>10</v>
      </c>
      <c r="R48" s="9">
        <v>9</v>
      </c>
      <c r="S48" s="8">
        <f>COUNTIFS('Issues Log'!$AB:$AB,"TRUE",'Issues Log'!$N:$N,"M&amp;C Program",'Issues Log'!$D:$D,"Active")</f>
        <v>9</v>
      </c>
      <c r="T48" s="9"/>
      <c r="U48" s="9"/>
      <c r="V48" s="9"/>
      <c r="W48" s="9"/>
      <c r="X48" s="8">
        <f>COUNTIFS('Issues Log'!$AB:$AB,"TRUE",'Issues Log'!$N:$N,"M&amp;C Program",'Issues Log'!$D:$D,"Active")</f>
        <v>9</v>
      </c>
    </row>
    <row r="49" spans="1:24">
      <c r="A49" s="9" t="s">
        <v>146</v>
      </c>
      <c r="B49" s="9">
        <v>1</v>
      </c>
      <c r="C49" s="9">
        <v>1</v>
      </c>
      <c r="D49" s="9">
        <v>1</v>
      </c>
      <c r="E49" s="9">
        <v>2</v>
      </c>
      <c r="F49" s="9">
        <v>2</v>
      </c>
      <c r="G49" s="9">
        <v>3</v>
      </c>
      <c r="H49" s="9">
        <v>3</v>
      </c>
      <c r="I49" s="9">
        <v>3</v>
      </c>
      <c r="J49" s="9">
        <v>3</v>
      </c>
      <c r="K49" s="9">
        <v>3</v>
      </c>
      <c r="L49" s="9">
        <v>3</v>
      </c>
      <c r="M49" s="9">
        <v>2</v>
      </c>
      <c r="N49" s="9">
        <v>2</v>
      </c>
      <c r="O49" s="9">
        <v>2</v>
      </c>
      <c r="P49" s="9">
        <v>2</v>
      </c>
      <c r="Q49" s="9">
        <v>2</v>
      </c>
      <c r="R49" s="9">
        <v>1</v>
      </c>
      <c r="S49" s="8">
        <f ca="1">COUNTIFS('Issues Log'!$D:$D,"Active",'Issues Log'!$N:$N,"M&amp;C Program",'Issues Log'!$Z:$Z,"1")</f>
        <v>1</v>
      </c>
      <c r="T49" s="9"/>
      <c r="U49" s="9"/>
      <c r="V49" s="9"/>
      <c r="W49" s="9"/>
      <c r="X49" s="8">
        <f ca="1">COUNTIFS('Issues Log'!$D:$D,"Active",'Issues Log'!$N:$N,"M&amp;C Program",'Issues Log'!$Z:$Z,"1")</f>
        <v>1</v>
      </c>
    </row>
    <row r="50" spans="1:24">
      <c r="A50" s="9" t="s">
        <v>2046</v>
      </c>
      <c r="B50" s="9">
        <v>3</v>
      </c>
      <c r="C50" s="9">
        <v>2</v>
      </c>
      <c r="D50" s="9">
        <v>2</v>
      </c>
      <c r="E50" s="9">
        <v>2</v>
      </c>
      <c r="F50" s="9">
        <v>1</v>
      </c>
      <c r="G50" s="9">
        <v>1</v>
      </c>
      <c r="H50" s="9">
        <v>1</v>
      </c>
      <c r="I50" s="9">
        <v>1</v>
      </c>
      <c r="J50" s="9">
        <v>1</v>
      </c>
      <c r="K50" s="9">
        <v>2</v>
      </c>
      <c r="L50" s="9">
        <v>3</v>
      </c>
      <c r="M50" s="9">
        <v>4</v>
      </c>
      <c r="N50" s="9">
        <v>2</v>
      </c>
      <c r="O50" s="9">
        <v>1</v>
      </c>
      <c r="P50" s="9">
        <v>1</v>
      </c>
      <c r="Q50" s="9">
        <v>1</v>
      </c>
      <c r="R50" s="9">
        <v>0</v>
      </c>
      <c r="S50" s="8">
        <f>COUNTIFS('Issues Log'!$D:$D,"Active",'Issues Log'!$N:$N,"M&amp;C Program",'Issues Log'!$R:$R,"")</f>
        <v>0</v>
      </c>
      <c r="T50" s="9"/>
      <c r="U50" s="9"/>
      <c r="V50" s="9"/>
      <c r="W50" s="9"/>
      <c r="X50" s="8">
        <f>COUNTIFS('Issues Log'!$D:$D,"Active",'Issues Log'!$N:$N,"M&amp;C Program",'Issues Log'!$R:$R,"")</f>
        <v>0</v>
      </c>
    </row>
    <row r="51" spans="1:24">
      <c r="A51" s="9" t="s">
        <v>158</v>
      </c>
      <c r="B51" s="9">
        <v>3</v>
      </c>
      <c r="C51" s="9">
        <v>3</v>
      </c>
      <c r="D51" s="9">
        <v>5</v>
      </c>
      <c r="E51" s="9">
        <v>6</v>
      </c>
      <c r="F51" s="9">
        <v>7</v>
      </c>
      <c r="G51" s="9">
        <v>7</v>
      </c>
      <c r="H51" s="9">
        <v>7</v>
      </c>
      <c r="I51" s="9">
        <v>5</v>
      </c>
      <c r="J51" s="9">
        <v>5</v>
      </c>
      <c r="K51" s="9">
        <v>6</v>
      </c>
      <c r="L51" s="9">
        <v>6</v>
      </c>
      <c r="M51" s="9">
        <v>9</v>
      </c>
      <c r="N51" s="9">
        <v>9</v>
      </c>
      <c r="O51" s="9">
        <v>9</v>
      </c>
      <c r="P51" s="9">
        <v>9</v>
      </c>
      <c r="Q51" s="9">
        <v>9</v>
      </c>
      <c r="R51" s="9">
        <v>9</v>
      </c>
      <c r="S51" s="8">
        <f ca="1">COUNTIFS('Issues Log'!$D:$D,"Active",'Issues Log'!$N:$N,"M&amp;C Program",'Issues Log'!$AD:$AD,"TRUE")</f>
        <v>10</v>
      </c>
      <c r="T51" s="9"/>
      <c r="U51" s="9"/>
      <c r="V51" s="9"/>
      <c r="W51" s="9"/>
      <c r="X51" s="8">
        <f ca="1">COUNTIFS('Issues Log'!$D:$D,"Active",'Issues Log'!$N:$N,"M&amp;C Program",'Issues Log'!$AD:$AD,"TRUE")</f>
        <v>10</v>
      </c>
    </row>
    <row r="52" spans="1:24">
      <c r="A52" s="9" t="s">
        <v>159</v>
      </c>
      <c r="B52" s="9">
        <v>0</v>
      </c>
      <c r="C52" s="9">
        <v>0</v>
      </c>
      <c r="D52" s="9">
        <v>0</v>
      </c>
      <c r="E52" s="9">
        <v>0</v>
      </c>
      <c r="F52" s="9">
        <v>0</v>
      </c>
      <c r="G52" s="9">
        <v>0</v>
      </c>
      <c r="H52" s="9">
        <v>0</v>
      </c>
      <c r="I52" s="9">
        <v>1</v>
      </c>
      <c r="J52" s="9">
        <v>1</v>
      </c>
      <c r="K52" s="9">
        <v>1</v>
      </c>
      <c r="L52" s="9">
        <v>1</v>
      </c>
      <c r="M52" s="9">
        <v>1</v>
      </c>
      <c r="N52" s="9">
        <v>1</v>
      </c>
      <c r="O52" s="9">
        <v>1</v>
      </c>
      <c r="P52" s="9">
        <v>1</v>
      </c>
      <c r="Q52" s="9">
        <v>1</v>
      </c>
      <c r="R52" s="9">
        <v>1</v>
      </c>
      <c r="S52" s="8">
        <f ca="1">COUNTIFS('Issues Log'!$D:$D,"Active",'Issues Log'!$N:$N,"M&amp;C Program",'Issues Log'!$AE:$AE,"TRUE")</f>
        <v>1</v>
      </c>
      <c r="T52" s="9"/>
      <c r="U52" s="9"/>
      <c r="V52" s="9"/>
      <c r="W52" s="9"/>
      <c r="X52" s="8">
        <f ca="1">COUNTIFS('Issues Log'!$D:$D,"Active",'Issues Log'!$N:$N,"M&amp;C Program",'Issues Log'!$AE:$AE,"TRUE")</f>
        <v>1</v>
      </c>
    </row>
    <row r="53" spans="1:24">
      <c r="A53" s="9" t="s">
        <v>160</v>
      </c>
      <c r="B53" s="9">
        <v>0</v>
      </c>
      <c r="C53" s="9">
        <v>0</v>
      </c>
      <c r="D53" s="9">
        <v>0</v>
      </c>
      <c r="E53" s="9">
        <v>0</v>
      </c>
      <c r="F53" s="9">
        <v>0</v>
      </c>
      <c r="G53" s="9">
        <v>0</v>
      </c>
      <c r="H53" s="9">
        <v>0</v>
      </c>
      <c r="I53" s="9">
        <v>0</v>
      </c>
      <c r="J53" s="9">
        <v>0</v>
      </c>
      <c r="K53" s="9">
        <v>0</v>
      </c>
      <c r="L53" s="9">
        <v>0</v>
      </c>
      <c r="M53" s="9">
        <v>0</v>
      </c>
      <c r="N53" s="9">
        <v>0</v>
      </c>
      <c r="O53" s="9">
        <v>0</v>
      </c>
      <c r="P53" s="9">
        <v>0</v>
      </c>
      <c r="Q53" s="9">
        <v>0</v>
      </c>
      <c r="R53" s="9">
        <v>0</v>
      </c>
      <c r="S53" s="8">
        <f ca="1">COUNTIFS('Issues Log'!$D:$D,"Active",'Issues Log'!$N:$N,"M&amp;C Program",'Issues Log'!$AF:$AF,"TRUE")</f>
        <v>0</v>
      </c>
      <c r="T53" s="9"/>
      <c r="U53" s="9"/>
      <c r="V53" s="9"/>
      <c r="W53" s="9"/>
      <c r="X53" s="8">
        <f ca="1">COUNTIFS('Issues Log'!$D:$D,"Active",'Issues Log'!$N:$N,"M&amp;C Program",'Issues Log'!$AF:$AF,"TRUE")</f>
        <v>0</v>
      </c>
    </row>
    <row r="54" spans="1:24">
      <c r="A54" s="9" t="s">
        <v>143</v>
      </c>
      <c r="B54" s="9">
        <v>3</v>
      </c>
      <c r="C54" s="9">
        <v>3</v>
      </c>
      <c r="D54" s="9">
        <v>3</v>
      </c>
      <c r="E54" s="9">
        <v>3</v>
      </c>
      <c r="F54" s="9">
        <v>3</v>
      </c>
      <c r="G54" s="9">
        <v>3</v>
      </c>
      <c r="H54" s="9">
        <v>3</v>
      </c>
      <c r="I54" s="9">
        <v>1</v>
      </c>
      <c r="J54" s="9">
        <v>1</v>
      </c>
      <c r="K54" s="9">
        <v>1</v>
      </c>
      <c r="L54" s="9">
        <v>1</v>
      </c>
      <c r="M54" s="9">
        <v>1</v>
      </c>
      <c r="N54" s="9">
        <v>1</v>
      </c>
      <c r="O54" s="9">
        <v>1</v>
      </c>
      <c r="P54" s="9">
        <v>1</v>
      </c>
      <c r="Q54" s="9">
        <v>1</v>
      </c>
      <c r="R54" s="9">
        <v>1</v>
      </c>
      <c r="S54" s="8">
        <f>COUNTIFS('Assumption Log'!$C:$C,"M&amp;C Program",'Assumption Log'!$L:$L,"Not yet validated")</f>
        <v>1</v>
      </c>
      <c r="T54" s="9"/>
      <c r="U54" s="9"/>
      <c r="V54" s="9"/>
      <c r="W54" s="9"/>
      <c r="X54" s="8">
        <f>COUNTIFS('Assumption Log'!$C:$C,"M&amp;C Program",'Assumption Log'!$L:$L,"Not yet validated")</f>
        <v>1</v>
      </c>
    </row>
    <row r="55" spans="1:24">
      <c r="A55" s="9" t="s">
        <v>144</v>
      </c>
      <c r="B55" s="9">
        <v>1</v>
      </c>
      <c r="C55" s="9">
        <v>1</v>
      </c>
      <c r="D55" s="9">
        <v>1</v>
      </c>
      <c r="E55" s="9">
        <v>1</v>
      </c>
      <c r="F55" s="9">
        <v>3</v>
      </c>
      <c r="G55" s="9">
        <v>3</v>
      </c>
      <c r="H55" s="9">
        <v>3</v>
      </c>
      <c r="I55" s="9">
        <v>3</v>
      </c>
      <c r="J55" s="9">
        <v>3</v>
      </c>
      <c r="K55" s="9">
        <v>3</v>
      </c>
      <c r="L55" s="9">
        <v>3</v>
      </c>
      <c r="M55" s="9">
        <v>2</v>
      </c>
      <c r="N55" s="9">
        <v>2</v>
      </c>
      <c r="O55" s="9">
        <v>2</v>
      </c>
      <c r="P55" s="9">
        <v>2</v>
      </c>
      <c r="Q55" s="9">
        <v>2</v>
      </c>
      <c r="R55" s="9">
        <v>2</v>
      </c>
      <c r="S55" s="8">
        <f>COUNTIFS('Decision Log'!$E:$E,"M&amp;C Program",'Decision Log'!$G:$G,"Pending")</f>
        <v>2</v>
      </c>
      <c r="T55" s="9"/>
      <c r="U55" s="9"/>
      <c r="V55" s="9"/>
      <c r="W55" s="9"/>
      <c r="X55" s="8">
        <f>COUNTIFS('Decision Log'!$E:$E,"M&amp;C Program",'Decision Log'!$G:$G,"Pending")</f>
        <v>2</v>
      </c>
    </row>
    <row r="58" spans="1:24">
      <c r="A58" s="285" t="s">
        <v>150</v>
      </c>
      <c r="B58" s="384">
        <v>40952</v>
      </c>
      <c r="C58" s="384">
        <v>40955</v>
      </c>
      <c r="D58" s="384">
        <v>40959</v>
      </c>
      <c r="E58" s="384">
        <v>40962</v>
      </c>
      <c r="F58" s="384">
        <v>40966</v>
      </c>
      <c r="G58" s="384">
        <v>40969</v>
      </c>
      <c r="H58" s="384">
        <v>40973</v>
      </c>
      <c r="I58" s="384">
        <v>40974</v>
      </c>
      <c r="J58" s="384">
        <v>40975</v>
      </c>
      <c r="K58" s="384">
        <v>40976</v>
      </c>
      <c r="L58" s="384">
        <v>40977</v>
      </c>
      <c r="M58" s="384">
        <v>40980</v>
      </c>
      <c r="N58" s="384">
        <v>40981</v>
      </c>
      <c r="O58" s="384">
        <v>40982</v>
      </c>
      <c r="P58" s="384">
        <v>40983</v>
      </c>
      <c r="Q58" s="384">
        <v>40984</v>
      </c>
      <c r="R58" s="384">
        <v>40987</v>
      </c>
      <c r="S58" s="318">
        <v>40988</v>
      </c>
      <c r="T58" s="318">
        <v>40989</v>
      </c>
      <c r="U58" s="318">
        <v>40990</v>
      </c>
      <c r="V58" s="318">
        <v>40991</v>
      </c>
      <c r="W58" s="318">
        <v>40994</v>
      </c>
      <c r="X58" s="193" t="s">
        <v>2198</v>
      </c>
    </row>
    <row r="59" spans="1:24">
      <c r="A59" s="9" t="s">
        <v>45</v>
      </c>
      <c r="B59" s="9">
        <v>6</v>
      </c>
      <c r="C59" s="9">
        <v>6</v>
      </c>
      <c r="D59" s="9">
        <v>6</v>
      </c>
      <c r="E59" s="9">
        <v>4</v>
      </c>
      <c r="F59" s="9">
        <v>4</v>
      </c>
      <c r="G59" s="9">
        <v>4</v>
      </c>
      <c r="H59" s="9">
        <v>4</v>
      </c>
      <c r="I59" s="9">
        <v>13</v>
      </c>
      <c r="J59" s="9">
        <v>13</v>
      </c>
      <c r="K59" s="9">
        <v>12</v>
      </c>
      <c r="L59" s="9">
        <v>7</v>
      </c>
      <c r="M59" s="9">
        <v>5</v>
      </c>
      <c r="N59" s="9">
        <v>4</v>
      </c>
      <c r="O59" s="9">
        <v>5</v>
      </c>
      <c r="P59" s="9">
        <v>5</v>
      </c>
      <c r="Q59" s="9">
        <v>5</v>
      </c>
      <c r="R59" s="9">
        <v>6</v>
      </c>
      <c r="S59" s="8">
        <f>COUNTIFS('Risk Log'!$H:$H,"SharePoint",'Risk Log'!$AF:$AF,"TRUE")</f>
        <v>6</v>
      </c>
      <c r="T59" s="9"/>
      <c r="U59" s="9"/>
      <c r="V59" s="9"/>
      <c r="W59" s="9"/>
      <c r="X59" s="8">
        <f>COUNTIFS('Risk Log'!$H:$H,"SharePoint",'Risk Log'!$AF:$AF,"TRUE")</f>
        <v>6</v>
      </c>
    </row>
    <row r="60" spans="1:24">
      <c r="A60" s="9" t="s">
        <v>141</v>
      </c>
      <c r="B60" s="9">
        <v>1</v>
      </c>
      <c r="C60" s="9">
        <v>1</v>
      </c>
      <c r="D60" s="9">
        <v>1</v>
      </c>
      <c r="E60" s="9">
        <v>2</v>
      </c>
      <c r="F60" s="9">
        <v>2</v>
      </c>
      <c r="G60" s="9">
        <v>2</v>
      </c>
      <c r="H60" s="9">
        <v>2</v>
      </c>
      <c r="I60" s="9">
        <v>4</v>
      </c>
      <c r="J60" s="9">
        <v>4</v>
      </c>
      <c r="K60" s="9">
        <v>3</v>
      </c>
      <c r="L60" s="9">
        <v>0</v>
      </c>
      <c r="M60" s="9">
        <v>0</v>
      </c>
      <c r="N60" s="9">
        <v>0</v>
      </c>
      <c r="O60" s="9">
        <v>0</v>
      </c>
      <c r="P60" s="9">
        <v>0</v>
      </c>
      <c r="Q60" s="9">
        <v>0</v>
      </c>
      <c r="R60" s="9">
        <v>0</v>
      </c>
      <c r="S60" s="8">
        <f>COUNTIFS('Risk Log'!$H:$H,"SharePoint", 'Risk Log'!$AF:$AF,"TRUE",'Risk Log'!$AK:$AK,"TRUE")</f>
        <v>0</v>
      </c>
      <c r="T60" s="9"/>
      <c r="U60" s="9"/>
      <c r="V60" s="9"/>
      <c r="W60" s="9"/>
      <c r="X60" s="8">
        <f>COUNTIFS('Risk Log'!$H:$H,"SharePoint", 'Risk Log'!$AF:$AF,"TRUE",'Risk Log'!$AK:$AK,"TRUE")</f>
        <v>0</v>
      </c>
    </row>
    <row r="61" spans="1:24">
      <c r="A61" s="9" t="s">
        <v>145</v>
      </c>
      <c r="B61" s="9">
        <v>2</v>
      </c>
      <c r="C61" s="9">
        <v>2</v>
      </c>
      <c r="D61" s="9">
        <v>2</v>
      </c>
      <c r="E61" s="9">
        <v>1</v>
      </c>
      <c r="F61" s="9">
        <v>1</v>
      </c>
      <c r="G61" s="9">
        <v>1</v>
      </c>
      <c r="H61" s="9">
        <v>1</v>
      </c>
      <c r="I61" s="9">
        <v>1</v>
      </c>
      <c r="J61" s="9">
        <v>1</v>
      </c>
      <c r="K61" s="9">
        <v>1</v>
      </c>
      <c r="L61" s="9">
        <v>0</v>
      </c>
      <c r="M61" s="9">
        <v>0</v>
      </c>
      <c r="N61" s="9">
        <v>0</v>
      </c>
      <c r="O61" s="9">
        <v>0</v>
      </c>
      <c r="P61" s="9">
        <v>0</v>
      </c>
      <c r="Q61" s="9">
        <v>0</v>
      </c>
      <c r="R61" s="9">
        <v>0</v>
      </c>
      <c r="S61" s="8">
        <f ca="1">COUNTIFS('Risk Log'!$H:$H,"SharePoint",'Risk Log'!$AG:$AG,"TRUE",'Risk Log'!$AF:$AF,"TRUE")</f>
        <v>0</v>
      </c>
      <c r="T61" s="9"/>
      <c r="U61" s="9"/>
      <c r="V61" s="9"/>
      <c r="W61" s="9"/>
      <c r="X61" s="8">
        <f ca="1">COUNTIFS('Risk Log'!$H:$H,"SharePoint",'Risk Log'!$AG:$AG,"TRUE",'Risk Log'!$AF:$AF,"TRUE")</f>
        <v>0</v>
      </c>
    </row>
    <row r="62" spans="1:24">
      <c r="A62" s="9" t="s">
        <v>2045</v>
      </c>
      <c r="B62" s="9">
        <v>3</v>
      </c>
      <c r="C62" s="9">
        <v>3</v>
      </c>
      <c r="D62" s="9">
        <v>3</v>
      </c>
      <c r="E62" s="9">
        <v>3</v>
      </c>
      <c r="F62" s="9">
        <v>3</v>
      </c>
      <c r="G62" s="9">
        <v>3</v>
      </c>
      <c r="H62" s="9">
        <v>3</v>
      </c>
      <c r="I62" s="9">
        <v>1</v>
      </c>
      <c r="J62" s="9">
        <v>1</v>
      </c>
      <c r="K62" s="9">
        <v>1</v>
      </c>
      <c r="L62" s="9">
        <v>1</v>
      </c>
      <c r="M62" s="9">
        <v>1</v>
      </c>
      <c r="N62" s="9">
        <v>1</v>
      </c>
      <c r="O62" s="9">
        <v>1</v>
      </c>
      <c r="P62" s="9">
        <v>1</v>
      </c>
      <c r="Q62" s="9">
        <v>1</v>
      </c>
      <c r="R62" s="9">
        <v>2</v>
      </c>
      <c r="S62" s="8">
        <f>COUNTIFS('Risk Log'!$AF:$AF,"TRUE",'Risk Log'!$H:$H,"SharePoint",'Risk Log'!$AA:$AA,"")</f>
        <v>2</v>
      </c>
      <c r="T62" s="9"/>
      <c r="U62" s="9"/>
      <c r="V62" s="9"/>
      <c r="W62" s="9"/>
      <c r="X62" s="8">
        <f>COUNTIFS('Risk Log'!$AF:$AF,"TRUE",'Risk Log'!$H:$H,"SharePoint",'Risk Log'!$AA:$AA,"")</f>
        <v>2</v>
      </c>
    </row>
    <row r="63" spans="1:24">
      <c r="A63" s="9" t="s">
        <v>155</v>
      </c>
      <c r="B63" s="9">
        <v>1</v>
      </c>
      <c r="C63" s="9">
        <v>1</v>
      </c>
      <c r="D63" s="9">
        <v>1</v>
      </c>
      <c r="E63" s="9">
        <v>1</v>
      </c>
      <c r="F63" s="9">
        <v>1</v>
      </c>
      <c r="G63" s="9">
        <v>2</v>
      </c>
      <c r="H63" s="9">
        <v>1</v>
      </c>
      <c r="I63" s="9">
        <v>1</v>
      </c>
      <c r="J63" s="9">
        <v>1</v>
      </c>
      <c r="K63" s="9">
        <v>1</v>
      </c>
      <c r="L63" s="9">
        <v>0</v>
      </c>
      <c r="M63" s="9">
        <v>0</v>
      </c>
      <c r="N63" s="9">
        <v>0</v>
      </c>
      <c r="O63" s="9">
        <v>0</v>
      </c>
      <c r="P63" s="9">
        <v>0</v>
      </c>
      <c r="Q63" s="9">
        <v>0</v>
      </c>
      <c r="R63" s="9">
        <v>0</v>
      </c>
      <c r="S63" s="8">
        <f ca="1">COUNTIFS('Risk Log'!$AF:$AF,"TRUE",'Risk Log'!$H:$H,"SharePoint",'Risk Log'!$AH:$AH,"TRUE")</f>
        <v>0</v>
      </c>
      <c r="T63" s="9"/>
      <c r="U63" s="9"/>
      <c r="V63" s="9"/>
      <c r="W63" s="9"/>
      <c r="X63" s="8">
        <f ca="1">COUNTIFS('Risk Log'!$AF:$AF,"TRUE",'Risk Log'!$H:$H,"SharePoint",'Risk Log'!$AH:$AH,"TRUE")</f>
        <v>0</v>
      </c>
    </row>
    <row r="64" spans="1:24">
      <c r="A64" s="9" t="s">
        <v>156</v>
      </c>
      <c r="B64" s="9">
        <v>1</v>
      </c>
      <c r="C64" s="9">
        <v>1</v>
      </c>
      <c r="D64" s="9">
        <v>1</v>
      </c>
      <c r="E64" s="9">
        <v>1</v>
      </c>
      <c r="F64" s="9">
        <v>1</v>
      </c>
      <c r="G64" s="9">
        <v>1</v>
      </c>
      <c r="H64" s="9">
        <v>2</v>
      </c>
      <c r="I64" s="9">
        <v>2</v>
      </c>
      <c r="J64" s="9">
        <v>2</v>
      </c>
      <c r="K64" s="9">
        <v>2</v>
      </c>
      <c r="L64" s="9">
        <v>0</v>
      </c>
      <c r="M64" s="9">
        <v>0</v>
      </c>
      <c r="N64" s="9">
        <v>0</v>
      </c>
      <c r="O64" s="9">
        <v>0</v>
      </c>
      <c r="P64" s="9">
        <v>0</v>
      </c>
      <c r="Q64" s="9">
        <v>0</v>
      </c>
      <c r="R64" s="9">
        <v>0</v>
      </c>
      <c r="S64" s="8">
        <f ca="1">COUNTIFS('Risk Log'!$AF:$AF,"TRUE",'Risk Log'!$H:$H,"SharePoint",'Risk Log'!$AI:$AI,"TRUE")</f>
        <v>0</v>
      </c>
      <c r="T64" s="9"/>
      <c r="U64" s="9"/>
      <c r="V64" s="9"/>
      <c r="W64" s="9"/>
      <c r="X64" s="8">
        <f ca="1">COUNTIFS('Risk Log'!$AF:$AF,"TRUE",'Risk Log'!$H:$H,"SharePoint",'Risk Log'!$AI:$AI,"TRUE")</f>
        <v>0</v>
      </c>
    </row>
    <row r="65" spans="1:24">
      <c r="A65" s="9" t="s">
        <v>157</v>
      </c>
      <c r="B65" s="9">
        <v>3</v>
      </c>
      <c r="C65" s="9">
        <v>3</v>
      </c>
      <c r="D65" s="9">
        <v>3</v>
      </c>
      <c r="E65" s="9">
        <v>1</v>
      </c>
      <c r="F65" s="9">
        <v>1</v>
      </c>
      <c r="G65" s="9">
        <v>1</v>
      </c>
      <c r="H65" s="9">
        <v>1</v>
      </c>
      <c r="I65" s="9">
        <v>1</v>
      </c>
      <c r="J65" s="9">
        <v>1</v>
      </c>
      <c r="K65" s="9">
        <v>1</v>
      </c>
      <c r="L65" s="9">
        <v>0</v>
      </c>
      <c r="M65" s="9">
        <v>0</v>
      </c>
      <c r="N65" s="9">
        <v>0</v>
      </c>
      <c r="O65" s="9">
        <v>0</v>
      </c>
      <c r="P65" s="9">
        <v>0</v>
      </c>
      <c r="Q65" s="9">
        <v>0</v>
      </c>
      <c r="R65" s="9">
        <v>0</v>
      </c>
      <c r="S65" s="8">
        <f ca="1">COUNTIFS('Risk Log'!$AF:$AF,"TRUE",'Risk Log'!$H:$H,"SharePoint",'Risk Log'!$AJ:$AJ,"TRUE")</f>
        <v>0</v>
      </c>
      <c r="T65" s="9"/>
      <c r="U65" s="9"/>
      <c r="V65" s="9"/>
      <c r="W65" s="9"/>
      <c r="X65" s="8">
        <f ca="1">COUNTIFS('Risk Log'!$AF:$AF,"TRUE",'Risk Log'!$H:$H,"SharePoint",'Risk Log'!$AJ:$AJ,"TRUE")</f>
        <v>0</v>
      </c>
    </row>
    <row r="66" spans="1:24">
      <c r="A66" s="9" t="s">
        <v>44</v>
      </c>
      <c r="B66" s="9">
        <v>12</v>
      </c>
      <c r="C66" s="9">
        <v>13</v>
      </c>
      <c r="D66" s="9">
        <v>13</v>
      </c>
      <c r="E66" s="9">
        <v>18</v>
      </c>
      <c r="F66" s="9">
        <v>18</v>
      </c>
      <c r="G66" s="9">
        <v>18</v>
      </c>
      <c r="H66" s="9">
        <v>18</v>
      </c>
      <c r="I66" s="9">
        <v>26</v>
      </c>
      <c r="J66" s="9">
        <v>26</v>
      </c>
      <c r="K66" s="9">
        <v>27</v>
      </c>
      <c r="L66" s="9">
        <v>14</v>
      </c>
      <c r="M66" s="9">
        <v>15</v>
      </c>
      <c r="N66" s="9">
        <v>13</v>
      </c>
      <c r="O66" s="9">
        <v>11</v>
      </c>
      <c r="P66" s="9">
        <v>9</v>
      </c>
      <c r="Q66" s="9">
        <v>8</v>
      </c>
      <c r="R66" s="9">
        <v>6</v>
      </c>
      <c r="S66" s="8">
        <f>COUNTIFS('Issues Log'!$N:$N,"SharePoint",'Issues Log'!$D:$D,"Active")</f>
        <v>6</v>
      </c>
      <c r="T66" s="9"/>
      <c r="U66" s="9"/>
      <c r="V66" s="9"/>
      <c r="W66" s="9"/>
      <c r="X66" s="8">
        <f>COUNTIFS('Issues Log'!$N:$N,"SharePoint",'Issues Log'!$D:$D,"Active")</f>
        <v>6</v>
      </c>
    </row>
    <row r="67" spans="1:24">
      <c r="A67" s="9" t="s">
        <v>142</v>
      </c>
      <c r="B67" s="9">
        <v>5</v>
      </c>
      <c r="C67" s="9">
        <v>6</v>
      </c>
      <c r="D67" s="9">
        <v>6</v>
      </c>
      <c r="E67" s="9">
        <v>11</v>
      </c>
      <c r="F67" s="9">
        <v>11</v>
      </c>
      <c r="G67" s="9">
        <v>12</v>
      </c>
      <c r="H67" s="9">
        <v>12</v>
      </c>
      <c r="I67" s="9">
        <v>18</v>
      </c>
      <c r="J67" s="9">
        <v>18</v>
      </c>
      <c r="K67" s="9">
        <v>20</v>
      </c>
      <c r="L67" s="9">
        <v>9</v>
      </c>
      <c r="M67" s="9">
        <v>11</v>
      </c>
      <c r="N67" s="9">
        <v>11</v>
      </c>
      <c r="O67" s="9">
        <v>9</v>
      </c>
      <c r="P67" s="9">
        <v>7</v>
      </c>
      <c r="Q67" s="9">
        <v>6</v>
      </c>
      <c r="R67" s="9">
        <v>4</v>
      </c>
      <c r="S67" s="8">
        <f>COUNTIFS('Issues Log'!$AB:$AB,"TRUE",'Issues Log'!$N:$N,"SharePoint",'Issues Log'!$D:$D,"Active")</f>
        <v>4</v>
      </c>
      <c r="T67" s="9"/>
      <c r="U67" s="9"/>
      <c r="V67" s="9"/>
      <c r="W67" s="9"/>
      <c r="X67" s="8">
        <f>COUNTIFS('Issues Log'!$AB:$AB,"TRUE",'Issues Log'!$N:$N,"SharePoint",'Issues Log'!$D:$D,"Active")</f>
        <v>4</v>
      </c>
    </row>
    <row r="68" spans="1:24">
      <c r="A68" s="9" t="s">
        <v>146</v>
      </c>
      <c r="B68" s="9">
        <v>2</v>
      </c>
      <c r="C68" s="9">
        <v>3</v>
      </c>
      <c r="D68" s="9">
        <v>3</v>
      </c>
      <c r="E68" s="9">
        <v>4</v>
      </c>
      <c r="F68" s="9">
        <v>4</v>
      </c>
      <c r="G68" s="9">
        <v>7</v>
      </c>
      <c r="H68" s="9">
        <v>8</v>
      </c>
      <c r="I68" s="9">
        <v>8</v>
      </c>
      <c r="J68" s="9">
        <v>8</v>
      </c>
      <c r="K68" s="9">
        <v>9</v>
      </c>
      <c r="L68" s="9">
        <v>6</v>
      </c>
      <c r="M68" s="9">
        <v>3</v>
      </c>
      <c r="N68" s="9">
        <v>2</v>
      </c>
      <c r="O68" s="9">
        <v>1</v>
      </c>
      <c r="P68" s="9">
        <v>3</v>
      </c>
      <c r="Q68" s="9">
        <v>3</v>
      </c>
      <c r="R68" s="9">
        <v>0</v>
      </c>
      <c r="S68" s="8">
        <f ca="1">COUNTIFS('Issues Log'!$D:$D,"Active",'Issues Log'!$N:$N,"SharePoint",'Issues Log'!$Z:$Z,"1")</f>
        <v>0</v>
      </c>
      <c r="T68" s="9"/>
      <c r="U68" s="9"/>
      <c r="V68" s="9"/>
      <c r="W68" s="9"/>
      <c r="X68" s="8">
        <f ca="1">COUNTIFS('Issues Log'!$D:$D,"Active",'Issues Log'!$N:$N,"SharePoint",'Issues Log'!$Z:$Z,"1")</f>
        <v>0</v>
      </c>
    </row>
    <row r="69" spans="1:24">
      <c r="A69" s="9" t="s">
        <v>2046</v>
      </c>
      <c r="B69" s="9">
        <v>6</v>
      </c>
      <c r="C69" s="9">
        <v>7</v>
      </c>
      <c r="D69" s="9">
        <v>7</v>
      </c>
      <c r="E69" s="9">
        <v>6</v>
      </c>
      <c r="F69" s="9">
        <v>6</v>
      </c>
      <c r="G69" s="9">
        <v>6</v>
      </c>
      <c r="H69" s="9">
        <v>6</v>
      </c>
      <c r="I69" s="9">
        <v>3</v>
      </c>
      <c r="J69" s="9">
        <v>3</v>
      </c>
      <c r="K69" s="9">
        <v>4</v>
      </c>
      <c r="L69" s="9">
        <v>1</v>
      </c>
      <c r="M69" s="9">
        <v>0</v>
      </c>
      <c r="N69" s="9">
        <v>0</v>
      </c>
      <c r="O69" s="9">
        <v>0</v>
      </c>
      <c r="P69" s="9">
        <v>0</v>
      </c>
      <c r="Q69" s="9">
        <v>0</v>
      </c>
      <c r="R69" s="9">
        <v>0</v>
      </c>
      <c r="S69" s="8">
        <f>COUNTIFS('Issues Log'!$D:$D,"Active",'Issues Log'!$N:$N,"SharePoint",'Issues Log'!$R:$R,"")</f>
        <v>0</v>
      </c>
      <c r="T69" s="9"/>
      <c r="U69" s="9"/>
      <c r="V69" s="9"/>
      <c r="W69" s="9"/>
      <c r="X69" s="8">
        <f>COUNTIFS('Issues Log'!$D:$D,"Active",'Issues Log'!$N:$N,"SharePoint",'Issues Log'!$R:$R,"")</f>
        <v>0</v>
      </c>
    </row>
    <row r="70" spans="1:24">
      <c r="A70" s="9" t="s">
        <v>158</v>
      </c>
      <c r="B70" s="9">
        <v>8</v>
      </c>
      <c r="C70" s="9">
        <v>9</v>
      </c>
      <c r="D70" s="9">
        <v>9</v>
      </c>
      <c r="E70" s="9">
        <v>8</v>
      </c>
      <c r="F70" s="9">
        <v>8</v>
      </c>
      <c r="G70" s="9">
        <v>10</v>
      </c>
      <c r="H70" s="9">
        <v>10</v>
      </c>
      <c r="I70" s="9">
        <v>7</v>
      </c>
      <c r="J70" s="9">
        <v>7</v>
      </c>
      <c r="K70" s="9">
        <v>6</v>
      </c>
      <c r="L70" s="9">
        <v>2</v>
      </c>
      <c r="M70" s="9">
        <v>2</v>
      </c>
      <c r="N70" s="9">
        <v>2</v>
      </c>
      <c r="O70" s="9">
        <v>2</v>
      </c>
      <c r="P70" s="9">
        <v>2</v>
      </c>
      <c r="Q70" s="9">
        <v>2</v>
      </c>
      <c r="R70" s="9">
        <v>1</v>
      </c>
      <c r="S70" s="8">
        <f ca="1">COUNTIFS('Issues Log'!$D:$D,"Active",'Issues Log'!$N:$N,"SharePoint",'Issues Log'!$AD:$AD,"TRUE")</f>
        <v>1</v>
      </c>
      <c r="T70" s="9"/>
      <c r="U70" s="9"/>
      <c r="V70" s="9"/>
      <c r="W70" s="9"/>
      <c r="X70" s="8">
        <f ca="1">COUNTIFS('Issues Log'!$D:$D,"Active",'Issues Log'!$N:$N,"SharePoint",'Issues Log'!$AD:$AD,"TRUE")</f>
        <v>1</v>
      </c>
    </row>
    <row r="71" spans="1:24">
      <c r="A71" s="9" t="s">
        <v>159</v>
      </c>
      <c r="B71" s="9">
        <v>1</v>
      </c>
      <c r="C71" s="9">
        <v>1</v>
      </c>
      <c r="D71" s="9">
        <v>1</v>
      </c>
      <c r="E71" s="9">
        <v>1</v>
      </c>
      <c r="F71" s="9">
        <v>1</v>
      </c>
      <c r="G71" s="9">
        <v>1</v>
      </c>
      <c r="H71" s="9">
        <v>1</v>
      </c>
      <c r="I71" s="9">
        <v>3</v>
      </c>
      <c r="J71" s="9">
        <v>3</v>
      </c>
      <c r="K71" s="9">
        <v>3</v>
      </c>
      <c r="L71" s="9">
        <v>1</v>
      </c>
      <c r="M71" s="9">
        <v>3</v>
      </c>
      <c r="N71" s="9">
        <v>3</v>
      </c>
      <c r="O71" s="9">
        <v>3</v>
      </c>
      <c r="P71" s="9">
        <v>2</v>
      </c>
      <c r="Q71" s="9">
        <v>1</v>
      </c>
      <c r="R71" s="9">
        <v>1</v>
      </c>
      <c r="S71" s="8">
        <f ca="1">COUNTIFS('Issues Log'!$D:$D,"Active",'Issues Log'!$N:$N,"SharePoint",'Issues Log'!$AE:$AE,"TRUE")</f>
        <v>1</v>
      </c>
      <c r="T71" s="9"/>
      <c r="U71" s="9"/>
      <c r="V71" s="9"/>
      <c r="W71" s="9"/>
      <c r="X71" s="8">
        <f ca="1">COUNTIFS('Issues Log'!$D:$D,"Active",'Issues Log'!$N:$N,"SharePoint",'Issues Log'!$AE:$AE,"TRUE")</f>
        <v>1</v>
      </c>
    </row>
    <row r="72" spans="1:24">
      <c r="A72" s="9" t="s">
        <v>160</v>
      </c>
      <c r="B72" s="9">
        <v>1</v>
      </c>
      <c r="C72" s="9">
        <v>1</v>
      </c>
      <c r="D72" s="9">
        <v>1</v>
      </c>
      <c r="E72" s="9">
        <v>1</v>
      </c>
      <c r="F72" s="9">
        <v>1</v>
      </c>
      <c r="G72" s="9">
        <v>1</v>
      </c>
      <c r="H72" s="9">
        <v>1</v>
      </c>
      <c r="I72" s="9">
        <v>1</v>
      </c>
      <c r="J72" s="9">
        <v>1</v>
      </c>
      <c r="K72" s="9">
        <v>1</v>
      </c>
      <c r="L72" s="9">
        <v>1</v>
      </c>
      <c r="M72" s="9">
        <v>1</v>
      </c>
      <c r="N72" s="9">
        <v>0</v>
      </c>
      <c r="O72" s="9">
        <v>0</v>
      </c>
      <c r="P72" s="9">
        <v>0</v>
      </c>
      <c r="Q72" s="9">
        <v>0</v>
      </c>
      <c r="R72" s="9">
        <v>0</v>
      </c>
      <c r="S72" s="8">
        <f ca="1">COUNTIFS('Issues Log'!$D:$D,"Active",'Issues Log'!$N:$N,"SharePoint",'Issues Log'!$AF:$AF,"TRUE")</f>
        <v>0</v>
      </c>
      <c r="T72" s="9"/>
      <c r="U72" s="9"/>
      <c r="V72" s="9"/>
      <c r="W72" s="9"/>
      <c r="X72" s="8">
        <f ca="1">COUNTIFS('Issues Log'!$D:$D,"Active",'Issues Log'!$N:$N,"SharePoint",'Issues Log'!$AF:$AF,"TRUE")</f>
        <v>0</v>
      </c>
    </row>
    <row r="73" spans="1:24">
      <c r="A73" s="9" t="s">
        <v>143</v>
      </c>
      <c r="B73" s="9">
        <v>37</v>
      </c>
      <c r="C73" s="9">
        <v>37</v>
      </c>
      <c r="D73" s="9">
        <v>37</v>
      </c>
      <c r="E73" s="9">
        <v>37</v>
      </c>
      <c r="F73" s="9">
        <v>37</v>
      </c>
      <c r="G73" s="9">
        <v>37</v>
      </c>
      <c r="H73" s="9">
        <v>37</v>
      </c>
      <c r="I73" s="9">
        <v>37</v>
      </c>
      <c r="J73" s="9">
        <v>37</v>
      </c>
      <c r="K73" s="9">
        <v>36</v>
      </c>
      <c r="L73" s="9">
        <v>36</v>
      </c>
      <c r="M73" s="9">
        <v>36</v>
      </c>
      <c r="N73" s="9">
        <v>36</v>
      </c>
      <c r="O73" s="9">
        <v>36</v>
      </c>
      <c r="P73" s="9">
        <v>37</v>
      </c>
      <c r="Q73" s="9">
        <v>37</v>
      </c>
      <c r="R73" s="9">
        <v>37</v>
      </c>
      <c r="S73" s="8">
        <f>COUNTIFS('Assumption Log'!$C:$C,"SharePoint",'Assumption Log'!$L:$L,"Not yet validated")</f>
        <v>6</v>
      </c>
      <c r="T73" s="9"/>
      <c r="U73" s="9"/>
      <c r="V73" s="9"/>
      <c r="W73" s="9"/>
      <c r="X73" s="8">
        <f>COUNTIFS('Assumption Log'!$C:$C,"SharePoint",'Assumption Log'!$L:$L,"Not yet validated")</f>
        <v>6</v>
      </c>
    </row>
    <row r="74" spans="1:24">
      <c r="A74" s="9" t="s">
        <v>144</v>
      </c>
      <c r="B74" s="9">
        <v>7</v>
      </c>
      <c r="C74" s="9">
        <v>7</v>
      </c>
      <c r="D74" s="9">
        <v>7</v>
      </c>
      <c r="E74" s="9">
        <v>7</v>
      </c>
      <c r="F74" s="9">
        <v>7</v>
      </c>
      <c r="G74" s="9">
        <v>4</v>
      </c>
      <c r="H74" s="9">
        <v>4</v>
      </c>
      <c r="I74" s="9">
        <v>4</v>
      </c>
      <c r="J74" s="9">
        <v>4</v>
      </c>
      <c r="K74" s="9">
        <v>4</v>
      </c>
      <c r="L74" s="9">
        <v>4</v>
      </c>
      <c r="M74" s="9">
        <v>4</v>
      </c>
      <c r="N74" s="9">
        <v>4</v>
      </c>
      <c r="O74" s="9">
        <v>4</v>
      </c>
      <c r="P74" s="9">
        <v>1</v>
      </c>
      <c r="Q74" s="9">
        <v>1</v>
      </c>
      <c r="R74" s="9">
        <v>0</v>
      </c>
      <c r="S74" s="8">
        <f>COUNTIFS('Decision Log'!$E:$E,"SharePoint",'Decision Log'!$G:$G,"Pending")</f>
        <v>0</v>
      </c>
      <c r="T74" s="9"/>
      <c r="U74" s="9"/>
      <c r="V74" s="9"/>
      <c r="W74" s="9"/>
      <c r="X74" s="8">
        <f>COUNTIFS('Decision Log'!$E:$E,"SharePoint",'Decision Log'!$G:$G,"Pending")</f>
        <v>0</v>
      </c>
    </row>
    <row r="77" spans="1:24">
      <c r="A77" s="285" t="s">
        <v>153</v>
      </c>
      <c r="B77" s="318">
        <v>40952</v>
      </c>
      <c r="C77" s="318">
        <v>40955</v>
      </c>
      <c r="D77" s="318">
        <v>40959</v>
      </c>
      <c r="E77" s="318">
        <v>40962</v>
      </c>
      <c r="F77" s="318">
        <v>40966</v>
      </c>
      <c r="G77" s="318">
        <v>40969</v>
      </c>
      <c r="H77" s="318">
        <v>40973</v>
      </c>
      <c r="I77" s="318">
        <v>40974</v>
      </c>
      <c r="J77" s="318">
        <v>40975</v>
      </c>
      <c r="K77" s="318">
        <v>40976</v>
      </c>
      <c r="L77" s="318">
        <v>40977</v>
      </c>
      <c r="M77" s="318">
        <v>40980</v>
      </c>
      <c r="N77" s="318">
        <v>40981</v>
      </c>
      <c r="O77" s="318">
        <v>40982</v>
      </c>
      <c r="P77" s="318">
        <v>40983</v>
      </c>
      <c r="Q77" s="318">
        <v>40984</v>
      </c>
      <c r="R77" s="318">
        <v>40987</v>
      </c>
      <c r="S77" s="318">
        <v>40988</v>
      </c>
      <c r="T77" s="318">
        <v>40989</v>
      </c>
      <c r="U77" s="318">
        <v>40990</v>
      </c>
      <c r="V77" s="318">
        <v>40991</v>
      </c>
      <c r="W77" s="318">
        <v>40994</v>
      </c>
      <c r="X77" s="193" t="s">
        <v>2198</v>
      </c>
    </row>
    <row r="78" spans="1:24">
      <c r="A78" s="9" t="s">
        <v>45</v>
      </c>
      <c r="B78" s="9">
        <v>10</v>
      </c>
      <c r="C78" s="9">
        <v>9</v>
      </c>
      <c r="D78" s="9">
        <v>9</v>
      </c>
      <c r="E78" s="9">
        <v>9</v>
      </c>
      <c r="F78" s="9">
        <v>9</v>
      </c>
      <c r="G78" s="9">
        <v>9</v>
      </c>
      <c r="H78" s="9">
        <v>8</v>
      </c>
      <c r="I78" s="9">
        <v>5</v>
      </c>
      <c r="J78" s="9">
        <v>4</v>
      </c>
      <c r="K78" s="9">
        <v>4</v>
      </c>
      <c r="L78" s="9">
        <v>4</v>
      </c>
      <c r="M78" s="9">
        <v>4</v>
      </c>
      <c r="N78" s="9">
        <v>5</v>
      </c>
      <c r="O78" s="9">
        <v>5</v>
      </c>
      <c r="P78" s="9">
        <v>5</v>
      </c>
      <c r="Q78" s="9">
        <v>5</v>
      </c>
      <c r="R78" s="9">
        <v>7</v>
      </c>
      <c r="S78" s="8">
        <f>COUNTIFS('Risk Log'!$H:$H,"Technology Foundation",'Risk Log'!$AF:$AF,"TRUE")</f>
        <v>7</v>
      </c>
      <c r="T78" s="9"/>
      <c r="U78" s="9"/>
      <c r="V78" s="9"/>
      <c r="W78" s="9"/>
      <c r="X78" s="8">
        <f>COUNTIFS('Risk Log'!$H:$H,"Technology Foundation",'Risk Log'!$AF:$AF,"TRUE")</f>
        <v>7</v>
      </c>
    </row>
    <row r="79" spans="1:24">
      <c r="A79" s="9" t="s">
        <v>141</v>
      </c>
      <c r="B79" s="9">
        <v>7</v>
      </c>
      <c r="C79" s="9">
        <v>6</v>
      </c>
      <c r="D79" s="9">
        <v>6</v>
      </c>
      <c r="E79" s="9">
        <v>6</v>
      </c>
      <c r="F79" s="9">
        <v>6</v>
      </c>
      <c r="G79" s="9">
        <v>6</v>
      </c>
      <c r="H79" s="9">
        <v>4</v>
      </c>
      <c r="I79" s="9">
        <v>2</v>
      </c>
      <c r="J79" s="9">
        <v>1</v>
      </c>
      <c r="K79" s="9">
        <v>1</v>
      </c>
      <c r="L79" s="9">
        <v>1</v>
      </c>
      <c r="M79" s="9">
        <v>1</v>
      </c>
      <c r="N79" s="9">
        <v>2</v>
      </c>
      <c r="O79" s="9">
        <v>2</v>
      </c>
      <c r="P79" s="9">
        <v>2</v>
      </c>
      <c r="Q79" s="9">
        <v>2</v>
      </c>
      <c r="R79" s="9">
        <v>1</v>
      </c>
      <c r="S79" s="8">
        <f>COUNTIFS('Risk Log'!$H:$H,"Technology Foundation", 'Risk Log'!$AF:$AF,"TRUE",'Risk Log'!$AK:$AK,"TRUE")</f>
        <v>1</v>
      </c>
      <c r="T79" s="9"/>
      <c r="U79" s="9"/>
      <c r="V79" s="9"/>
      <c r="W79" s="9"/>
      <c r="X79" s="8">
        <f>COUNTIFS('Risk Log'!$H:$H,"Technology Foundation", 'Risk Log'!$AF:$AF,"TRUE",'Risk Log'!$AK:$AK,"TRUE")</f>
        <v>1</v>
      </c>
    </row>
    <row r="80" spans="1:24">
      <c r="A80" s="9" t="s">
        <v>145</v>
      </c>
      <c r="B80" s="9">
        <v>2</v>
      </c>
      <c r="C80" s="9">
        <v>1</v>
      </c>
      <c r="D80" s="9">
        <v>2</v>
      </c>
      <c r="E80" s="9">
        <v>2</v>
      </c>
      <c r="F80" s="9">
        <v>2</v>
      </c>
      <c r="G80" s="9">
        <v>4</v>
      </c>
      <c r="H80" s="9">
        <v>3</v>
      </c>
      <c r="I80" s="9">
        <v>0</v>
      </c>
      <c r="J80" s="9">
        <v>0</v>
      </c>
      <c r="K80" s="9">
        <v>0</v>
      </c>
      <c r="L80" s="9">
        <v>0</v>
      </c>
      <c r="M80" s="9">
        <v>0</v>
      </c>
      <c r="N80" s="9">
        <v>0</v>
      </c>
      <c r="O80" s="9">
        <v>1</v>
      </c>
      <c r="P80" s="9">
        <v>1</v>
      </c>
      <c r="Q80" s="9">
        <v>0</v>
      </c>
      <c r="R80" s="9">
        <v>0</v>
      </c>
      <c r="S80" s="8">
        <f ca="1">COUNTIFS('Risk Log'!$H:$H,"Technology Foundation",'Risk Log'!$AG:$AG,"TRUE",'Risk Log'!$AF:$AF,"TRUE")</f>
        <v>0</v>
      </c>
      <c r="T80" s="9"/>
      <c r="U80" s="9"/>
      <c r="V80" s="9"/>
      <c r="W80" s="9"/>
      <c r="X80" s="8">
        <f ca="1">COUNTIFS('Risk Log'!$H:$H,"Technology Foundation",'Risk Log'!$AG:$AG,"TRUE",'Risk Log'!$AF:$AF,"TRUE")</f>
        <v>0</v>
      </c>
    </row>
    <row r="81" spans="1:24">
      <c r="A81" s="9" t="s">
        <v>2045</v>
      </c>
      <c r="B81" s="9">
        <v>3</v>
      </c>
      <c r="C81" s="9">
        <v>3</v>
      </c>
      <c r="D81" s="9">
        <v>3</v>
      </c>
      <c r="E81" s="9">
        <v>3</v>
      </c>
      <c r="F81" s="9">
        <v>3</v>
      </c>
      <c r="G81" s="9">
        <v>3</v>
      </c>
      <c r="H81" s="9">
        <v>3</v>
      </c>
      <c r="I81" s="9">
        <v>2</v>
      </c>
      <c r="J81" s="9">
        <v>1</v>
      </c>
      <c r="K81" s="9">
        <v>1</v>
      </c>
      <c r="L81" s="9">
        <v>1</v>
      </c>
      <c r="M81" s="9">
        <v>1</v>
      </c>
      <c r="N81" s="9">
        <v>0</v>
      </c>
      <c r="O81" s="9">
        <v>0</v>
      </c>
      <c r="P81" s="9">
        <v>0</v>
      </c>
      <c r="Q81" s="9">
        <v>0</v>
      </c>
      <c r="R81" s="9">
        <v>4</v>
      </c>
      <c r="S81" s="8">
        <f>COUNTIFS('Risk Log'!$AF:$AF,"TRUE",'Risk Log'!$H:$H,"Technology Foundation",'Risk Log'!$AA:$AA,"")</f>
        <v>4</v>
      </c>
      <c r="T81" s="9"/>
      <c r="U81" s="9"/>
      <c r="V81" s="9"/>
      <c r="W81" s="9"/>
      <c r="X81" s="8">
        <f>COUNTIFS('Risk Log'!$AF:$AF,"TRUE",'Risk Log'!$H:$H,"Technology Foundation",'Risk Log'!$AA:$AA,"")</f>
        <v>4</v>
      </c>
    </row>
    <row r="82" spans="1:24">
      <c r="A82" s="9" t="s">
        <v>155</v>
      </c>
      <c r="B82" s="9">
        <v>3</v>
      </c>
      <c r="C82" s="9">
        <v>3</v>
      </c>
      <c r="D82" s="9">
        <v>3</v>
      </c>
      <c r="E82" s="9">
        <v>3</v>
      </c>
      <c r="F82" s="9">
        <v>5</v>
      </c>
      <c r="G82" s="9">
        <v>4</v>
      </c>
      <c r="H82" s="9">
        <v>5</v>
      </c>
      <c r="I82" s="9">
        <v>4</v>
      </c>
      <c r="J82" s="9">
        <v>3</v>
      </c>
      <c r="K82" s="9">
        <v>3</v>
      </c>
      <c r="L82" s="9">
        <v>3</v>
      </c>
      <c r="M82" s="9">
        <v>3</v>
      </c>
      <c r="N82" s="9">
        <v>3</v>
      </c>
      <c r="O82" s="9">
        <v>3</v>
      </c>
      <c r="P82" s="9">
        <v>3</v>
      </c>
      <c r="Q82" s="9">
        <v>3</v>
      </c>
      <c r="R82" s="9">
        <v>3</v>
      </c>
      <c r="S82" s="8">
        <f ca="1">COUNTIFS('Risk Log'!$AF:$AF,"TRUE",'Risk Log'!$H:$H,"Technology Foundation",'Risk Log'!$AH:$AH,"TRUE")</f>
        <v>3</v>
      </c>
      <c r="T82" s="9"/>
      <c r="U82" s="9"/>
      <c r="V82" s="9"/>
      <c r="W82" s="9"/>
      <c r="X82" s="8">
        <f ca="1">COUNTIFS('Risk Log'!$AF:$AF,"TRUE",'Risk Log'!$H:$H,"Technology Foundation",'Risk Log'!$AH:$AH,"TRUE")</f>
        <v>3</v>
      </c>
    </row>
    <row r="83" spans="1:24">
      <c r="A83" s="9" t="s">
        <v>156</v>
      </c>
      <c r="B83" s="9">
        <v>0</v>
      </c>
      <c r="C83" s="9">
        <v>0</v>
      </c>
      <c r="D83" s="9">
        <v>0</v>
      </c>
      <c r="E83" s="9">
        <v>0</v>
      </c>
      <c r="F83" s="9">
        <v>0</v>
      </c>
      <c r="G83" s="9">
        <v>1</v>
      </c>
      <c r="H83" s="9">
        <v>1</v>
      </c>
      <c r="I83" s="9">
        <v>0</v>
      </c>
      <c r="J83" s="9">
        <v>0</v>
      </c>
      <c r="K83" s="9">
        <v>0</v>
      </c>
      <c r="L83" s="9">
        <v>0</v>
      </c>
      <c r="M83" s="9">
        <v>0</v>
      </c>
      <c r="N83" s="9">
        <v>0</v>
      </c>
      <c r="O83" s="9">
        <v>0</v>
      </c>
      <c r="P83" s="9">
        <v>0</v>
      </c>
      <c r="Q83" s="9">
        <v>0</v>
      </c>
      <c r="R83" s="9">
        <v>0</v>
      </c>
      <c r="S83" s="8">
        <f ca="1">COUNTIFS('Risk Log'!$AF:$AF,"TRUE",'Risk Log'!$H:$H,"Technology Foundation",'Risk Log'!$AI:$AI,"TRUE")</f>
        <v>0</v>
      </c>
      <c r="T83" s="9"/>
      <c r="U83" s="9"/>
      <c r="V83" s="9"/>
      <c r="W83" s="9"/>
      <c r="X83" s="8">
        <f ca="1">COUNTIFS('Risk Log'!$AF:$AF,"TRUE",'Risk Log'!$H:$H,"Technology Foundation",'Risk Log'!$AI:$AI,"TRUE")</f>
        <v>0</v>
      </c>
    </row>
    <row r="84" spans="1:24">
      <c r="A84" s="9" t="s">
        <v>157</v>
      </c>
      <c r="B84" s="9">
        <v>3</v>
      </c>
      <c r="C84" s="9">
        <v>2</v>
      </c>
      <c r="D84" s="9">
        <v>2</v>
      </c>
      <c r="E84" s="9">
        <v>2</v>
      </c>
      <c r="F84" s="9">
        <v>2</v>
      </c>
      <c r="G84" s="9">
        <v>2</v>
      </c>
      <c r="H84" s="9">
        <v>2</v>
      </c>
      <c r="I84" s="9">
        <v>1</v>
      </c>
      <c r="J84" s="9">
        <v>1</v>
      </c>
      <c r="K84" s="9">
        <v>1</v>
      </c>
      <c r="L84" s="9">
        <v>1</v>
      </c>
      <c r="M84" s="9">
        <v>1</v>
      </c>
      <c r="N84" s="9">
        <v>1</v>
      </c>
      <c r="O84" s="9">
        <v>1</v>
      </c>
      <c r="P84" s="9">
        <v>1</v>
      </c>
      <c r="Q84" s="9">
        <v>1</v>
      </c>
      <c r="R84" s="9">
        <v>0</v>
      </c>
      <c r="S84" s="8">
        <f ca="1">COUNTIFS('Risk Log'!$AF:$AF,"TRUE",'Risk Log'!$H:$H,"Technology Foundation",'Risk Log'!$AJ:$AJ,"TRUE")</f>
        <v>0</v>
      </c>
      <c r="T84" s="9"/>
      <c r="U84" s="9"/>
      <c r="V84" s="9"/>
      <c r="W84" s="9"/>
      <c r="X84" s="8">
        <f ca="1">COUNTIFS('Risk Log'!$AF:$AF,"TRUE",'Risk Log'!$H:$H,"Technology Foundation",'Risk Log'!$AJ:$AJ,"TRUE")</f>
        <v>0</v>
      </c>
    </row>
    <row r="85" spans="1:24">
      <c r="A85" s="9" t="s">
        <v>44</v>
      </c>
      <c r="B85" s="9">
        <v>20</v>
      </c>
      <c r="C85" s="9">
        <v>13</v>
      </c>
      <c r="D85" s="9">
        <v>13</v>
      </c>
      <c r="E85" s="9">
        <v>13</v>
      </c>
      <c r="F85" s="9">
        <v>15</v>
      </c>
      <c r="G85" s="9">
        <v>15</v>
      </c>
      <c r="H85" s="9">
        <v>15</v>
      </c>
      <c r="I85" s="9">
        <v>12</v>
      </c>
      <c r="J85" s="9">
        <v>11</v>
      </c>
      <c r="K85" s="9">
        <v>12</v>
      </c>
      <c r="L85" s="9">
        <v>12</v>
      </c>
      <c r="M85" s="9">
        <v>12</v>
      </c>
      <c r="N85" s="9">
        <v>11</v>
      </c>
      <c r="O85" s="9">
        <v>11</v>
      </c>
      <c r="P85" s="9">
        <v>11</v>
      </c>
      <c r="Q85" s="9">
        <v>11</v>
      </c>
      <c r="R85" s="9">
        <v>11</v>
      </c>
      <c r="S85" s="8">
        <f>COUNTIFS('Issues Log'!$N:$N,"Technology Foundation",'Issues Log'!$D:$D,"Active")</f>
        <v>11</v>
      </c>
      <c r="T85" s="9"/>
      <c r="U85" s="9"/>
      <c r="V85" s="9"/>
      <c r="W85" s="9"/>
      <c r="X85" s="8">
        <f>COUNTIFS('Issues Log'!$N:$N,"Technology Foundation",'Issues Log'!$D:$D,"Active")</f>
        <v>11</v>
      </c>
    </row>
    <row r="86" spans="1:24">
      <c r="A86" s="9" t="s">
        <v>142</v>
      </c>
      <c r="B86" s="9">
        <v>16</v>
      </c>
      <c r="C86" s="9">
        <v>9</v>
      </c>
      <c r="D86" s="9">
        <v>9</v>
      </c>
      <c r="E86" s="9">
        <v>9</v>
      </c>
      <c r="F86" s="9">
        <v>11</v>
      </c>
      <c r="G86" s="9">
        <v>11</v>
      </c>
      <c r="H86" s="9">
        <v>11</v>
      </c>
      <c r="I86" s="9">
        <v>11</v>
      </c>
      <c r="J86" s="9">
        <v>10</v>
      </c>
      <c r="K86" s="9">
        <v>8</v>
      </c>
      <c r="L86" s="9">
        <v>9</v>
      </c>
      <c r="M86" s="9">
        <v>11</v>
      </c>
      <c r="N86" s="9">
        <v>10</v>
      </c>
      <c r="O86" s="9">
        <v>10</v>
      </c>
      <c r="P86" s="9">
        <v>10</v>
      </c>
      <c r="Q86" s="9">
        <v>10</v>
      </c>
      <c r="R86" s="9">
        <v>10</v>
      </c>
      <c r="S86" s="8">
        <f>COUNTIFS('Issues Log'!$AB:$AB,"TRUE",'Issues Log'!$N:$N,"Technology Foundation",'Issues Log'!$D:$D,"Active")</f>
        <v>10</v>
      </c>
      <c r="T86" s="9"/>
      <c r="U86" s="9"/>
      <c r="V86" s="9"/>
      <c r="W86" s="9"/>
      <c r="X86" s="8">
        <f>COUNTIFS('Issues Log'!$AB:$AB,"TRUE",'Issues Log'!$N:$N,"Technology Foundation",'Issues Log'!$D:$D,"Active")</f>
        <v>10</v>
      </c>
    </row>
    <row r="87" spans="1:24">
      <c r="A87" s="9" t="s">
        <v>146</v>
      </c>
      <c r="B87" s="9">
        <v>7</v>
      </c>
      <c r="C87" s="9">
        <v>5</v>
      </c>
      <c r="D87" s="9">
        <v>5</v>
      </c>
      <c r="E87" s="9">
        <v>5</v>
      </c>
      <c r="F87" s="9">
        <v>5</v>
      </c>
      <c r="G87" s="9">
        <v>5</v>
      </c>
      <c r="H87" s="9">
        <v>5</v>
      </c>
      <c r="I87" s="9">
        <v>2</v>
      </c>
      <c r="J87" s="9">
        <v>1</v>
      </c>
      <c r="K87" s="9">
        <v>2</v>
      </c>
      <c r="L87" s="9">
        <v>2</v>
      </c>
      <c r="M87" s="9">
        <v>2</v>
      </c>
      <c r="N87" s="9">
        <v>1</v>
      </c>
      <c r="O87" s="9">
        <v>1</v>
      </c>
      <c r="P87" s="9">
        <v>1</v>
      </c>
      <c r="Q87" s="9">
        <v>1</v>
      </c>
      <c r="R87" s="9">
        <v>2</v>
      </c>
      <c r="S87" s="8">
        <f ca="1">COUNTIFS('Issues Log'!$D:$D,"Active",'Issues Log'!$N:$N,"Technology Foundation",'Issues Log'!$Z:$Z,"1")</f>
        <v>3</v>
      </c>
      <c r="T87" s="9"/>
      <c r="U87" s="9"/>
      <c r="V87" s="9"/>
      <c r="W87" s="9"/>
      <c r="X87" s="8">
        <f ca="1">COUNTIFS('Issues Log'!$D:$D,"Active",'Issues Log'!$N:$N,"Technology Foundation",'Issues Log'!$Z:$Z,"1")</f>
        <v>3</v>
      </c>
    </row>
    <row r="88" spans="1:24">
      <c r="A88" s="9" t="s">
        <v>2046</v>
      </c>
      <c r="B88" s="9">
        <v>12</v>
      </c>
      <c r="C88" s="9">
        <v>2</v>
      </c>
      <c r="D88" s="9">
        <v>2</v>
      </c>
      <c r="E88" s="9">
        <v>2</v>
      </c>
      <c r="F88" s="9">
        <v>4</v>
      </c>
      <c r="G88" s="9">
        <v>4</v>
      </c>
      <c r="H88" s="9">
        <v>4</v>
      </c>
      <c r="I88" s="9">
        <v>2</v>
      </c>
      <c r="J88" s="9">
        <v>2</v>
      </c>
      <c r="K88" s="9">
        <v>2</v>
      </c>
      <c r="L88" s="9">
        <v>0</v>
      </c>
      <c r="M88" s="9">
        <v>0</v>
      </c>
      <c r="N88" s="9">
        <v>0</v>
      </c>
      <c r="O88" s="9">
        <v>0</v>
      </c>
      <c r="P88" s="9">
        <v>0</v>
      </c>
      <c r="Q88" s="9">
        <v>0</v>
      </c>
      <c r="R88" s="9">
        <v>0</v>
      </c>
      <c r="S88" s="8">
        <f>COUNTIFS('Issues Log'!$D:$D,"Active",'Issues Log'!$N:$N,"Technology Foundation",'Issues Log'!$R:$R,"")</f>
        <v>0</v>
      </c>
      <c r="T88" s="9"/>
      <c r="U88" s="9"/>
      <c r="V88" s="9"/>
      <c r="W88" s="9"/>
      <c r="X88" s="8">
        <f>COUNTIFS('Issues Log'!$D:$D,"Active",'Issues Log'!$N:$N,"Technology Foundation",'Issues Log'!$R:$R,"")</f>
        <v>0</v>
      </c>
    </row>
    <row r="89" spans="1:24">
      <c r="A89" s="9" t="s">
        <v>158</v>
      </c>
      <c r="B89" s="9">
        <v>9</v>
      </c>
      <c r="C89" s="9">
        <v>7</v>
      </c>
      <c r="D89" s="9">
        <v>7</v>
      </c>
      <c r="E89" s="9">
        <v>8</v>
      </c>
      <c r="F89" s="9">
        <v>8</v>
      </c>
      <c r="G89" s="9">
        <v>7</v>
      </c>
      <c r="H89" s="9">
        <v>7</v>
      </c>
      <c r="I89" s="9">
        <v>3</v>
      </c>
      <c r="J89" s="9">
        <v>2</v>
      </c>
      <c r="K89" s="9">
        <v>1</v>
      </c>
      <c r="L89" s="9">
        <v>3</v>
      </c>
      <c r="M89" s="9">
        <v>3</v>
      </c>
      <c r="N89" s="9">
        <v>3</v>
      </c>
      <c r="O89" s="9">
        <v>3</v>
      </c>
      <c r="P89" s="9">
        <v>3</v>
      </c>
      <c r="Q89" s="9">
        <v>3</v>
      </c>
      <c r="R89" s="9">
        <v>3</v>
      </c>
      <c r="S89" s="8">
        <f ca="1">COUNTIFS('Issues Log'!$D:$D,"Active",'Issues Log'!$N:$N,"Technology Foundation",'Issues Log'!$AD:$AD,"TRUE")</f>
        <v>3</v>
      </c>
      <c r="T89" s="9"/>
      <c r="U89" s="9"/>
      <c r="V89" s="9"/>
      <c r="W89" s="9"/>
      <c r="X89" s="8">
        <f ca="1">COUNTIFS('Issues Log'!$D:$D,"Active",'Issues Log'!$N:$N,"Technology Foundation",'Issues Log'!$AD:$AD,"TRUE")</f>
        <v>3</v>
      </c>
    </row>
    <row r="90" spans="1:24">
      <c r="A90" s="9" t="s">
        <v>159</v>
      </c>
      <c r="B90" s="9">
        <v>1</v>
      </c>
      <c r="C90" s="9">
        <v>1</v>
      </c>
      <c r="D90" s="9">
        <v>1</v>
      </c>
      <c r="E90" s="9">
        <v>1</v>
      </c>
      <c r="F90" s="9">
        <v>1</v>
      </c>
      <c r="G90" s="9">
        <v>1</v>
      </c>
      <c r="H90" s="9">
        <v>1</v>
      </c>
      <c r="I90" s="9">
        <v>4</v>
      </c>
      <c r="J90" s="9">
        <v>4</v>
      </c>
      <c r="K90" s="9">
        <v>3</v>
      </c>
      <c r="L90" s="9">
        <v>4</v>
      </c>
      <c r="M90" s="9">
        <v>5</v>
      </c>
      <c r="N90" s="9">
        <v>5</v>
      </c>
      <c r="O90" s="9">
        <v>5</v>
      </c>
      <c r="P90" s="9">
        <v>4</v>
      </c>
      <c r="Q90" s="9">
        <v>4</v>
      </c>
      <c r="R90" s="9">
        <v>4</v>
      </c>
      <c r="S90" s="8">
        <f ca="1">COUNTIFS('Issues Log'!$D:$D,"Active",'Issues Log'!$N:$N,"Technology Foundation",'Issues Log'!$AE:$AE,"TRUE")</f>
        <v>4</v>
      </c>
      <c r="T90" s="9"/>
      <c r="U90" s="9"/>
      <c r="V90" s="9"/>
      <c r="W90" s="9"/>
      <c r="X90" s="8">
        <f ca="1">COUNTIFS('Issues Log'!$D:$D,"Active",'Issues Log'!$N:$N,"Technology Foundation",'Issues Log'!$AE:$AE,"TRUE")</f>
        <v>4</v>
      </c>
    </row>
    <row r="91" spans="1:24">
      <c r="A91" s="9" t="s">
        <v>160</v>
      </c>
      <c r="B91" s="9">
        <v>2</v>
      </c>
      <c r="C91" s="9">
        <v>2</v>
      </c>
      <c r="D91" s="9">
        <v>2</v>
      </c>
      <c r="E91" s="9">
        <v>2</v>
      </c>
      <c r="F91" s="9">
        <v>2</v>
      </c>
      <c r="G91" s="9">
        <v>3</v>
      </c>
      <c r="H91" s="9">
        <v>3</v>
      </c>
      <c r="I91" s="9">
        <v>1</v>
      </c>
      <c r="J91" s="9">
        <v>1</v>
      </c>
      <c r="K91" s="9">
        <v>0</v>
      </c>
      <c r="L91" s="9">
        <v>1</v>
      </c>
      <c r="M91" s="9">
        <v>1</v>
      </c>
      <c r="N91" s="9">
        <v>1</v>
      </c>
      <c r="O91" s="9">
        <v>1</v>
      </c>
      <c r="P91" s="9">
        <v>1</v>
      </c>
      <c r="Q91" s="9">
        <v>1</v>
      </c>
      <c r="R91" s="9">
        <v>1</v>
      </c>
      <c r="S91" s="8">
        <f ca="1">COUNTIFS('Issues Log'!$D:$D,"Active",'Issues Log'!$N:$N,"Technology Foundation",'Issues Log'!$AF:$AF,"TRUE")</f>
        <v>1</v>
      </c>
      <c r="T91" s="9"/>
      <c r="U91" s="9"/>
      <c r="V91" s="9"/>
      <c r="W91" s="9"/>
      <c r="X91" s="8">
        <f ca="1">COUNTIFS('Issues Log'!$D:$D,"Active",'Issues Log'!$N:$N,"Technology Foundation",'Issues Log'!$AF:$AF,"TRUE")</f>
        <v>1</v>
      </c>
    </row>
    <row r="92" spans="1:24">
      <c r="A92" s="9" t="s">
        <v>143</v>
      </c>
      <c r="B92" s="9">
        <v>1</v>
      </c>
      <c r="C92" s="9">
        <v>1</v>
      </c>
      <c r="D92" s="9">
        <v>1</v>
      </c>
      <c r="E92" s="9">
        <v>1</v>
      </c>
      <c r="F92" s="9">
        <v>1</v>
      </c>
      <c r="G92" s="9">
        <v>1</v>
      </c>
      <c r="H92" s="9">
        <v>1</v>
      </c>
      <c r="I92" s="9">
        <v>2</v>
      </c>
      <c r="J92" s="9">
        <v>2</v>
      </c>
      <c r="K92" s="9">
        <v>2</v>
      </c>
      <c r="L92" s="9">
        <v>2</v>
      </c>
      <c r="M92" s="9">
        <v>2</v>
      </c>
      <c r="N92" s="9">
        <v>2</v>
      </c>
      <c r="O92" s="9">
        <v>2</v>
      </c>
      <c r="P92" s="9">
        <v>2</v>
      </c>
      <c r="Q92" s="9">
        <v>2</v>
      </c>
      <c r="R92" s="9">
        <v>2</v>
      </c>
      <c r="S92" s="8">
        <f>COUNTIFS('Assumption Log'!$C:$C,"Technology Foundation",'Assumption Log'!$L:$L,"Not yet validated")</f>
        <v>2</v>
      </c>
      <c r="T92" s="9"/>
      <c r="U92" s="9"/>
      <c r="V92" s="9"/>
      <c r="W92" s="9"/>
      <c r="X92" s="8">
        <f>COUNTIFS('Assumption Log'!$C:$C,"Technology Foundation",'Assumption Log'!$L:$L,"Not yet validated")</f>
        <v>2</v>
      </c>
    </row>
    <row r="93" spans="1:24">
      <c r="A93" s="9" t="s">
        <v>144</v>
      </c>
      <c r="B93" s="9">
        <v>14</v>
      </c>
      <c r="C93" s="9">
        <v>14</v>
      </c>
      <c r="D93" s="9">
        <v>14</v>
      </c>
      <c r="E93" s="9">
        <v>14</v>
      </c>
      <c r="F93" s="9">
        <v>14</v>
      </c>
      <c r="G93" s="9">
        <v>14</v>
      </c>
      <c r="H93" s="9">
        <v>14</v>
      </c>
      <c r="I93" s="9">
        <v>12</v>
      </c>
      <c r="J93" s="9">
        <v>22</v>
      </c>
      <c r="K93" s="9">
        <v>17</v>
      </c>
      <c r="L93" s="9">
        <v>15</v>
      </c>
      <c r="M93" s="9">
        <v>16</v>
      </c>
      <c r="N93" s="9">
        <v>16</v>
      </c>
      <c r="O93" s="9">
        <v>16</v>
      </c>
      <c r="P93" s="9">
        <v>16</v>
      </c>
      <c r="Q93" s="9">
        <v>15</v>
      </c>
      <c r="R93" s="9">
        <v>15</v>
      </c>
      <c r="S93" s="8">
        <f>COUNTIFS('Decision Log'!$E:$E,"Technology Foundation",'Decision Log'!$G:$G,"Pending")</f>
        <v>15</v>
      </c>
      <c r="T93" s="9"/>
      <c r="U93" s="9"/>
      <c r="V93" s="9"/>
      <c r="W93" s="9"/>
      <c r="X93" s="8">
        <f>COUNTIFS('Decision Log'!$E:$E,"Technology Foundation",'Decision Log'!$G:$G,"Pending")</f>
        <v>15</v>
      </c>
    </row>
    <row r="96" spans="1:24">
      <c r="A96" s="285" t="s">
        <v>154</v>
      </c>
      <c r="B96" s="318">
        <v>40952</v>
      </c>
      <c r="C96" s="318">
        <v>40955</v>
      </c>
      <c r="D96" s="318">
        <v>40959</v>
      </c>
      <c r="E96" s="318">
        <v>40962</v>
      </c>
      <c r="F96" s="318">
        <v>40966</v>
      </c>
      <c r="G96" s="318">
        <v>40969</v>
      </c>
      <c r="H96" s="318">
        <v>40973</v>
      </c>
      <c r="I96" s="318">
        <v>40974</v>
      </c>
      <c r="J96" s="318">
        <v>40975</v>
      </c>
      <c r="K96" s="318">
        <v>40976</v>
      </c>
      <c r="L96" s="318">
        <v>40977</v>
      </c>
      <c r="M96" s="318">
        <v>40980</v>
      </c>
      <c r="N96" s="318">
        <v>40981</v>
      </c>
      <c r="O96" s="318">
        <v>40982</v>
      </c>
      <c r="P96" s="318">
        <v>40983</v>
      </c>
      <c r="Q96" s="318">
        <v>40984</v>
      </c>
      <c r="R96" s="318">
        <v>40987</v>
      </c>
      <c r="S96" s="318">
        <v>40988</v>
      </c>
      <c r="T96" s="318">
        <v>40989</v>
      </c>
      <c r="U96" s="318">
        <v>40990</v>
      </c>
      <c r="V96" s="318">
        <v>40991</v>
      </c>
      <c r="W96" s="318">
        <v>40994</v>
      </c>
      <c r="X96" s="193" t="s">
        <v>2198</v>
      </c>
    </row>
    <row r="97" spans="1:24">
      <c r="A97" s="9" t="s">
        <v>45</v>
      </c>
      <c r="B97" s="9">
        <v>3</v>
      </c>
      <c r="C97" s="9">
        <v>3</v>
      </c>
      <c r="D97" s="9">
        <v>3</v>
      </c>
      <c r="E97" s="9">
        <v>5</v>
      </c>
      <c r="F97" s="9">
        <v>5</v>
      </c>
      <c r="G97" s="9">
        <v>6</v>
      </c>
      <c r="H97" s="9">
        <v>9</v>
      </c>
      <c r="I97" s="9">
        <v>8</v>
      </c>
      <c r="J97" s="9">
        <v>8</v>
      </c>
      <c r="K97" s="9">
        <v>8</v>
      </c>
      <c r="L97" s="9">
        <v>8</v>
      </c>
      <c r="M97" s="9">
        <v>8</v>
      </c>
      <c r="N97" s="9">
        <v>7</v>
      </c>
      <c r="O97" s="9">
        <v>7</v>
      </c>
      <c r="P97" s="9">
        <v>7</v>
      </c>
      <c r="Q97" s="9">
        <v>7</v>
      </c>
      <c r="R97" s="9">
        <v>7</v>
      </c>
      <c r="S97" s="8">
        <f>COUNTIFS('Risk Log'!$H:$H,"Unified Communications",'Risk Log'!$AF:$AF,"TRUE")</f>
        <v>7</v>
      </c>
      <c r="T97" s="9"/>
      <c r="U97" s="9"/>
      <c r="V97" s="9"/>
      <c r="W97" s="9"/>
      <c r="X97" s="8">
        <f>COUNTIFS('Risk Log'!$H:$H,"Unified Communications",'Risk Log'!$AF:$AF,"TRUE")</f>
        <v>7</v>
      </c>
    </row>
    <row r="98" spans="1:24">
      <c r="A98" s="9" t="s">
        <v>141</v>
      </c>
      <c r="B98" s="9">
        <v>3</v>
      </c>
      <c r="C98" s="9">
        <v>3</v>
      </c>
      <c r="D98" s="9">
        <v>3</v>
      </c>
      <c r="E98" s="9">
        <v>5</v>
      </c>
      <c r="F98" s="9">
        <v>5</v>
      </c>
      <c r="G98" s="9">
        <v>6</v>
      </c>
      <c r="H98" s="9">
        <v>9</v>
      </c>
      <c r="I98" s="9">
        <v>5</v>
      </c>
      <c r="J98" s="9">
        <v>5</v>
      </c>
      <c r="K98" s="9">
        <v>5</v>
      </c>
      <c r="L98" s="9">
        <v>5</v>
      </c>
      <c r="M98" s="9">
        <v>5</v>
      </c>
      <c r="N98" s="9">
        <v>4</v>
      </c>
      <c r="O98" s="9">
        <v>4</v>
      </c>
      <c r="P98" s="9">
        <v>3</v>
      </c>
      <c r="Q98" s="9">
        <v>3</v>
      </c>
      <c r="R98" s="9">
        <v>3</v>
      </c>
      <c r="S98" s="8">
        <f>COUNTIFS('Risk Log'!$H:$H,"Unified Communications", 'Risk Log'!$AF:$AF,"TRUE",'Risk Log'!$AK:$AK,"TRUE")</f>
        <v>3</v>
      </c>
      <c r="T98" s="9"/>
      <c r="U98" s="9"/>
      <c r="V98" s="9"/>
      <c r="W98" s="9"/>
      <c r="X98" s="8">
        <f>COUNTIFS('Risk Log'!$H:$H,"Unified Communications", 'Risk Log'!$AF:$AF,"TRUE",'Risk Log'!$AK:$AK,"TRUE")</f>
        <v>3</v>
      </c>
    </row>
    <row r="99" spans="1:24">
      <c r="A99" s="9" t="s">
        <v>145</v>
      </c>
      <c r="B99" s="9">
        <v>2</v>
      </c>
      <c r="C99" s="9">
        <v>2</v>
      </c>
      <c r="D99" s="9">
        <v>2</v>
      </c>
      <c r="E99" s="9">
        <v>2</v>
      </c>
      <c r="F99" s="9">
        <v>2</v>
      </c>
      <c r="G99" s="9">
        <v>2</v>
      </c>
      <c r="H99" s="9">
        <v>3</v>
      </c>
      <c r="I99" s="9">
        <v>0</v>
      </c>
      <c r="J99" s="9">
        <v>0</v>
      </c>
      <c r="K99" s="9">
        <v>0</v>
      </c>
      <c r="L99" s="9">
        <v>0</v>
      </c>
      <c r="M99" s="9">
        <v>0</v>
      </c>
      <c r="N99" s="9">
        <v>0</v>
      </c>
      <c r="O99" s="9">
        <v>0</v>
      </c>
      <c r="P99" s="9">
        <v>0</v>
      </c>
      <c r="Q99" s="9">
        <v>0</v>
      </c>
      <c r="R99" s="9">
        <v>0</v>
      </c>
      <c r="S99" s="8">
        <f ca="1">COUNTIFS('Risk Log'!$H:$H,"Unified Communications",'Risk Log'!$AG:$AG,"TRUE",'Risk Log'!$AF:$AF,"TRUE")</f>
        <v>0</v>
      </c>
      <c r="T99" s="9"/>
      <c r="U99" s="9"/>
      <c r="V99" s="9"/>
      <c r="W99" s="9"/>
      <c r="X99" s="8">
        <f ca="1">COUNTIFS('Risk Log'!$H:$H,"Unified Communications",'Risk Log'!$AG:$AG,"TRUE",'Risk Log'!$AF:$AF,"TRUE")</f>
        <v>0</v>
      </c>
    </row>
    <row r="100" spans="1:24">
      <c r="A100" s="9" t="s">
        <v>2045</v>
      </c>
      <c r="B100" s="9">
        <v>1</v>
      </c>
      <c r="C100" s="9">
        <v>0</v>
      </c>
      <c r="D100" s="9">
        <v>0</v>
      </c>
      <c r="E100" s="9">
        <v>2</v>
      </c>
      <c r="F100" s="9">
        <v>2</v>
      </c>
      <c r="G100" s="9">
        <v>3</v>
      </c>
      <c r="H100" s="9">
        <v>6</v>
      </c>
      <c r="I100" s="9">
        <v>0</v>
      </c>
      <c r="J100" s="9">
        <v>0</v>
      </c>
      <c r="K100" s="9">
        <v>0</v>
      </c>
      <c r="L100" s="9">
        <v>0</v>
      </c>
      <c r="M100" s="9">
        <v>0</v>
      </c>
      <c r="N100" s="9">
        <v>0</v>
      </c>
      <c r="O100" s="9">
        <v>0</v>
      </c>
      <c r="P100" s="9">
        <v>0</v>
      </c>
      <c r="Q100" s="9">
        <v>0</v>
      </c>
      <c r="R100" s="9">
        <v>0</v>
      </c>
      <c r="S100" s="8">
        <f>COUNTIFS('Risk Log'!$AF:$AF,"TRUE",'Risk Log'!$H:$H,"Unified Communications",'Risk Log'!$AA:$AA,"")</f>
        <v>0</v>
      </c>
      <c r="T100" s="9"/>
      <c r="U100" s="9"/>
      <c r="V100" s="9"/>
      <c r="W100" s="9"/>
      <c r="X100" s="8">
        <f>COUNTIFS('Risk Log'!$AF:$AF,"TRUE",'Risk Log'!$H:$H,"Unified Communications",'Risk Log'!$AA:$AA,"")</f>
        <v>0</v>
      </c>
    </row>
    <row r="101" spans="1:24">
      <c r="A101" s="9" t="s">
        <v>155</v>
      </c>
      <c r="B101" s="9">
        <v>0</v>
      </c>
      <c r="C101" s="9">
        <v>0</v>
      </c>
      <c r="D101" s="9">
        <v>0</v>
      </c>
      <c r="E101" s="9">
        <v>0</v>
      </c>
      <c r="F101" s="9">
        <v>0</v>
      </c>
      <c r="G101" s="9">
        <v>0</v>
      </c>
      <c r="H101" s="9">
        <v>0</v>
      </c>
      <c r="I101" s="9">
        <v>0</v>
      </c>
      <c r="J101" s="9">
        <v>0</v>
      </c>
      <c r="K101" s="9">
        <v>0</v>
      </c>
      <c r="L101" s="9">
        <v>0</v>
      </c>
      <c r="M101" s="9">
        <v>1</v>
      </c>
      <c r="N101" s="9">
        <v>1</v>
      </c>
      <c r="O101" s="9">
        <v>1</v>
      </c>
      <c r="P101" s="9">
        <v>1</v>
      </c>
      <c r="Q101" s="9">
        <v>1</v>
      </c>
      <c r="R101" s="9">
        <v>1</v>
      </c>
      <c r="S101" s="8">
        <f ca="1">COUNTIFS('Risk Log'!$AF:$AF,"TRUE",'Risk Log'!$H:$H,"Unified Communications",'Risk Log'!$AH:$AH,"TRUE")</f>
        <v>3</v>
      </c>
      <c r="T101" s="9"/>
      <c r="U101" s="9"/>
      <c r="V101" s="9"/>
      <c r="W101" s="9"/>
      <c r="X101" s="8">
        <f ca="1">COUNTIFS('Risk Log'!$AF:$AF,"TRUE",'Risk Log'!$H:$H,"Unified Communications",'Risk Log'!$AH:$AH,"TRUE")</f>
        <v>3</v>
      </c>
    </row>
    <row r="102" spans="1:24">
      <c r="A102" s="9" t="s">
        <v>156</v>
      </c>
      <c r="B102" s="9">
        <v>2</v>
      </c>
      <c r="C102" s="9">
        <v>2</v>
      </c>
      <c r="D102" s="9">
        <v>2</v>
      </c>
      <c r="E102" s="9">
        <v>2</v>
      </c>
      <c r="F102" s="9">
        <v>2</v>
      </c>
      <c r="G102" s="9">
        <v>2</v>
      </c>
      <c r="H102" s="9">
        <v>2</v>
      </c>
      <c r="I102" s="9">
        <v>1</v>
      </c>
      <c r="J102" s="9">
        <v>1</v>
      </c>
      <c r="K102" s="9">
        <v>1</v>
      </c>
      <c r="L102" s="9">
        <v>1</v>
      </c>
      <c r="M102" s="9">
        <v>1</v>
      </c>
      <c r="N102" s="9">
        <v>1</v>
      </c>
      <c r="O102" s="9">
        <v>1</v>
      </c>
      <c r="P102" s="9">
        <v>1</v>
      </c>
      <c r="Q102" s="9">
        <v>1</v>
      </c>
      <c r="R102" s="9">
        <v>1</v>
      </c>
      <c r="S102" s="8">
        <f ca="1">COUNTIFS('Risk Log'!$AF:$AF,"TRUE",'Risk Log'!$H:$H,"Unified Communications",'Risk Log'!$AI:$AI,"TRUE")</f>
        <v>1</v>
      </c>
      <c r="T102" s="9"/>
      <c r="U102" s="9"/>
      <c r="V102" s="9"/>
      <c r="W102" s="9"/>
      <c r="X102" s="8">
        <f ca="1">COUNTIFS('Risk Log'!$AF:$AF,"TRUE",'Risk Log'!$H:$H,"Unified Communications",'Risk Log'!$AI:$AI,"TRUE")</f>
        <v>1</v>
      </c>
    </row>
    <row r="103" spans="1:24">
      <c r="A103" s="9" t="s">
        <v>157</v>
      </c>
      <c r="B103" s="9">
        <v>0</v>
      </c>
      <c r="C103" s="9">
        <v>0</v>
      </c>
      <c r="D103" s="9">
        <v>0</v>
      </c>
      <c r="E103" s="9">
        <v>0</v>
      </c>
      <c r="F103" s="9">
        <v>0</v>
      </c>
      <c r="G103" s="9">
        <v>0</v>
      </c>
      <c r="H103" s="9">
        <v>0</v>
      </c>
      <c r="I103" s="9">
        <v>0</v>
      </c>
      <c r="J103" s="9">
        <v>0</v>
      </c>
      <c r="K103" s="9">
        <v>0</v>
      </c>
      <c r="L103" s="9">
        <v>0</v>
      </c>
      <c r="M103" s="9">
        <v>0</v>
      </c>
      <c r="N103" s="9">
        <v>0</v>
      </c>
      <c r="O103" s="9">
        <v>0</v>
      </c>
      <c r="P103" s="9">
        <v>0</v>
      </c>
      <c r="Q103" s="9">
        <v>0</v>
      </c>
      <c r="R103" s="9">
        <v>0</v>
      </c>
      <c r="S103" s="8">
        <f ca="1">COUNTIFS('Risk Log'!$AF:$AF,"TRUE",'Risk Log'!$H:$H,"Unified Communications",'Risk Log'!$AJ:$AJ,"TRUE")</f>
        <v>0</v>
      </c>
      <c r="T103" s="9"/>
      <c r="U103" s="9"/>
      <c r="V103" s="9"/>
      <c r="W103" s="9"/>
      <c r="X103" s="8">
        <f ca="1">COUNTIFS('Risk Log'!$AF:$AF,"TRUE",'Risk Log'!$H:$H,"Unified Communications",'Risk Log'!$AJ:$AJ,"TRUE")</f>
        <v>0</v>
      </c>
    </row>
    <row r="104" spans="1:24">
      <c r="A104" s="9" t="s">
        <v>44</v>
      </c>
      <c r="B104" s="9">
        <v>2</v>
      </c>
      <c r="C104" s="9">
        <v>2</v>
      </c>
      <c r="D104" s="9">
        <v>2</v>
      </c>
      <c r="E104" s="9">
        <v>2</v>
      </c>
      <c r="F104" s="9">
        <v>2</v>
      </c>
      <c r="G104" s="9">
        <v>1</v>
      </c>
      <c r="H104" s="9">
        <v>1</v>
      </c>
      <c r="I104" s="9">
        <v>1</v>
      </c>
      <c r="J104" s="9">
        <v>1</v>
      </c>
      <c r="K104" s="9">
        <v>1</v>
      </c>
      <c r="L104" s="9">
        <v>1</v>
      </c>
      <c r="M104" s="9">
        <v>0</v>
      </c>
      <c r="N104" s="9">
        <v>0</v>
      </c>
      <c r="O104" s="9">
        <v>0</v>
      </c>
      <c r="P104" s="9">
        <v>0</v>
      </c>
      <c r="Q104" s="9">
        <v>0</v>
      </c>
      <c r="R104" s="9">
        <v>0</v>
      </c>
      <c r="S104" s="8">
        <f>COUNTIFS('Issues Log'!$N:$N,"Unified Communications",'Issues Log'!$D:$D,"Active")</f>
        <v>0</v>
      </c>
      <c r="T104" s="9"/>
      <c r="U104" s="9"/>
      <c r="V104" s="9"/>
      <c r="W104" s="9"/>
      <c r="X104" s="8">
        <f>COUNTIFS('Issues Log'!$N:$N,"Unified Communications",'Issues Log'!$D:$D,"Active")</f>
        <v>0</v>
      </c>
    </row>
    <row r="105" spans="1:24">
      <c r="A105" s="9" t="s">
        <v>142</v>
      </c>
      <c r="B105" s="9">
        <v>1</v>
      </c>
      <c r="C105" s="9">
        <v>1</v>
      </c>
      <c r="D105" s="9">
        <v>1</v>
      </c>
      <c r="E105" s="9">
        <v>1</v>
      </c>
      <c r="F105" s="9">
        <v>1</v>
      </c>
      <c r="G105" s="9">
        <v>1</v>
      </c>
      <c r="H105" s="9">
        <v>1</v>
      </c>
      <c r="I105" s="9">
        <v>1</v>
      </c>
      <c r="J105" s="9">
        <v>1</v>
      </c>
      <c r="K105" s="9">
        <v>1</v>
      </c>
      <c r="L105" s="9">
        <v>1</v>
      </c>
      <c r="M105" s="9">
        <v>0</v>
      </c>
      <c r="N105" s="9">
        <v>0</v>
      </c>
      <c r="O105" s="9">
        <v>0</v>
      </c>
      <c r="P105" s="9">
        <v>0</v>
      </c>
      <c r="Q105" s="9">
        <v>0</v>
      </c>
      <c r="R105" s="9">
        <v>0</v>
      </c>
      <c r="S105" s="8">
        <f>COUNTIFS('Issues Log'!$AB:$AB,"TRUE",'Issues Log'!$N:$N,"Unified Communications",'Issues Log'!$D:$D,"Active")</f>
        <v>0</v>
      </c>
      <c r="T105" s="9"/>
      <c r="U105" s="9"/>
      <c r="V105" s="9"/>
      <c r="W105" s="9"/>
      <c r="X105" s="8">
        <f>COUNTIFS('Issues Log'!$AB:$AB,"TRUE",'Issues Log'!$N:$N,"Unified Communications",'Issues Log'!$D:$D,"Active")</f>
        <v>0</v>
      </c>
    </row>
    <row r="106" spans="1:24">
      <c r="A106" s="9" t="s">
        <v>146</v>
      </c>
      <c r="B106" s="9">
        <v>0</v>
      </c>
      <c r="C106" s="9">
        <v>0</v>
      </c>
      <c r="D106" s="9">
        <v>0</v>
      </c>
      <c r="E106" s="9">
        <v>0</v>
      </c>
      <c r="F106" s="9">
        <v>0</v>
      </c>
      <c r="G106" s="9">
        <v>1</v>
      </c>
      <c r="H106" s="9">
        <v>1</v>
      </c>
      <c r="I106" s="9">
        <v>1</v>
      </c>
      <c r="J106" s="9">
        <v>1</v>
      </c>
      <c r="K106" s="9">
        <v>1</v>
      </c>
      <c r="L106" s="9">
        <v>1</v>
      </c>
      <c r="M106" s="9">
        <v>0</v>
      </c>
      <c r="N106" s="9">
        <v>0</v>
      </c>
      <c r="O106" s="9">
        <v>0</v>
      </c>
      <c r="P106" s="9">
        <v>0</v>
      </c>
      <c r="Q106" s="9">
        <v>0</v>
      </c>
      <c r="R106" s="9">
        <v>0</v>
      </c>
      <c r="S106" s="8">
        <f>COUNTIFS('Issues Log'!$D:$D,"Active",'Issues Log'!$N:$N,"Unified Communications",'Issues Log'!$Z:$Z,"1")</f>
        <v>0</v>
      </c>
      <c r="T106" s="9"/>
      <c r="U106" s="9"/>
      <c r="V106" s="9"/>
      <c r="W106" s="9"/>
      <c r="X106" s="8">
        <f>COUNTIFS('Issues Log'!$D:$D,"Active",'Issues Log'!$N:$N,"Unified Communications",'Issues Log'!$Z:$Z,"1")</f>
        <v>0</v>
      </c>
    </row>
    <row r="107" spans="1:24">
      <c r="A107" s="9" t="s">
        <v>2046</v>
      </c>
      <c r="B107" s="9">
        <v>1</v>
      </c>
      <c r="C107" s="9">
        <v>1</v>
      </c>
      <c r="D107" s="9">
        <v>1</v>
      </c>
      <c r="E107" s="9">
        <v>1</v>
      </c>
      <c r="F107" s="9">
        <v>1</v>
      </c>
      <c r="G107" s="9">
        <v>0</v>
      </c>
      <c r="H107" s="9">
        <v>0</v>
      </c>
      <c r="I107" s="9">
        <v>0</v>
      </c>
      <c r="J107" s="9">
        <v>0</v>
      </c>
      <c r="K107" s="9">
        <v>0</v>
      </c>
      <c r="L107" s="9">
        <v>0</v>
      </c>
      <c r="M107" s="9">
        <v>0</v>
      </c>
      <c r="N107" s="9">
        <v>0</v>
      </c>
      <c r="O107" s="9">
        <v>0</v>
      </c>
      <c r="P107" s="9">
        <v>0</v>
      </c>
      <c r="Q107" s="9">
        <v>0</v>
      </c>
      <c r="R107" s="9">
        <v>0</v>
      </c>
      <c r="S107" s="8">
        <f>COUNTIFS('Issues Log'!$D:$D,"Active",'Issues Log'!$N:$N,"Unified Communications",'Issues Log'!$R:$R,"")</f>
        <v>0</v>
      </c>
      <c r="T107" s="9"/>
      <c r="U107" s="9"/>
      <c r="V107" s="9"/>
      <c r="W107" s="9"/>
      <c r="X107" s="8">
        <f>COUNTIFS('Issues Log'!$D:$D,"Active",'Issues Log'!$N:$N,"Unified Communications",'Issues Log'!$R:$R,"")</f>
        <v>0</v>
      </c>
    </row>
    <row r="108" spans="1:24">
      <c r="A108" s="9" t="s">
        <v>158</v>
      </c>
      <c r="B108" s="9">
        <v>0</v>
      </c>
      <c r="C108" s="9">
        <v>0</v>
      </c>
      <c r="D108" s="9">
        <v>0</v>
      </c>
      <c r="E108" s="9">
        <v>0</v>
      </c>
      <c r="F108" s="9">
        <v>1</v>
      </c>
      <c r="G108" s="9">
        <v>1</v>
      </c>
      <c r="H108" s="9">
        <v>1</v>
      </c>
      <c r="I108" s="9">
        <v>1</v>
      </c>
      <c r="J108" s="9">
        <v>1</v>
      </c>
      <c r="K108" s="9">
        <v>1</v>
      </c>
      <c r="L108" s="9">
        <v>1</v>
      </c>
      <c r="M108" s="9">
        <v>0</v>
      </c>
      <c r="N108" s="9">
        <v>0</v>
      </c>
      <c r="O108" s="9">
        <v>0</v>
      </c>
      <c r="P108" s="9">
        <v>0</v>
      </c>
      <c r="Q108" s="9">
        <v>0</v>
      </c>
      <c r="R108" s="9">
        <v>0</v>
      </c>
      <c r="S108" s="8">
        <f>COUNTIFS('Issues Log'!$D:$D,"Active",'Issues Log'!$N:$N,"Unified Communications",'Issues Log'!$AD:$AD,"TRUE")</f>
        <v>0</v>
      </c>
      <c r="T108" s="9"/>
      <c r="U108" s="9"/>
      <c r="V108" s="9"/>
      <c r="W108" s="9"/>
      <c r="X108" s="8">
        <f>COUNTIFS('Issues Log'!$D:$D,"Active",'Issues Log'!$N:$N,"Unified Communications",'Issues Log'!$AD:$AD,"TRUE")</f>
        <v>0</v>
      </c>
    </row>
    <row r="109" spans="1:24">
      <c r="A109" s="9" t="s">
        <v>159</v>
      </c>
      <c r="B109" s="9">
        <v>1</v>
      </c>
      <c r="C109" s="9">
        <v>1</v>
      </c>
      <c r="D109" s="9">
        <v>1</v>
      </c>
      <c r="E109" s="9">
        <v>1</v>
      </c>
      <c r="F109" s="9">
        <v>1</v>
      </c>
      <c r="G109" s="9">
        <v>0</v>
      </c>
      <c r="H109" s="9">
        <v>0</v>
      </c>
      <c r="I109" s="9">
        <v>0</v>
      </c>
      <c r="J109" s="9">
        <v>0</v>
      </c>
      <c r="K109" s="9">
        <v>0</v>
      </c>
      <c r="L109" s="9">
        <v>0</v>
      </c>
      <c r="M109" s="9">
        <v>0</v>
      </c>
      <c r="N109" s="9">
        <v>0</v>
      </c>
      <c r="O109" s="9">
        <v>0</v>
      </c>
      <c r="P109" s="9">
        <v>0</v>
      </c>
      <c r="Q109" s="9">
        <v>0</v>
      </c>
      <c r="R109" s="9">
        <v>0</v>
      </c>
      <c r="S109" s="8">
        <f>COUNTIFS('Issues Log'!$D:$D,"Active",'Issues Log'!$N:$N,"Unified Communications",'Issues Log'!$AE:$AE,"TRUE")</f>
        <v>0</v>
      </c>
      <c r="T109" s="9"/>
      <c r="U109" s="9"/>
      <c r="V109" s="9"/>
      <c r="W109" s="9"/>
      <c r="X109" s="8">
        <f>COUNTIFS('Issues Log'!$D:$D,"Active",'Issues Log'!$N:$N,"Unified Communications",'Issues Log'!$AE:$AE,"TRUE")</f>
        <v>0</v>
      </c>
    </row>
    <row r="110" spans="1:24">
      <c r="A110" s="9" t="s">
        <v>160</v>
      </c>
      <c r="B110" s="9">
        <v>0</v>
      </c>
      <c r="C110" s="9">
        <v>0</v>
      </c>
      <c r="D110" s="9">
        <v>0</v>
      </c>
      <c r="E110" s="9">
        <v>0</v>
      </c>
      <c r="F110" s="9">
        <v>0</v>
      </c>
      <c r="G110" s="9">
        <v>0</v>
      </c>
      <c r="H110" s="9">
        <v>0</v>
      </c>
      <c r="I110" s="9">
        <v>0</v>
      </c>
      <c r="J110" s="9">
        <v>0</v>
      </c>
      <c r="K110" s="9">
        <v>0</v>
      </c>
      <c r="L110" s="9">
        <v>0</v>
      </c>
      <c r="M110" s="9">
        <v>0</v>
      </c>
      <c r="N110" s="9">
        <v>0</v>
      </c>
      <c r="O110" s="9">
        <v>0</v>
      </c>
      <c r="P110" s="9">
        <v>0</v>
      </c>
      <c r="Q110" s="9">
        <v>0</v>
      </c>
      <c r="R110" s="9">
        <v>0</v>
      </c>
      <c r="S110" s="8">
        <f>COUNTIFS('Issues Log'!$D:$D,"Active",'Issues Log'!$N:$N,"Unified Communications",'Issues Log'!$AF:$AF,"TRUE")</f>
        <v>0</v>
      </c>
      <c r="T110" s="9"/>
      <c r="U110" s="9"/>
      <c r="V110" s="9"/>
      <c r="W110" s="9"/>
      <c r="X110" s="8">
        <f>COUNTIFS('Issues Log'!$D:$D,"Active",'Issues Log'!$N:$N,"Unified Communications",'Issues Log'!$AF:$AF,"TRUE")</f>
        <v>0</v>
      </c>
    </row>
    <row r="111" spans="1:24">
      <c r="A111" s="9" t="s">
        <v>143</v>
      </c>
      <c r="B111" s="9">
        <v>4</v>
      </c>
      <c r="C111" s="9">
        <v>4</v>
      </c>
      <c r="D111" s="9">
        <v>4</v>
      </c>
      <c r="E111" s="9">
        <v>2</v>
      </c>
      <c r="F111" s="9">
        <v>2</v>
      </c>
      <c r="G111" s="9">
        <v>2</v>
      </c>
      <c r="H111" s="9">
        <v>2</v>
      </c>
      <c r="I111" s="9">
        <v>2</v>
      </c>
      <c r="J111" s="9">
        <v>2</v>
      </c>
      <c r="K111" s="9">
        <v>3</v>
      </c>
      <c r="L111" s="9">
        <v>3</v>
      </c>
      <c r="M111" s="9">
        <v>2</v>
      </c>
      <c r="N111" s="9">
        <v>2</v>
      </c>
      <c r="O111" s="9">
        <v>2</v>
      </c>
      <c r="P111" s="9">
        <v>1</v>
      </c>
      <c r="Q111" s="9">
        <v>1</v>
      </c>
      <c r="R111" s="9">
        <v>1</v>
      </c>
      <c r="S111" s="8">
        <f>COUNTIFS('Assumption Log'!$C:$C,"Unified Communications",'Assumption Log'!$L:$L,"Not yet validated")</f>
        <v>1</v>
      </c>
      <c r="T111" s="9"/>
      <c r="U111" s="9"/>
      <c r="V111" s="9"/>
      <c r="W111" s="9"/>
      <c r="X111" s="8">
        <f>COUNTIFS('Assumption Log'!$C:$C,"Unified Communications",'Assumption Log'!$L:$L,"Not yet validated")</f>
        <v>1</v>
      </c>
    </row>
    <row r="112" spans="1:24">
      <c r="A112" s="9" t="s">
        <v>144</v>
      </c>
      <c r="B112" s="9">
        <v>4</v>
      </c>
      <c r="C112" s="9">
        <v>4</v>
      </c>
      <c r="D112" s="9">
        <v>4</v>
      </c>
      <c r="E112" s="9">
        <v>4</v>
      </c>
      <c r="F112" s="9">
        <v>4</v>
      </c>
      <c r="G112" s="9">
        <v>4</v>
      </c>
      <c r="H112" s="9">
        <v>2</v>
      </c>
      <c r="I112" s="9">
        <v>1</v>
      </c>
      <c r="J112" s="9">
        <v>1</v>
      </c>
      <c r="K112" s="9">
        <v>1</v>
      </c>
      <c r="L112" s="9">
        <v>1</v>
      </c>
      <c r="M112" s="9">
        <v>1</v>
      </c>
      <c r="N112" s="9">
        <v>1</v>
      </c>
      <c r="O112" s="9">
        <v>1</v>
      </c>
      <c r="P112" s="9">
        <v>1</v>
      </c>
      <c r="Q112" s="9">
        <v>1</v>
      </c>
      <c r="R112" s="9">
        <v>1</v>
      </c>
      <c r="S112" s="8">
        <f>COUNTIFS('Decision Log'!$E:$E,"Unified Communications",'Decision Log'!$G:$G,"Pending")</f>
        <v>1</v>
      </c>
      <c r="T112" s="9"/>
      <c r="U112" s="9"/>
      <c r="V112" s="9"/>
      <c r="W112" s="9"/>
      <c r="X112" s="8">
        <f>COUNTIFS('Decision Log'!$E:$E,"Unified Communications",'Decision Log'!$G:$G,"Pending")</f>
        <v>1</v>
      </c>
    </row>
  </sheetData>
  <pageMargins left="0.7" right="0.7" top="0.75" bottom="0.75" header="0.3" footer="0.3"/>
  <pageSetup orientation="portrait" verticalDpi="0" r:id="rId1"/>
  <drawing r:id="rId2"/>
</worksheet>
</file>

<file path=xl/worksheets/sheet10.xml><?xml version="1.0" encoding="utf-8"?>
<worksheet xmlns="http://schemas.openxmlformats.org/spreadsheetml/2006/main" xmlns:r="http://schemas.openxmlformats.org/officeDocument/2006/relationships">
  <dimension ref="A1:M7"/>
  <sheetViews>
    <sheetView workbookViewId="0">
      <selection activeCell="L21" sqref="L21"/>
    </sheetView>
  </sheetViews>
  <sheetFormatPr defaultRowHeight="12.75"/>
  <cols>
    <col min="1" max="1" width="23.5703125" bestFit="1" customWidth="1"/>
    <col min="2" max="13" width="13.7109375" customWidth="1"/>
  </cols>
  <sheetData>
    <row r="1" spans="1:13" ht="63.75">
      <c r="A1" s="286"/>
      <c r="B1" s="287" t="s">
        <v>2050</v>
      </c>
      <c r="C1" s="288" t="s">
        <v>2051</v>
      </c>
      <c r="D1" s="288" t="s">
        <v>2052</v>
      </c>
      <c r="E1" s="288" t="s">
        <v>2053</v>
      </c>
      <c r="F1" s="288" t="s">
        <v>2054</v>
      </c>
      <c r="G1" s="288" t="s">
        <v>2055</v>
      </c>
      <c r="H1" s="288" t="s">
        <v>2056</v>
      </c>
      <c r="I1" s="288" t="s">
        <v>2057</v>
      </c>
      <c r="J1" s="288" t="s">
        <v>2058</v>
      </c>
      <c r="K1" s="288" t="s">
        <v>2059</v>
      </c>
      <c r="L1" s="288" t="s">
        <v>2060</v>
      </c>
      <c r="M1" s="288" t="s">
        <v>2061</v>
      </c>
    </row>
    <row r="2" spans="1:13">
      <c r="A2" s="285" t="s">
        <v>70</v>
      </c>
      <c r="B2" s="289">
        <f ca="1">COUNTIFS('Risk Log'!$H:$H,"App and Data Migration",'Risk Log'!$AF:$AF,"TRUE",'Risk Log'!$AG:$AG,"TRUE")</f>
        <v>0</v>
      </c>
      <c r="C2" s="40">
        <f ca="1">COUNTIFS('Risk Log'!$H:$H,"App and Data Migration",'Risk Log'!$AF:$AF,"TRUE",'Risk Log'!$AM:$AM,"TRUE")</f>
        <v>0</v>
      </c>
      <c r="D2" s="40">
        <f>COUNTIFS('Risk Log'!$H:$H,"App and Data Migration",'Risk Log'!$AF:$AF,"TRUE",'Risk Log'!$AA:$AA,"")</f>
        <v>0</v>
      </c>
      <c r="E2" s="40">
        <v>0</v>
      </c>
      <c r="F2" s="40">
        <f ca="1">COUNTIFS('Issues Log'!$N:$N,"App and Data Migration",'Issues Log'!$D:$D,"Active",'Issues Log'!$Z:$Z,"1")</f>
        <v>0</v>
      </c>
      <c r="G2" s="40">
        <f ca="1">COUNTIFS('Issues Log'!$N:$N,"App and Data Migration",'Issues Log'!$D:$D,"Active",'Issues Log'!$AH:$AH,"TRUE")</f>
        <v>0</v>
      </c>
      <c r="H2" s="40">
        <f>COUNTIFS('Issues Log'!$N:$N,"App and Data Migration",'Issues Log'!$D:$D,"Active",'Issues Log'!$R:$R,"")</f>
        <v>0</v>
      </c>
      <c r="I2" s="40">
        <v>2</v>
      </c>
      <c r="J2" s="40">
        <f>COUNTIFS('Assumption Log'!$C:$C,"App &amp; Data Migration",'Assumption Log'!$L:$L,"Not yet validated")</f>
        <v>2</v>
      </c>
      <c r="K2" s="40">
        <v>0</v>
      </c>
      <c r="L2" s="8">
        <f>COUNTIFS('Decision Log'!$E:$E,"App &amp; Data Migration",'Decision Log'!$G:$G,"Pending")</f>
        <v>3</v>
      </c>
      <c r="M2" s="8">
        <f>COUNTIFS('Decision Log'!$E:$E,"App &amp; Data Migration",'Decision Log'!$G:$G,"Closed",'Decision Log'!$L:$L,"")</f>
        <v>1</v>
      </c>
    </row>
    <row r="3" spans="1:13">
      <c r="A3" s="285" t="s">
        <v>148</v>
      </c>
      <c r="B3" s="289">
        <f ca="1">COUNTIFS('Risk Log'!$H:$H,"Change Management",'Risk Log'!$AF:$AF,"TRUE",'Risk Log'!$AG:$AG,"TRUE")</f>
        <v>0</v>
      </c>
      <c r="C3" s="40">
        <f ca="1">COUNTIFS('Risk Log'!$H:$H,"Change Management",'Risk Log'!$AF:$AF,"TRUE",'Risk Log'!$AM:$AM,"TRUE")</f>
        <v>0</v>
      </c>
      <c r="D3" s="40">
        <f>COUNTIFS('Risk Log'!$H:$H,"Change Management",'Risk Log'!$AF:$AF,"TRUE",'Risk Log'!$AA:$AA,"")</f>
        <v>0</v>
      </c>
      <c r="E3" s="40">
        <v>0</v>
      </c>
      <c r="F3" s="40">
        <f ca="1">COUNTIFS('Issues Log'!$N:$N,"Change Management",'Issues Log'!$D:$D,"Active",'Issues Log'!$Z:$Z,"1")</f>
        <v>0</v>
      </c>
      <c r="G3" s="40">
        <f ca="1">COUNTIFS('Issues Log'!$N:$N,"Change Management",'Issues Log'!$D:$D,"Active",'Issues Log'!$AH:$AH,"TRUE")</f>
        <v>0</v>
      </c>
      <c r="H3" s="40">
        <f>COUNTIFS('Issues Log'!$N:$N,"Change Management",'Issues Log'!$D:$D,"Active",'Issues Log'!$R:$R,"")</f>
        <v>0</v>
      </c>
      <c r="I3" s="40">
        <v>0</v>
      </c>
      <c r="J3" s="40">
        <f>COUNTIFS('Assumption Log'!$C:$C,"Change Management",'Assumption Log'!$L:$L,"Not yet validated")</f>
        <v>0</v>
      </c>
      <c r="K3" s="40">
        <v>0</v>
      </c>
      <c r="L3" s="8">
        <f>COUNTIFS('Decision Log'!$E:$E,"Change Management",'Decision Log'!$G:$G,"Pending")</f>
        <v>0</v>
      </c>
      <c r="M3" s="8">
        <f>COUNTIFS('Decision Log'!$E:$E,"Change Management",'Decision Log'!$G:$G,"Closed",'Decision Log'!$L:$L,"")</f>
        <v>0</v>
      </c>
    </row>
    <row r="4" spans="1:13">
      <c r="A4" s="285" t="s">
        <v>149</v>
      </c>
      <c r="B4" s="289">
        <f ca="1">COUNTIFS('Risk Log'!$H:$H,"M&amp;C Program",'Risk Log'!$AF:$AF,"TRUE",'Risk Log'!$AG:$AG,"TRUE")</f>
        <v>0</v>
      </c>
      <c r="C4" s="40">
        <f ca="1">COUNTIFS('Risk Log'!$H:$H,"M&amp;C Program",'Risk Log'!$AF:$AF,"TRUE",'Risk Log'!$AM:$AM,"TRUE")</f>
        <v>0</v>
      </c>
      <c r="D4" s="40">
        <f>COUNTIFS('Risk Log'!$H:$H,"M&amp;C Program",'Risk Log'!$AF:$AF,"TRUE",'Risk Log'!$AA:$AA,"")</f>
        <v>0</v>
      </c>
      <c r="E4" s="40">
        <v>1</v>
      </c>
      <c r="F4" s="40">
        <f ca="1">COUNTIFS('Issues Log'!$N:$N,"M&amp;C Program",'Issues Log'!$D:$D,"Active",'Issues Log'!$Z:$Z,"1")</f>
        <v>1</v>
      </c>
      <c r="G4" s="40">
        <f ca="1">COUNTIFS('Issues Log'!$N:$N,"M&amp;C Program",'Issues Log'!$D:$D,"Active",'Issues Log'!$AH:$AH,"TRUE")</f>
        <v>1</v>
      </c>
      <c r="H4" s="40">
        <f>COUNTIFS('Issues Log'!$N:$N,"M&amp;C Program",'Issues Log'!$D:$D,"Active",'Issues Log'!$R:$R,"")</f>
        <v>0</v>
      </c>
      <c r="I4" s="40">
        <v>3</v>
      </c>
      <c r="J4" s="40">
        <f>COUNTIFS('Assumption Log'!$C:$C,"M&amp;C Program",'Assumption Log'!$L:$L,"Not yet validated")</f>
        <v>1</v>
      </c>
      <c r="K4" s="40">
        <v>2</v>
      </c>
      <c r="L4" s="8">
        <f>COUNTIFS('Decision Log'!$E:$E,"M&amp;C Program",'Decision Log'!$G:$G,"Pending")</f>
        <v>2</v>
      </c>
      <c r="M4" s="8">
        <f>COUNTIFS('Decision Log'!$E:$E,"M&amp;C Program",'Decision Log'!$G:$G,"Closed",'Decision Log'!$L:$L,"")</f>
        <v>1</v>
      </c>
    </row>
    <row r="5" spans="1:13">
      <c r="A5" s="285" t="s">
        <v>150</v>
      </c>
      <c r="B5" s="289">
        <f ca="1">COUNTIFS('Risk Log'!$H:$H,"SharePoint",'Risk Log'!$AF:$AF,"TRUE",'Risk Log'!$AG:$AG,"TRUE")</f>
        <v>0</v>
      </c>
      <c r="C5" s="40">
        <f ca="1">COUNTIFS('Risk Log'!$H:$H,"SharePoint",'Risk Log'!$AF:$AF,"TRUE",'Risk Log'!$AM:$AM,"TRUE")</f>
        <v>0</v>
      </c>
      <c r="D5" s="40">
        <f>COUNTIFS('Risk Log'!$H:$H,"SharePoint",'Risk Log'!$AF:$AF,"TRUE",'Risk Log'!$AA:$AA,"")</f>
        <v>2</v>
      </c>
      <c r="E5" s="40">
        <v>5</v>
      </c>
      <c r="F5" s="40">
        <f ca="1">COUNTIFS('Issues Log'!$N:$N,"SharePoint",'Issues Log'!$D:$D,"Active",'Issues Log'!$Z:$Z,"1")</f>
        <v>0</v>
      </c>
      <c r="G5" s="40">
        <f ca="1">COUNTIFS('Issues Log'!$N:$N,"SharePoint",'Issues Log'!$D:$D,"Active",'Issues Log'!$AH:$AH,"TRUE")</f>
        <v>0</v>
      </c>
      <c r="H5" s="40">
        <f>COUNTIFS('Issues Log'!$N:$N,"SharePoint",'Issues Log'!$D:$D,"Active",'Issues Log'!$R:$R,"")</f>
        <v>0</v>
      </c>
      <c r="I5" s="40">
        <v>1</v>
      </c>
      <c r="J5" s="40">
        <f>COUNTIFS('Assumption Log'!$C:$C,"SharePoint",'Assumption Log'!$L:$L,"Not yet validated")</f>
        <v>6</v>
      </c>
      <c r="K5" s="40">
        <v>10</v>
      </c>
      <c r="L5" s="8">
        <f>COUNTIFS('Decision Log'!$E:$E,"SharePoint",'Decision Log'!$G:$G,"Pending")</f>
        <v>0</v>
      </c>
      <c r="M5" s="8">
        <v>11</v>
      </c>
    </row>
    <row r="6" spans="1:13">
      <c r="A6" s="285" t="s">
        <v>311</v>
      </c>
      <c r="B6" s="289">
        <f ca="1">COUNTIFS('Risk Log'!$H:$H,"Technology Foundation",'Risk Log'!$AF:$AF,"TRUE",'Risk Log'!$AG:$AG,"TRUE")</f>
        <v>0</v>
      </c>
      <c r="C6" s="40">
        <f ca="1">COUNTIFS('Risk Log'!$H:$H,"Technology Foundation",'Risk Log'!$AF:$AF,"TRUE",'Risk Log'!$AM:$AM,"TRUE")</f>
        <v>0</v>
      </c>
      <c r="D6" s="40">
        <f>COUNTIFS('Risk Log'!$H:$H,"Technology Foundation",'Risk Log'!$AF:$AF,"TRUE",'Risk Log'!$AA:$AA,"")</f>
        <v>4</v>
      </c>
      <c r="E6" s="139">
        <v>5</v>
      </c>
      <c r="F6" s="40">
        <f ca="1">COUNTIFS('Issues Log'!$N:$N,"Technology Foundation",'Issues Log'!$D:$D,"Active",'Issues Log'!$Z:$Z,"1")</f>
        <v>3</v>
      </c>
      <c r="G6" s="40">
        <f ca="1">COUNTIFS('Issues Log'!$N:$N,"Technology Foundation",'Issues Log'!$D:$D,"Active",'Issues Log'!$AH:$AH,"TRUE")</f>
        <v>1</v>
      </c>
      <c r="H6" s="40">
        <f>COUNTIFS('Issues Log'!$N:$N,"Technology Foundation",'Issues Log'!$D:$D,"Active",'Issues Log'!$R:$R,"")</f>
        <v>0</v>
      </c>
      <c r="I6" s="139">
        <v>0</v>
      </c>
      <c r="J6" s="40">
        <f>COUNTIFS('Assumption Log'!$C:$C,"Technology Foundation",'Assumption Log'!$L:$L,"Not yet validated")</f>
        <v>2</v>
      </c>
      <c r="K6" s="139">
        <v>0</v>
      </c>
      <c r="L6" s="8">
        <f>COUNTIFS('Decision Log'!$E:$E,"Technology Foundation",'Decision Log'!$G:$G,"Pending")</f>
        <v>15</v>
      </c>
      <c r="M6" s="8">
        <f>COUNTIFS('Decision Log'!$E:$E,"Technology Foundation",'Decision Log'!$G:$G,"Closed",'Decision Log'!$L:$L,"")</f>
        <v>23</v>
      </c>
    </row>
    <row r="7" spans="1:13">
      <c r="A7" s="285" t="s">
        <v>154</v>
      </c>
      <c r="B7" s="289">
        <f ca="1">COUNTIFS('Risk Log'!$H:$H,"Unified Communications",'Risk Log'!$AF:$AF,"TRUE",'Risk Log'!$AG:$AG,"TRUE")</f>
        <v>0</v>
      </c>
      <c r="C7" s="40">
        <f ca="1">COUNTIFS('Risk Log'!$H:$H,"Unified Communications",'Risk Log'!$AF:$AF,"TRUE",'Risk Log'!$AM:$AM,"TRUE")</f>
        <v>0</v>
      </c>
      <c r="D7" s="40">
        <f>COUNTIFS('Risk Log'!$H:$H,"Unified Communications",'Risk Log'!$AF:$AF,"TRUE",'Risk Log'!$AA:$AA,"")</f>
        <v>0</v>
      </c>
      <c r="E7" s="40">
        <v>2</v>
      </c>
      <c r="F7" s="40">
        <f>COUNTIFS('Issues Log'!$N:$N,"Unified Communications",'Issues Log'!$D:$D,"Active",'Issues Log'!$Z:$Z,"1")</f>
        <v>0</v>
      </c>
      <c r="G7" s="40">
        <f>COUNTIFS('Issues Log'!$N:$N,"Unified Communications",'Issues Log'!$D:$D,"Active",'Issues Log'!$AH:$AH,"TRUE")</f>
        <v>0</v>
      </c>
      <c r="H7" s="40">
        <f>COUNTIFS('Issues Log'!$N:$N,"Unified Communications",'Issues Log'!$D:$D,"Active",'Issues Log'!$R:$R,"")</f>
        <v>0</v>
      </c>
      <c r="I7" s="40">
        <v>0</v>
      </c>
      <c r="J7" s="40">
        <f>COUNTIFS('Assumption Log'!$C:$C,"Unified Communications",'Assumption Log'!$L:$L,"Not yet validated")</f>
        <v>1</v>
      </c>
      <c r="K7" s="40">
        <v>0</v>
      </c>
      <c r="L7" s="8">
        <f>COUNTIFS('Decision Log'!$E:$E,"Unified Communications",'Decision Log'!$G:$G,"Pending")</f>
        <v>1</v>
      </c>
      <c r="M7" s="8">
        <f>COUNTIFS('Decision Log'!$E:$E,"Unified Communications",'Decision Log'!$G:$G,"Closed",'Decision Log'!$L:$L,"")</f>
        <v>5</v>
      </c>
    </row>
  </sheetData>
  <pageMargins left="0.7" right="0.7" top="0.75" bottom="0.75" header="0.3" footer="0.3"/>
  <ignoredErrors>
    <ignoredError sqref="B3:C3 B4:C4 B5:C5 B6:C6 F3:G3 F4 F5:G5 F6:G6 D3 D4 D5 D6 H3 H4 H5 H6 H7 J3 J4 J5 J6 L3 L4 L5 L6" formula="1"/>
  </ignoredErrors>
  <drawing r:id="rId1"/>
</worksheet>
</file>

<file path=xl/worksheets/sheet11.xml><?xml version="1.0" encoding="utf-8"?>
<worksheet xmlns="http://schemas.openxmlformats.org/spreadsheetml/2006/main" xmlns:r="http://schemas.openxmlformats.org/officeDocument/2006/relationships">
  <dimension ref="A1:L19"/>
  <sheetViews>
    <sheetView workbookViewId="0">
      <selection activeCell="K1" sqref="K1"/>
    </sheetView>
  </sheetViews>
  <sheetFormatPr defaultRowHeight="12.75"/>
  <cols>
    <col min="1" max="1" width="23.5703125" bestFit="1" customWidth="1"/>
    <col min="2" max="2" width="6.28515625" bestFit="1" customWidth="1"/>
    <col min="3" max="3" width="12.42578125" bestFit="1" customWidth="1"/>
    <col min="5" max="5" width="7.140625" bestFit="1" customWidth="1"/>
    <col min="6" max="6" width="12.42578125" bestFit="1" customWidth="1"/>
    <col min="8" max="8" width="13.140625" bestFit="1" customWidth="1"/>
    <col min="10" max="10" width="10.28515625" bestFit="1" customWidth="1"/>
    <col min="11" max="11" width="14.140625" customWidth="1"/>
  </cols>
  <sheetData>
    <row r="1" spans="1:12" ht="25.5">
      <c r="A1" s="290"/>
      <c r="B1" s="308" t="s">
        <v>2065</v>
      </c>
      <c r="C1" s="309" t="s">
        <v>2066</v>
      </c>
      <c r="D1" s="291" t="s">
        <v>139</v>
      </c>
      <c r="E1" s="309" t="s">
        <v>2067</v>
      </c>
      <c r="F1" s="309" t="s">
        <v>2066</v>
      </c>
      <c r="G1" s="291" t="s">
        <v>139</v>
      </c>
      <c r="H1" s="292" t="s">
        <v>2068</v>
      </c>
      <c r="I1" s="293" t="s">
        <v>4</v>
      </c>
      <c r="J1" s="294" t="s">
        <v>2069</v>
      </c>
      <c r="K1" s="295" t="s">
        <v>4</v>
      </c>
      <c r="L1" s="296" t="s">
        <v>2066</v>
      </c>
    </row>
    <row r="2" spans="1:12" ht="55.5" customHeight="1">
      <c r="A2" s="320" t="s">
        <v>303</v>
      </c>
      <c r="B2" s="488" t="s">
        <v>2150</v>
      </c>
      <c r="C2" s="489"/>
      <c r="D2" s="490"/>
      <c r="E2" s="412" t="s">
        <v>2407</v>
      </c>
      <c r="F2" s="413" t="s">
        <v>21</v>
      </c>
      <c r="G2" s="414" t="s">
        <v>2948</v>
      </c>
      <c r="H2" s="488" t="s">
        <v>2153</v>
      </c>
      <c r="I2" s="490"/>
      <c r="J2" s="412" t="s">
        <v>2371</v>
      </c>
      <c r="K2" s="413" t="s">
        <v>2070</v>
      </c>
      <c r="L2" s="414"/>
    </row>
    <row r="3" spans="1:12" ht="55.5" customHeight="1">
      <c r="A3" s="437"/>
      <c r="B3" s="440"/>
      <c r="C3" s="440"/>
      <c r="D3" s="439"/>
      <c r="E3" s="348" t="s">
        <v>2408</v>
      </c>
      <c r="F3" s="349" t="s">
        <v>21</v>
      </c>
      <c r="G3" s="350" t="s">
        <v>296</v>
      </c>
      <c r="H3" s="438"/>
      <c r="I3" s="439"/>
      <c r="J3" s="348"/>
      <c r="K3" s="349"/>
      <c r="L3" s="350"/>
    </row>
    <row r="4" spans="1:12" ht="33.75" customHeight="1">
      <c r="A4" s="298" t="s">
        <v>148</v>
      </c>
      <c r="B4" s="485" t="s">
        <v>2071</v>
      </c>
      <c r="C4" s="485"/>
      <c r="D4" s="486"/>
      <c r="E4" s="487" t="s">
        <v>2072</v>
      </c>
      <c r="F4" s="485"/>
      <c r="G4" s="486"/>
      <c r="H4" s="487" t="s">
        <v>2073</v>
      </c>
      <c r="I4" s="486"/>
      <c r="J4" s="487" t="s">
        <v>2078</v>
      </c>
      <c r="K4" s="485"/>
      <c r="L4" s="486"/>
    </row>
    <row r="5" spans="1:12" ht="76.5">
      <c r="A5" s="482" t="s">
        <v>149</v>
      </c>
      <c r="B5" s="299" t="s">
        <v>255</v>
      </c>
      <c r="C5" s="299" t="s">
        <v>2938</v>
      </c>
      <c r="D5" s="305" t="s">
        <v>1779</v>
      </c>
      <c r="E5" s="300" t="s">
        <v>1758</v>
      </c>
      <c r="F5" s="299" t="s">
        <v>2074</v>
      </c>
      <c r="G5" s="305" t="s">
        <v>2230</v>
      </c>
      <c r="H5" s="299" t="s">
        <v>2062</v>
      </c>
      <c r="I5" s="305" t="s">
        <v>2070</v>
      </c>
      <c r="J5" s="299" t="s">
        <v>1232</v>
      </c>
      <c r="K5" s="299" t="s">
        <v>2070</v>
      </c>
      <c r="L5" s="305"/>
    </row>
    <row r="6" spans="1:12" ht="25.5">
      <c r="A6" s="483"/>
      <c r="B6" s="345"/>
      <c r="C6" s="346"/>
      <c r="D6" s="347"/>
      <c r="E6" s="301" t="s">
        <v>2406</v>
      </c>
      <c r="F6" s="39" t="s">
        <v>21</v>
      </c>
      <c r="G6" s="297" t="s">
        <v>1767</v>
      </c>
      <c r="H6" s="39"/>
      <c r="I6" s="297"/>
      <c r="J6" s="39"/>
      <c r="K6" s="39"/>
      <c r="L6" s="297"/>
    </row>
    <row r="7" spans="1:12" ht="63.75">
      <c r="A7" s="484"/>
      <c r="B7" s="303"/>
      <c r="C7" s="303"/>
      <c r="D7" s="303"/>
      <c r="E7" s="302" t="s">
        <v>675</v>
      </c>
      <c r="F7" s="303" t="s">
        <v>3069</v>
      </c>
      <c r="G7" s="304" t="s">
        <v>261</v>
      </c>
      <c r="H7" s="303"/>
      <c r="I7" s="304"/>
      <c r="J7" s="303"/>
      <c r="K7" s="303"/>
      <c r="L7" s="304"/>
    </row>
    <row r="8" spans="1:12" ht="114.75">
      <c r="A8" s="482" t="s">
        <v>150</v>
      </c>
      <c r="B8" s="299" t="s">
        <v>2361</v>
      </c>
      <c r="C8" s="299" t="s">
        <v>2512</v>
      </c>
      <c r="D8" s="299" t="s">
        <v>2514</v>
      </c>
      <c r="E8" s="300" t="s">
        <v>674</v>
      </c>
      <c r="F8" s="299" t="s">
        <v>2770</v>
      </c>
      <c r="G8" s="305" t="s">
        <v>261</v>
      </c>
      <c r="H8" s="299" t="s">
        <v>2919</v>
      </c>
      <c r="I8" s="305" t="s">
        <v>2079</v>
      </c>
      <c r="J8" s="299" t="s">
        <v>2949</v>
      </c>
      <c r="K8" s="299" t="s">
        <v>2070</v>
      </c>
      <c r="L8" s="305"/>
    </row>
    <row r="9" spans="1:12" ht="89.25">
      <c r="A9" s="483"/>
      <c r="B9" s="39" t="s">
        <v>2362</v>
      </c>
      <c r="C9" s="39" t="s">
        <v>3068</v>
      </c>
      <c r="D9" s="39" t="s">
        <v>261</v>
      </c>
      <c r="E9" s="301"/>
      <c r="F9" s="39"/>
      <c r="G9" s="297"/>
      <c r="H9" s="39" t="s">
        <v>2063</v>
      </c>
      <c r="I9" s="297" t="s">
        <v>2070</v>
      </c>
      <c r="J9" s="39" t="s">
        <v>1366</v>
      </c>
      <c r="K9" s="39" t="s">
        <v>73</v>
      </c>
      <c r="L9" s="297" t="s">
        <v>2920</v>
      </c>
    </row>
    <row r="10" spans="1:12" ht="51">
      <c r="A10" s="483"/>
      <c r="B10" s="39" t="s">
        <v>2365</v>
      </c>
      <c r="C10" s="39" t="s">
        <v>2513</v>
      </c>
      <c r="D10" s="39" t="s">
        <v>2732</v>
      </c>
      <c r="E10" s="301"/>
      <c r="F10" s="39"/>
      <c r="G10" s="297"/>
      <c r="H10" s="136"/>
      <c r="I10" s="297"/>
      <c r="J10" s="39"/>
      <c r="K10" s="39"/>
      <c r="L10" s="297"/>
    </row>
    <row r="11" spans="1:12" ht="76.5">
      <c r="A11" s="483"/>
      <c r="B11" s="39" t="s">
        <v>2968</v>
      </c>
      <c r="C11" s="39" t="s">
        <v>3070</v>
      </c>
      <c r="D11" s="39" t="s">
        <v>261</v>
      </c>
      <c r="E11" s="301"/>
      <c r="F11" s="39"/>
      <c r="G11" s="297"/>
      <c r="H11" s="136"/>
      <c r="I11" s="297"/>
      <c r="J11" s="39"/>
      <c r="K11" s="39"/>
      <c r="L11" s="297"/>
    </row>
    <row r="12" spans="1:12" ht="25.5">
      <c r="A12" s="484"/>
      <c r="B12" s="303" t="s">
        <v>2364</v>
      </c>
      <c r="C12" s="303" t="s">
        <v>64</v>
      </c>
      <c r="D12" s="303" t="s">
        <v>2918</v>
      </c>
      <c r="E12" s="302"/>
      <c r="F12" s="303"/>
      <c r="G12" s="304"/>
      <c r="H12" s="455"/>
      <c r="I12" s="304"/>
      <c r="J12" s="303"/>
      <c r="K12" s="303"/>
      <c r="L12" s="304"/>
    </row>
    <row r="13" spans="1:12" ht="51">
      <c r="A13" s="454" t="s">
        <v>311</v>
      </c>
      <c r="B13" s="299" t="s">
        <v>2517</v>
      </c>
      <c r="C13" s="299" t="s">
        <v>2074</v>
      </c>
      <c r="D13" s="299" t="s">
        <v>166</v>
      </c>
      <c r="E13" s="488" t="s">
        <v>3005</v>
      </c>
      <c r="F13" s="489"/>
      <c r="G13" s="490"/>
      <c r="H13" s="488" t="s">
        <v>2152</v>
      </c>
      <c r="I13" s="490"/>
      <c r="J13" s="39" t="s">
        <v>2731</v>
      </c>
      <c r="K13" s="39" t="s">
        <v>2070</v>
      </c>
      <c r="L13" s="297" t="s">
        <v>2268</v>
      </c>
    </row>
    <row r="14" spans="1:12" ht="25.5">
      <c r="A14" s="453"/>
      <c r="B14" s="39" t="s">
        <v>2518</v>
      </c>
      <c r="C14" s="39" t="s">
        <v>2074</v>
      </c>
      <c r="D14" s="39" t="s">
        <v>166</v>
      </c>
      <c r="E14" s="494"/>
      <c r="F14" s="495"/>
      <c r="G14" s="496"/>
      <c r="H14" s="494"/>
      <c r="I14" s="496"/>
      <c r="J14" s="39"/>
      <c r="K14" s="39"/>
      <c r="L14" s="297"/>
    </row>
    <row r="15" spans="1:12" ht="25.5">
      <c r="A15" s="453"/>
      <c r="B15" s="39" t="s">
        <v>2519</v>
      </c>
      <c r="C15" s="39" t="s">
        <v>2074</v>
      </c>
      <c r="D15" s="39" t="s">
        <v>166</v>
      </c>
      <c r="E15" s="494"/>
      <c r="F15" s="495"/>
      <c r="G15" s="496"/>
      <c r="H15" s="494"/>
      <c r="I15" s="496"/>
      <c r="J15" s="39"/>
      <c r="K15" s="39"/>
      <c r="L15" s="297"/>
    </row>
    <row r="16" spans="1:12" ht="25.5">
      <c r="A16" s="453"/>
      <c r="B16" s="39" t="s">
        <v>2967</v>
      </c>
      <c r="C16" s="39" t="s">
        <v>2074</v>
      </c>
      <c r="D16" s="39" t="s">
        <v>166</v>
      </c>
      <c r="E16" s="494"/>
      <c r="F16" s="495"/>
      <c r="G16" s="496"/>
      <c r="H16" s="494"/>
      <c r="I16" s="496"/>
      <c r="J16" s="39"/>
      <c r="K16" s="39"/>
      <c r="L16" s="297"/>
    </row>
    <row r="17" spans="1:12" ht="102" customHeight="1">
      <c r="A17" s="453"/>
      <c r="B17" s="301" t="s">
        <v>259</v>
      </c>
      <c r="C17" s="39" t="s">
        <v>2329</v>
      </c>
      <c r="D17" s="297" t="s">
        <v>2330</v>
      </c>
      <c r="E17" s="491"/>
      <c r="F17" s="492"/>
      <c r="G17" s="493"/>
      <c r="H17" s="491"/>
      <c r="I17" s="493"/>
      <c r="J17" s="39"/>
      <c r="K17" s="39"/>
      <c r="L17" s="297"/>
    </row>
    <row r="18" spans="1:12" ht="76.5" customHeight="1">
      <c r="A18" s="480" t="s">
        <v>154</v>
      </c>
      <c r="B18" s="412" t="s">
        <v>584</v>
      </c>
      <c r="C18" s="413" t="s">
        <v>2515</v>
      </c>
      <c r="D18" s="414" t="s">
        <v>2331</v>
      </c>
      <c r="E18" s="488" t="s">
        <v>2332</v>
      </c>
      <c r="F18" s="489"/>
      <c r="G18" s="490"/>
      <c r="H18" s="488" t="s">
        <v>3082</v>
      </c>
      <c r="I18" s="490"/>
      <c r="J18" s="306" t="s">
        <v>2064</v>
      </c>
      <c r="K18" s="306" t="s">
        <v>2070</v>
      </c>
      <c r="L18" s="322"/>
    </row>
    <row r="19" spans="1:12" ht="25.5">
      <c r="A19" s="481"/>
      <c r="B19" s="348" t="s">
        <v>2193</v>
      </c>
      <c r="C19" s="349" t="s">
        <v>2515</v>
      </c>
      <c r="D19" s="350" t="s">
        <v>523</v>
      </c>
      <c r="E19" s="491"/>
      <c r="F19" s="492"/>
      <c r="G19" s="493"/>
      <c r="H19" s="491"/>
      <c r="I19" s="493"/>
      <c r="J19" s="302"/>
      <c r="K19" s="50"/>
      <c r="L19" s="307"/>
    </row>
  </sheetData>
  <mergeCells count="13">
    <mergeCell ref="B2:D2"/>
    <mergeCell ref="H2:I2"/>
    <mergeCell ref="J4:L4"/>
    <mergeCell ref="H4:I4"/>
    <mergeCell ref="H18:I19"/>
    <mergeCell ref="H13:I17"/>
    <mergeCell ref="A18:A19"/>
    <mergeCell ref="A8:A12"/>
    <mergeCell ref="B4:D4"/>
    <mergeCell ref="E4:G4"/>
    <mergeCell ref="A5:A7"/>
    <mergeCell ref="E18:G19"/>
    <mergeCell ref="E13:G17"/>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dimension ref="A1:L7"/>
  <sheetViews>
    <sheetView tabSelected="1" workbookViewId="0">
      <selection activeCell="R13" sqref="R13"/>
    </sheetView>
  </sheetViews>
  <sheetFormatPr defaultRowHeight="12.75"/>
  <cols>
    <col min="1" max="1" width="18.42578125" bestFit="1" customWidth="1"/>
    <col min="6" max="6" width="9.28515625" bestFit="1" customWidth="1"/>
    <col min="7" max="11" width="9.28515625" customWidth="1"/>
    <col min="12" max="12" width="9.28515625" bestFit="1" customWidth="1"/>
  </cols>
  <sheetData>
    <row r="1" spans="1:12">
      <c r="B1" t="s">
        <v>2125</v>
      </c>
      <c r="C1" s="319">
        <v>40933</v>
      </c>
      <c r="D1" s="319">
        <v>40942</v>
      </c>
      <c r="E1" s="319">
        <v>40949</v>
      </c>
      <c r="F1" s="319">
        <v>40956</v>
      </c>
      <c r="G1" s="319">
        <v>40963</v>
      </c>
      <c r="H1" s="319">
        <v>40970</v>
      </c>
      <c r="I1" s="319">
        <v>40977</v>
      </c>
      <c r="J1" s="319">
        <v>40984</v>
      </c>
      <c r="K1" s="319">
        <v>40991</v>
      </c>
      <c r="L1" s="319" t="s">
        <v>2198</v>
      </c>
    </row>
    <row r="2" spans="1:12">
      <c r="A2" t="s">
        <v>67</v>
      </c>
      <c r="B2">
        <v>14</v>
      </c>
      <c r="C2">
        <v>161</v>
      </c>
      <c r="D2">
        <v>182</v>
      </c>
      <c r="E2">
        <v>183</v>
      </c>
      <c r="F2">
        <v>174</v>
      </c>
      <c r="G2">
        <v>179</v>
      </c>
      <c r="H2">
        <v>179</v>
      </c>
      <c r="I2">
        <v>194</v>
      </c>
      <c r="J2">
        <v>191</v>
      </c>
      <c r="K2">
        <v>176</v>
      </c>
      <c r="L2">
        <f>COUNTIF('Decision Log'!G:G,"Closed")+COUNTIF('Decision Log'!G:G,"Pending")</f>
        <v>176</v>
      </c>
    </row>
    <row r="3" spans="1:12">
      <c r="A3" t="s">
        <v>2126</v>
      </c>
      <c r="B3">
        <v>0</v>
      </c>
      <c r="C3">
        <v>0</v>
      </c>
      <c r="D3">
        <v>0</v>
      </c>
      <c r="E3">
        <v>0</v>
      </c>
      <c r="F3">
        <v>0</v>
      </c>
      <c r="G3">
        <v>0</v>
      </c>
      <c r="H3">
        <v>0</v>
      </c>
      <c r="I3">
        <v>0</v>
      </c>
      <c r="J3">
        <v>0</v>
      </c>
      <c r="K3">
        <v>0</v>
      </c>
      <c r="L3">
        <v>0</v>
      </c>
    </row>
    <row r="4" spans="1:12">
      <c r="A4" t="s">
        <v>2127</v>
      </c>
      <c r="B4">
        <v>15</v>
      </c>
      <c r="C4">
        <v>14</v>
      </c>
      <c r="D4">
        <v>14</v>
      </c>
      <c r="E4">
        <v>16</v>
      </c>
      <c r="F4">
        <v>16</v>
      </c>
      <c r="G4">
        <v>21</v>
      </c>
      <c r="H4">
        <v>28</v>
      </c>
      <c r="I4">
        <v>16</v>
      </c>
      <c r="J4">
        <v>16</v>
      </c>
      <c r="K4">
        <v>15</v>
      </c>
      <c r="L4">
        <f>COUNTIFS('Risk Log'!AF:AF,"TRUE",'Risk Log'!AK:AK,"TRUE")</f>
        <v>15</v>
      </c>
    </row>
    <row r="5" spans="1:12">
      <c r="A5" t="s">
        <v>2128</v>
      </c>
      <c r="B5">
        <v>71</v>
      </c>
      <c r="C5">
        <v>68</v>
      </c>
      <c r="D5">
        <v>69</v>
      </c>
      <c r="E5">
        <v>69</v>
      </c>
      <c r="F5">
        <v>69</v>
      </c>
      <c r="G5">
        <v>63</v>
      </c>
      <c r="H5">
        <v>63</v>
      </c>
      <c r="I5">
        <v>63</v>
      </c>
      <c r="J5">
        <v>62</v>
      </c>
      <c r="K5">
        <v>54</v>
      </c>
      <c r="L5">
        <f>COUNTIF('Assumption Log'!L:L,"Validated")+COUNTIF('Assumption Log'!L:L,"Not yet validated")</f>
        <v>54</v>
      </c>
    </row>
    <row r="6" spans="1:12">
      <c r="A6" t="s">
        <v>2129</v>
      </c>
      <c r="B6">
        <v>30</v>
      </c>
      <c r="C6">
        <v>45</v>
      </c>
      <c r="D6">
        <v>48</v>
      </c>
      <c r="E6">
        <v>52</v>
      </c>
      <c r="F6">
        <v>43</v>
      </c>
      <c r="G6">
        <v>49</v>
      </c>
      <c r="H6">
        <v>51</v>
      </c>
      <c r="I6">
        <v>53</v>
      </c>
      <c r="J6">
        <v>42</v>
      </c>
      <c r="K6">
        <v>37</v>
      </c>
      <c r="L6">
        <f>COUNTIF('Issues Log'!D:D,"Active")</f>
        <v>37</v>
      </c>
    </row>
    <row r="7" spans="1:12">
      <c r="A7" t="s">
        <v>2130</v>
      </c>
      <c r="B7">
        <v>36</v>
      </c>
      <c r="C7">
        <v>32</v>
      </c>
      <c r="D7">
        <v>32</v>
      </c>
      <c r="E7">
        <v>30</v>
      </c>
      <c r="F7">
        <v>30</v>
      </c>
      <c r="G7">
        <v>32</v>
      </c>
      <c r="H7">
        <v>39</v>
      </c>
      <c r="I7">
        <v>37</v>
      </c>
      <c r="J7">
        <v>32</v>
      </c>
      <c r="K7">
        <v>35</v>
      </c>
      <c r="L7">
        <f>COUNTIF('Risk Log'!AF:AF,"TRUE")</f>
        <v>35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57C8AC9CBE1E41A2102A222EC3580A" ma:contentTypeVersion="3" ma:contentTypeDescription="Create a new document." ma:contentTypeScope="" ma:versionID="abc6be5a7620dcb7711b0f96b151bb65">
  <xsd:schema xmlns:xsd="http://www.w3.org/2001/XMLSchema" xmlns:xs="http://www.w3.org/2001/XMLSchema" xmlns:p="http://schemas.microsoft.com/office/2006/metadata/properties" xmlns:ns2="http://schemas.microsoft.com/sharepoint/v4" xmlns:ns3="0cbe1240-e4fe-486d-8edc-2712abb96eb4" targetNamespace="http://schemas.microsoft.com/office/2006/metadata/properties" ma:root="true" ma:fieldsID="6de1d13258d2b99d584b28ddcc0f79a5" ns2:_="" ns3:_="">
    <xsd:import namespace="http://schemas.microsoft.com/sharepoint/v4"/>
    <xsd:import namespace="0cbe1240-e4fe-486d-8edc-2712abb96eb4"/>
    <xsd:element name="properties">
      <xsd:complexType>
        <xsd:sequence>
          <xsd:element name="documentManagement">
            <xsd:complexType>
              <xsd:all>
                <xsd:element ref="ns2:IconOverlay"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8"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_dlc_DocId xmlns="0cbe1240-e4fe-486d-8edc-2712abb96eb4">MSIBM-2-6073</_dlc_DocId>
    <_dlc_DocIdUrl xmlns="0cbe1240-e4fe-486d-8edc-2712abb96eb4">
      <Url>http://sp.ey.net/msibm/_layouts/DocIdRedir.aspx?ID=MSIBM-2-6073</Url>
      <Description>MSIBM-2-6073</Description>
    </_dlc_DocIdUrl>
  </documentManagement>
</p:properties>
</file>

<file path=customXml/itemProps1.xml><?xml version="1.0" encoding="utf-8"?>
<ds:datastoreItem xmlns:ds="http://schemas.openxmlformats.org/officeDocument/2006/customXml" ds:itemID="{B97FF755-A918-4613-A26D-B07C5495A3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4"/>
    <ds:schemaRef ds:uri="0cbe1240-e4fe-486d-8edc-2712abb96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D3DAEB-C2C0-4CD1-BA8B-5CACFAC4A414}">
  <ds:schemaRefs>
    <ds:schemaRef ds:uri="http://schemas.microsoft.com/sharepoint/events"/>
  </ds:schemaRefs>
</ds:datastoreItem>
</file>

<file path=customXml/itemProps3.xml><?xml version="1.0" encoding="utf-8"?>
<ds:datastoreItem xmlns:ds="http://schemas.openxmlformats.org/officeDocument/2006/customXml" ds:itemID="{E58A9BE1-343E-414E-B194-52567486A57E}">
  <ds:schemaRefs>
    <ds:schemaRef ds:uri="http://schemas.microsoft.com/sharepoint/v3/contenttype/forms"/>
  </ds:schemaRefs>
</ds:datastoreItem>
</file>

<file path=customXml/itemProps4.xml><?xml version="1.0" encoding="utf-8"?>
<ds:datastoreItem xmlns:ds="http://schemas.openxmlformats.org/officeDocument/2006/customXml" ds:itemID="{E1E5328F-8806-4446-9CE2-08FAF4F44642}">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http://schemas.microsoft.com/sharepoint/v4"/>
    <ds:schemaRef ds:uri="0cbe1240-e4fe-486d-8edc-2712abb96eb4"/>
    <ds:schemaRef ds:uri="http://schemas.openxmlformats.org/package/2006/metadata/core-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Instructions</vt:lpstr>
      <vt:lpstr>Ratings</vt:lpstr>
      <vt:lpstr>Risk Log</vt:lpstr>
      <vt:lpstr>Issues Log</vt:lpstr>
      <vt:lpstr>Assumption Log</vt:lpstr>
      <vt:lpstr>Decision Log</vt:lpstr>
      <vt:lpstr>Actions Report</vt:lpstr>
      <vt:lpstr>RAID Summary</vt:lpstr>
      <vt:lpstr>Project Summary</vt:lpstr>
      <vt:lpstr>Snapshot</vt:lpstr>
      <vt:lpstr>Snapshot Detail</vt:lpstr>
      <vt:lpstr>Cross Org Data</vt:lpstr>
      <vt:lpstr>'Issues Log'!Print_Area</vt:lpstr>
      <vt:lpstr>'Risk Log'!Print_Area</vt:lpstr>
      <vt:lpstr>'Assumption Log'!Print_Titles</vt:lpstr>
      <vt:lpstr>'Decision Log'!Print_Titles</vt:lpstr>
    </vt:vector>
  </TitlesOfParts>
  <Company>Ernst &amp; Young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 Program RAID Log</dc:title>
  <dc:creator>Sandi Meehan</dc:creator>
  <cp:lastModifiedBy>Wale Agbaje</cp:lastModifiedBy>
  <cp:lastPrinted>2011-11-01T11:07:29Z</cp:lastPrinted>
  <dcterms:created xsi:type="dcterms:W3CDTF">2010-01-29T04:02:51Z</dcterms:created>
  <dcterms:modified xsi:type="dcterms:W3CDTF">2012-03-22T10:45:56Z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0x010100D957C8AC9CBE1E41A2102A222EC3580A</vt:lpwstr>
  </property>
  <property fmtid="{D5CDD505-2E9C-101B-9397-08002B2CF9AE}" pid="3" name="_dlc_DocIdItemGuid">
    <vt:lpwstr>ea021f1e-df70-4a5c-9d5e-a4822bceb44c</vt:lpwstr>
  </property>
</Properties>
</file>